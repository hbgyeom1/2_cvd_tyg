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_cvd_tyg\"/>
    </mc:Choice>
  </mc:AlternateContent>
  <xr:revisionPtr revIDLastSave="0" documentId="13_ncr:1_{8E6CD109-A567-4FF3-80BB-B7D3FC034A17}" xr6:coauthVersionLast="47" xr6:coauthVersionMax="47" xr10:uidLastSave="{00000000-0000-0000-0000-000000000000}"/>
  <bookViews>
    <workbookView xWindow="-28920" yWindow="-120" windowWidth="29040" windowHeight="15720" firstSheet="4" activeTab="15" xr2:uid="{FB8044D6-6D01-46C0-9297-468AE20A1D3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10" r:id="rId9"/>
    <sheet name="Sheet10" sheetId="9" r:id="rId10"/>
    <sheet name="Sheet11" sheetId="12" r:id="rId11"/>
    <sheet name="Sheet12" sheetId="11" r:id="rId12"/>
    <sheet name="Sheet16" sheetId="16" r:id="rId13"/>
    <sheet name="Sheet17" sheetId="17" r:id="rId14"/>
    <sheet name="Sheet18" sheetId="18" r:id="rId15"/>
    <sheet name="Sheet13" sheetId="19" r:id="rId16"/>
  </sheets>
  <definedNames>
    <definedName name="_xlnm._FilterDatabase" localSheetId="0" hidden="1">Sheet1!$A$1:$A$91</definedName>
    <definedName name="_xlnm._FilterDatabase" localSheetId="9" hidden="1">Sheet10!$A$1:$A$141</definedName>
    <definedName name="_xlnm._FilterDatabase" localSheetId="10" hidden="1">Sheet11!$A$1:$A$1005</definedName>
    <definedName name="_xlnm._FilterDatabase" localSheetId="11" hidden="1">Sheet12!$A$1:$A$6045</definedName>
    <definedName name="_xlnm._FilterDatabase" localSheetId="15" hidden="1">Sheet13!$A$1:$A$449</definedName>
    <definedName name="_xlnm._FilterDatabase" localSheetId="12" hidden="1">Sheet16!$A$1:$A$329</definedName>
    <definedName name="_xlnm._FilterDatabase" localSheetId="13" hidden="1">Sheet17!$A$1:$A$2717</definedName>
    <definedName name="_xlnm._FilterDatabase" localSheetId="14" hidden="1">Sheet18!$A$1:$A$2713</definedName>
    <definedName name="_xlnm._FilterDatabase" localSheetId="1" hidden="1">Sheet2!$M$1:$M$281</definedName>
    <definedName name="_xlnm._FilterDatabase" localSheetId="4" hidden="1">Sheet5!$K$1:$K$133</definedName>
    <definedName name="_xlnm._FilterDatabase" localSheetId="5" hidden="1">Sheet6!$S$1:$S$365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3" i="19" l="1"/>
  <c r="H432" i="19"/>
  <c r="H431" i="19"/>
  <c r="H320" i="19"/>
  <c r="H319" i="19"/>
  <c r="H318" i="19"/>
  <c r="H207" i="19"/>
  <c r="H206" i="19"/>
  <c r="H205" i="19"/>
  <c r="H93" i="19"/>
  <c r="H94" i="19"/>
  <c r="H92" i="19"/>
  <c r="I2707" i="18"/>
  <c r="I2706" i="18"/>
  <c r="I2705" i="18"/>
  <c r="I2622" i="18"/>
  <c r="I2621" i="18"/>
  <c r="I2620" i="18"/>
  <c r="I2537" i="18"/>
  <c r="I2536" i="18"/>
  <c r="I2535" i="18"/>
  <c r="I2452" i="18"/>
  <c r="I2451" i="18"/>
  <c r="I2450" i="18"/>
  <c r="I2367" i="18"/>
  <c r="I2366" i="18"/>
  <c r="I2365" i="18"/>
  <c r="I2282" i="18"/>
  <c r="I2281" i="18"/>
  <c r="I2280" i="18"/>
  <c r="I2197" i="18"/>
  <c r="I2196" i="18"/>
  <c r="I2195" i="18"/>
  <c r="I2112" i="18"/>
  <c r="I2111" i="18"/>
  <c r="I2110" i="18"/>
  <c r="I2027" i="18"/>
  <c r="I2026" i="18"/>
  <c r="I2025" i="18"/>
  <c r="I1942" i="18"/>
  <c r="I1941" i="18"/>
  <c r="I1940" i="18"/>
  <c r="I1857" i="18"/>
  <c r="I1856" i="18"/>
  <c r="I1855" i="18"/>
  <c r="I1772" i="18"/>
  <c r="I1771" i="18"/>
  <c r="I1770" i="18"/>
  <c r="I1687" i="18"/>
  <c r="I1686" i="18"/>
  <c r="I1685" i="18"/>
  <c r="I1602" i="18"/>
  <c r="I1601" i="18"/>
  <c r="I1600" i="18"/>
  <c r="I1517" i="18"/>
  <c r="I1516" i="18"/>
  <c r="I1515" i="18"/>
  <c r="I1432" i="18"/>
  <c r="I1431" i="18"/>
  <c r="I1430" i="18"/>
  <c r="I1347" i="18"/>
  <c r="I1346" i="18"/>
  <c r="I1345" i="18"/>
  <c r="I1262" i="18"/>
  <c r="I1261" i="18"/>
  <c r="I1260" i="18"/>
  <c r="I1177" i="18"/>
  <c r="I1176" i="18"/>
  <c r="I1175" i="18"/>
  <c r="I1092" i="18"/>
  <c r="I1091" i="18"/>
  <c r="I1090" i="18"/>
  <c r="I1007" i="18"/>
  <c r="I1006" i="18"/>
  <c r="I1005" i="18"/>
  <c r="I922" i="18"/>
  <c r="I921" i="18"/>
  <c r="I920" i="18"/>
  <c r="I837" i="18"/>
  <c r="I836" i="18"/>
  <c r="I835" i="18"/>
  <c r="I752" i="18"/>
  <c r="I751" i="18"/>
  <c r="I750" i="18"/>
  <c r="I667" i="18"/>
  <c r="I666" i="18"/>
  <c r="I665" i="18"/>
  <c r="I582" i="18"/>
  <c r="I581" i="18"/>
  <c r="I580" i="18"/>
  <c r="I497" i="18"/>
  <c r="I496" i="18"/>
  <c r="I495" i="18"/>
  <c r="I412" i="18"/>
  <c r="I411" i="18"/>
  <c r="I410" i="18"/>
  <c r="I327" i="18"/>
  <c r="I326" i="18"/>
  <c r="I325" i="18"/>
  <c r="I242" i="18"/>
  <c r="I241" i="18"/>
  <c r="I240" i="18"/>
  <c r="I157" i="18"/>
  <c r="I156" i="18"/>
  <c r="I155" i="18"/>
  <c r="I75" i="18"/>
  <c r="I76" i="18"/>
  <c r="I74" i="18"/>
  <c r="H2707" i="18"/>
  <c r="H2706" i="18"/>
  <c r="H2705" i="18"/>
  <c r="H2622" i="18"/>
  <c r="H2621" i="18"/>
  <c r="H2620" i="18"/>
  <c r="H2537" i="18"/>
  <c r="H2536" i="18"/>
  <c r="H2535" i="18"/>
  <c r="H2452" i="18"/>
  <c r="H2451" i="18"/>
  <c r="H2450" i="18"/>
  <c r="H2367" i="18"/>
  <c r="H2366" i="18"/>
  <c r="H2365" i="18"/>
  <c r="H2282" i="18"/>
  <c r="H2281" i="18"/>
  <c r="H2280" i="18"/>
  <c r="H2197" i="18"/>
  <c r="H2196" i="18"/>
  <c r="H2195" i="18"/>
  <c r="H2112" i="18"/>
  <c r="H2111" i="18"/>
  <c r="H2110" i="18"/>
  <c r="H2027" i="18"/>
  <c r="H2026" i="18"/>
  <c r="H2025" i="18"/>
  <c r="H1942" i="18"/>
  <c r="H1941" i="18"/>
  <c r="H1940" i="18"/>
  <c r="H1857" i="18"/>
  <c r="H1856" i="18"/>
  <c r="H1855" i="18"/>
  <c r="H1772" i="18"/>
  <c r="H1771" i="18"/>
  <c r="H1770" i="18"/>
  <c r="H1687" i="18"/>
  <c r="H1686" i="18"/>
  <c r="H1685" i="18"/>
  <c r="H1602" i="18"/>
  <c r="H1601" i="18"/>
  <c r="H1600" i="18"/>
  <c r="H1517" i="18"/>
  <c r="H1516" i="18"/>
  <c r="H1515" i="18"/>
  <c r="H1432" i="18"/>
  <c r="H1431" i="18"/>
  <c r="H1430" i="18"/>
  <c r="H1347" i="18"/>
  <c r="H1346" i="18"/>
  <c r="H1345" i="18"/>
  <c r="H1262" i="18"/>
  <c r="H1261" i="18"/>
  <c r="H1260" i="18"/>
  <c r="H1177" i="18"/>
  <c r="H1176" i="18"/>
  <c r="H1175" i="18"/>
  <c r="H1092" i="18"/>
  <c r="H1091" i="18"/>
  <c r="H1090" i="18"/>
  <c r="H1007" i="18"/>
  <c r="H1006" i="18"/>
  <c r="H1005" i="18"/>
  <c r="H922" i="18"/>
  <c r="H921" i="18"/>
  <c r="H920" i="18"/>
  <c r="H837" i="18"/>
  <c r="H836" i="18"/>
  <c r="H835" i="18"/>
  <c r="H752" i="18"/>
  <c r="H751" i="18"/>
  <c r="H750" i="18"/>
  <c r="H667" i="18"/>
  <c r="H666" i="18"/>
  <c r="H665" i="18"/>
  <c r="H582" i="18"/>
  <c r="H581" i="18"/>
  <c r="H580" i="18"/>
  <c r="H497" i="18"/>
  <c r="H496" i="18"/>
  <c r="H495" i="18"/>
  <c r="H412" i="18"/>
  <c r="H411" i="18"/>
  <c r="H410" i="18"/>
  <c r="H327" i="18"/>
  <c r="H326" i="18"/>
  <c r="H325" i="18"/>
  <c r="H242" i="18"/>
  <c r="H241" i="18"/>
  <c r="H240" i="18"/>
  <c r="H157" i="18"/>
  <c r="H156" i="18"/>
  <c r="H155" i="18"/>
  <c r="H76" i="18"/>
  <c r="H75" i="18"/>
  <c r="H74" i="18"/>
  <c r="I2711" i="17"/>
  <c r="I2710" i="17"/>
  <c r="I2709" i="17"/>
  <c r="I2626" i="17"/>
  <c r="I2625" i="17"/>
  <c r="I2624" i="17"/>
  <c r="I2541" i="17"/>
  <c r="I2540" i="17"/>
  <c r="I2539" i="17"/>
  <c r="I2456" i="17"/>
  <c r="I2455" i="17"/>
  <c r="I2454" i="17"/>
  <c r="I2371" i="17"/>
  <c r="I2370" i="17"/>
  <c r="I2369" i="17"/>
  <c r="I2286" i="17"/>
  <c r="I2285" i="17"/>
  <c r="I2284" i="17"/>
  <c r="I2201" i="17"/>
  <c r="I2200" i="17"/>
  <c r="I2199" i="17"/>
  <c r="I2116" i="17"/>
  <c r="I2115" i="17"/>
  <c r="I2114" i="17"/>
  <c r="I2031" i="17"/>
  <c r="I2030" i="17"/>
  <c r="I2029" i="17"/>
  <c r="I1946" i="17"/>
  <c r="I1945" i="17"/>
  <c r="I1944" i="17"/>
  <c r="I1861" i="17"/>
  <c r="I1860" i="17"/>
  <c r="I1859" i="17"/>
  <c r="I1776" i="17"/>
  <c r="I1775" i="17"/>
  <c r="I1774" i="17"/>
  <c r="I1691" i="17"/>
  <c r="I1690" i="17"/>
  <c r="I1689" i="17"/>
  <c r="I1606" i="17"/>
  <c r="I1605" i="17"/>
  <c r="I1604" i="17"/>
  <c r="I1521" i="17"/>
  <c r="I1520" i="17"/>
  <c r="I1519" i="17"/>
  <c r="I1436" i="17"/>
  <c r="I1435" i="17"/>
  <c r="I1434" i="17"/>
  <c r="I1351" i="17"/>
  <c r="I1350" i="17"/>
  <c r="I1349" i="17"/>
  <c r="I1266" i="17"/>
  <c r="I1265" i="17"/>
  <c r="I1264" i="17"/>
  <c r="I1181" i="17"/>
  <c r="I1180" i="17"/>
  <c r="I1179" i="17"/>
  <c r="I1096" i="17"/>
  <c r="I1095" i="17"/>
  <c r="I1094" i="17"/>
  <c r="I1011" i="17"/>
  <c r="I1010" i="17"/>
  <c r="I1009" i="17"/>
  <c r="I926" i="17"/>
  <c r="I925" i="17"/>
  <c r="I924" i="17"/>
  <c r="I841" i="17"/>
  <c r="I840" i="17"/>
  <c r="I839" i="17"/>
  <c r="I756" i="17"/>
  <c r="I755" i="17"/>
  <c r="I754" i="17"/>
  <c r="I671" i="17"/>
  <c r="I670" i="17"/>
  <c r="I669" i="17"/>
  <c r="I586" i="17"/>
  <c r="I585" i="17"/>
  <c r="I584" i="17"/>
  <c r="I501" i="17"/>
  <c r="I500" i="17"/>
  <c r="I499" i="17"/>
  <c r="I416" i="17"/>
  <c r="I415" i="17"/>
  <c r="I414" i="17"/>
  <c r="I331" i="17"/>
  <c r="I330" i="17"/>
  <c r="I329" i="17"/>
  <c r="I246" i="17"/>
  <c r="I245" i="17"/>
  <c r="I244" i="17"/>
  <c r="I161" i="17"/>
  <c r="I160" i="17"/>
  <c r="I159" i="17"/>
  <c r="I75" i="17"/>
  <c r="I76" i="17"/>
  <c r="I74" i="17"/>
  <c r="H323" i="16"/>
  <c r="H322" i="16"/>
  <c r="H321" i="16"/>
  <c r="H240" i="16"/>
  <c r="H239" i="16"/>
  <c r="H238" i="16"/>
  <c r="H157" i="16"/>
  <c r="H156" i="16"/>
  <c r="H155" i="16"/>
  <c r="H2704" i="17"/>
  <c r="H2703" i="17"/>
  <c r="H2702" i="17"/>
  <c r="H2619" i="17"/>
  <c r="H2618" i="17"/>
  <c r="H2617" i="17"/>
  <c r="H2534" i="17"/>
  <c r="H2533" i="17"/>
  <c r="H2532" i="17"/>
  <c r="H2449" i="17"/>
  <c r="H2448" i="17"/>
  <c r="H2447" i="17"/>
  <c r="H2364" i="17"/>
  <c r="H2363" i="17"/>
  <c r="H2362" i="17"/>
  <c r="H2279" i="17"/>
  <c r="H2278" i="17"/>
  <c r="H2277" i="17"/>
  <c r="H2194" i="17"/>
  <c r="H2193" i="17"/>
  <c r="H2192" i="17"/>
  <c r="H2109" i="17"/>
  <c r="H2108" i="17"/>
  <c r="H2107" i="17"/>
  <c r="H2024" i="17"/>
  <c r="H2023" i="17"/>
  <c r="H2022" i="17"/>
  <c r="H1939" i="17"/>
  <c r="H1938" i="17"/>
  <c r="H1937" i="17"/>
  <c r="H1854" i="17"/>
  <c r="H1853" i="17"/>
  <c r="H1852" i="17"/>
  <c r="H1769" i="17"/>
  <c r="H1768" i="17"/>
  <c r="H1767" i="17"/>
  <c r="H1684" i="17"/>
  <c r="H1683" i="17"/>
  <c r="H1682" i="17"/>
  <c r="H1599" i="17"/>
  <c r="H1598" i="17"/>
  <c r="H1597" i="17"/>
  <c r="H1514" i="17"/>
  <c r="H1513" i="17"/>
  <c r="H1512" i="17"/>
  <c r="H1429" i="17"/>
  <c r="H1428" i="17"/>
  <c r="H1427" i="17"/>
  <c r="H1344" i="17"/>
  <c r="H1343" i="17"/>
  <c r="H1342" i="17"/>
  <c r="H1259" i="17"/>
  <c r="H1258" i="17"/>
  <c r="H1257" i="17"/>
  <c r="H1174" i="17"/>
  <c r="H1173" i="17"/>
  <c r="H1172" i="17"/>
  <c r="H1089" i="17"/>
  <c r="H1088" i="17"/>
  <c r="H1087" i="17"/>
  <c r="H1004" i="17"/>
  <c r="H1003" i="17"/>
  <c r="H1002" i="17"/>
  <c r="H919" i="17"/>
  <c r="H918" i="17"/>
  <c r="H917" i="17"/>
  <c r="H834" i="17"/>
  <c r="H833" i="17"/>
  <c r="H832" i="17"/>
  <c r="H749" i="17"/>
  <c r="H748" i="17"/>
  <c r="H747" i="17"/>
  <c r="H664" i="17"/>
  <c r="H663" i="17"/>
  <c r="H662" i="17"/>
  <c r="H579" i="17"/>
  <c r="H578" i="17"/>
  <c r="H577" i="17"/>
  <c r="H494" i="17"/>
  <c r="H493" i="17"/>
  <c r="H492" i="17"/>
  <c r="H409" i="17"/>
  <c r="H408" i="17"/>
  <c r="H407" i="17"/>
  <c r="H324" i="17"/>
  <c r="H323" i="17"/>
  <c r="H322" i="17"/>
  <c r="H239" i="17"/>
  <c r="H238" i="17"/>
  <c r="H237" i="17"/>
  <c r="H153" i="17"/>
  <c r="H154" i="17"/>
  <c r="H152" i="17"/>
  <c r="H67" i="17"/>
  <c r="H68" i="17"/>
  <c r="H69" i="17"/>
  <c r="H66" i="17"/>
  <c r="H2711" i="17"/>
  <c r="H2710" i="17"/>
  <c r="H2709" i="17"/>
  <c r="H2626" i="17"/>
  <c r="H2625" i="17"/>
  <c r="H2624" i="17"/>
  <c r="H2541" i="17"/>
  <c r="H2540" i="17"/>
  <c r="H2539" i="17"/>
  <c r="H2456" i="17"/>
  <c r="H2455" i="17"/>
  <c r="H2454" i="17"/>
  <c r="H2371" i="17"/>
  <c r="H2370" i="17"/>
  <c r="H2369" i="17"/>
  <c r="H2286" i="17"/>
  <c r="H2285" i="17"/>
  <c r="H2284" i="17"/>
  <c r="H2201" i="17"/>
  <c r="H2200" i="17"/>
  <c r="H2199" i="17"/>
  <c r="H2116" i="17"/>
  <c r="H2115" i="17"/>
  <c r="H2114" i="17"/>
  <c r="H2031" i="17"/>
  <c r="H2030" i="17"/>
  <c r="H2029" i="17"/>
  <c r="H1946" i="17"/>
  <c r="H1945" i="17"/>
  <c r="H1944" i="17"/>
  <c r="H1861" i="17"/>
  <c r="H1860" i="17"/>
  <c r="H1859" i="17"/>
  <c r="H1776" i="17"/>
  <c r="H1775" i="17"/>
  <c r="H1774" i="17"/>
  <c r="H1691" i="17"/>
  <c r="H1690" i="17"/>
  <c r="H1689" i="17"/>
  <c r="H1606" i="17"/>
  <c r="H1605" i="17"/>
  <c r="H1604" i="17"/>
  <c r="H1521" i="17"/>
  <c r="H1520" i="17"/>
  <c r="H1519" i="17"/>
  <c r="H1436" i="17"/>
  <c r="H1435" i="17"/>
  <c r="H1434" i="17"/>
  <c r="H1351" i="17"/>
  <c r="H1350" i="17"/>
  <c r="H1349" i="17"/>
  <c r="H1266" i="17"/>
  <c r="H1265" i="17"/>
  <c r="H1264" i="17"/>
  <c r="H1181" i="17"/>
  <c r="H1180" i="17"/>
  <c r="H1179" i="17"/>
  <c r="H1096" i="17"/>
  <c r="H1095" i="17"/>
  <c r="H1094" i="17"/>
  <c r="H1011" i="17"/>
  <c r="H1010" i="17"/>
  <c r="H1009" i="17"/>
  <c r="H926" i="17"/>
  <c r="H925" i="17"/>
  <c r="H924" i="17"/>
  <c r="H841" i="17"/>
  <c r="H840" i="17"/>
  <c r="H839" i="17"/>
  <c r="H756" i="17"/>
  <c r="H755" i="17"/>
  <c r="H754" i="17"/>
  <c r="H671" i="17"/>
  <c r="H670" i="17"/>
  <c r="H669" i="17"/>
  <c r="H586" i="17"/>
  <c r="H585" i="17"/>
  <c r="H584" i="17"/>
  <c r="H501" i="17"/>
  <c r="H500" i="17"/>
  <c r="H499" i="17"/>
  <c r="H416" i="17"/>
  <c r="H415" i="17"/>
  <c r="H414" i="17"/>
  <c r="H331" i="17"/>
  <c r="H330" i="17"/>
  <c r="H329" i="17"/>
  <c r="H246" i="17"/>
  <c r="H245" i="17"/>
  <c r="H244" i="17"/>
  <c r="H161" i="17"/>
  <c r="H160" i="17"/>
  <c r="H159" i="17"/>
  <c r="H76" i="17"/>
  <c r="H75" i="17"/>
  <c r="H74" i="17"/>
  <c r="H73" i="16"/>
  <c r="H74" i="16"/>
  <c r="H72" i="16"/>
  <c r="H1005" i="12"/>
  <c r="H1004" i="12"/>
  <c r="H1003" i="12"/>
  <c r="H1002" i="12"/>
  <c r="H981" i="12"/>
  <c r="H980" i="12"/>
  <c r="H979" i="12"/>
  <c r="H978" i="12"/>
  <c r="H957" i="12"/>
  <c r="H956" i="12"/>
  <c r="H955" i="12"/>
  <c r="H954" i="12"/>
  <c r="H933" i="12"/>
  <c r="H932" i="12"/>
  <c r="H931" i="12"/>
  <c r="H930" i="12"/>
  <c r="H909" i="12"/>
  <c r="H908" i="12"/>
  <c r="H907" i="12"/>
  <c r="H906" i="12"/>
  <c r="H885" i="12"/>
  <c r="H884" i="12"/>
  <c r="H883" i="12"/>
  <c r="H882" i="12"/>
  <c r="H861" i="12"/>
  <c r="H860" i="12"/>
  <c r="H859" i="12"/>
  <c r="H858" i="12"/>
  <c r="H837" i="12"/>
  <c r="H836" i="12"/>
  <c r="H835" i="12"/>
  <c r="H834" i="12"/>
  <c r="H813" i="12"/>
  <c r="H812" i="12"/>
  <c r="H811" i="12"/>
  <c r="H810" i="12"/>
  <c r="H789" i="12"/>
  <c r="H788" i="12"/>
  <c r="H787" i="12"/>
  <c r="H786" i="12"/>
  <c r="H765" i="12"/>
  <c r="H764" i="12"/>
  <c r="H763" i="12"/>
  <c r="H762" i="12"/>
  <c r="H741" i="12"/>
  <c r="H740" i="12"/>
  <c r="H739" i="12"/>
  <c r="H738" i="12"/>
  <c r="H717" i="12"/>
  <c r="H716" i="12"/>
  <c r="H715" i="12"/>
  <c r="H714" i="12"/>
  <c r="H693" i="12"/>
  <c r="H692" i="12"/>
  <c r="H691" i="12"/>
  <c r="H690" i="12"/>
  <c r="H669" i="12"/>
  <c r="H668" i="12"/>
  <c r="H667" i="12"/>
  <c r="H666" i="12"/>
  <c r="H645" i="12"/>
  <c r="H644" i="12"/>
  <c r="H643" i="12"/>
  <c r="H642" i="12"/>
  <c r="H621" i="12"/>
  <c r="H620" i="12"/>
  <c r="H619" i="12"/>
  <c r="H618" i="12"/>
  <c r="H597" i="12"/>
  <c r="H596" i="12"/>
  <c r="H595" i="12"/>
  <c r="H594" i="12"/>
  <c r="H573" i="12"/>
  <c r="H572" i="12"/>
  <c r="H571" i="12"/>
  <c r="H570" i="12"/>
  <c r="H549" i="12"/>
  <c r="H548" i="12"/>
  <c r="H547" i="12"/>
  <c r="H546" i="12"/>
  <c r="H525" i="12"/>
  <c r="H524" i="12"/>
  <c r="H523" i="12"/>
  <c r="H522" i="12"/>
  <c r="H501" i="12"/>
  <c r="H500" i="12"/>
  <c r="H499" i="12"/>
  <c r="H498" i="12"/>
  <c r="H477" i="12"/>
  <c r="H476" i="12"/>
  <c r="H475" i="12"/>
  <c r="H474" i="12"/>
  <c r="H453" i="12"/>
  <c r="H452" i="12"/>
  <c r="H451" i="12"/>
  <c r="H450" i="12"/>
  <c r="H429" i="12"/>
  <c r="H428" i="12"/>
  <c r="H427" i="12"/>
  <c r="H426" i="12"/>
  <c r="H405" i="12"/>
  <c r="H404" i="12"/>
  <c r="H403" i="12"/>
  <c r="H402" i="12"/>
  <c r="H381" i="12"/>
  <c r="H380" i="12"/>
  <c r="H379" i="12"/>
  <c r="H378" i="12"/>
  <c r="H357" i="12"/>
  <c r="H356" i="12"/>
  <c r="H355" i="12"/>
  <c r="H354" i="12"/>
  <c r="H333" i="12"/>
  <c r="H332" i="12"/>
  <c r="H331" i="12"/>
  <c r="H330" i="12"/>
  <c r="H309" i="12"/>
  <c r="H308" i="12"/>
  <c r="H307" i="12"/>
  <c r="H306" i="12"/>
  <c r="H285" i="12"/>
  <c r="H284" i="12"/>
  <c r="H283" i="12"/>
  <c r="H282" i="12"/>
  <c r="H261" i="12"/>
  <c r="H260" i="12"/>
  <c r="H259" i="12"/>
  <c r="H258" i="12"/>
  <c r="H237" i="12"/>
  <c r="H236" i="12"/>
  <c r="H235" i="12"/>
  <c r="H234" i="12"/>
  <c r="H213" i="12"/>
  <c r="H212" i="12"/>
  <c r="H211" i="12"/>
  <c r="H210" i="12"/>
  <c r="H189" i="12"/>
  <c r="H188" i="12"/>
  <c r="H187" i="12"/>
  <c r="H186" i="12"/>
  <c r="H165" i="12"/>
  <c r="H164" i="12"/>
  <c r="H163" i="12"/>
  <c r="H162" i="12"/>
  <c r="H141" i="12"/>
  <c r="H140" i="12"/>
  <c r="H139" i="12"/>
  <c r="H138" i="12"/>
  <c r="H117" i="12"/>
  <c r="H116" i="12"/>
  <c r="H115" i="12"/>
  <c r="H114" i="12"/>
  <c r="H93" i="12"/>
  <c r="H92" i="12"/>
  <c r="H91" i="12"/>
  <c r="H90" i="12"/>
  <c r="H69" i="12"/>
  <c r="H68" i="12"/>
  <c r="H67" i="12"/>
  <c r="H66" i="12"/>
  <c r="H45" i="12"/>
  <c r="H44" i="12"/>
  <c r="H43" i="12"/>
  <c r="H42" i="12"/>
  <c r="H21" i="12"/>
  <c r="H20" i="12"/>
  <c r="H19" i="12"/>
  <c r="H18" i="12"/>
  <c r="H6045" i="11"/>
  <c r="H6044" i="11"/>
  <c r="H6043" i="11"/>
  <c r="H6042" i="11"/>
  <c r="H6021" i="11"/>
  <c r="H6020" i="11"/>
  <c r="H6019" i="11"/>
  <c r="H6018" i="11"/>
  <c r="H5997" i="11"/>
  <c r="H5996" i="11"/>
  <c r="H5995" i="11"/>
  <c r="H5994" i="11"/>
  <c r="H5973" i="11"/>
  <c r="H5972" i="11"/>
  <c r="H5971" i="11"/>
  <c r="H5970" i="11"/>
  <c r="H5949" i="11"/>
  <c r="H5948" i="11"/>
  <c r="H5947" i="11"/>
  <c r="H5946" i="11"/>
  <c r="H5925" i="11"/>
  <c r="H5924" i="11"/>
  <c r="H5923" i="11"/>
  <c r="H5922" i="11"/>
  <c r="H5901" i="11"/>
  <c r="H5900" i="11"/>
  <c r="H5899" i="11"/>
  <c r="H5898" i="11"/>
  <c r="H5877" i="11"/>
  <c r="H5876" i="11"/>
  <c r="H5875" i="11"/>
  <c r="H5874" i="11"/>
  <c r="H5853" i="11"/>
  <c r="H5852" i="11"/>
  <c r="H5851" i="11"/>
  <c r="H5850" i="11"/>
  <c r="H5829" i="11"/>
  <c r="H5828" i="11"/>
  <c r="H5827" i="11"/>
  <c r="H5826" i="11"/>
  <c r="H5805" i="11"/>
  <c r="H5804" i="11"/>
  <c r="H5803" i="11"/>
  <c r="H5802" i="11"/>
  <c r="H5781" i="11"/>
  <c r="H5780" i="11"/>
  <c r="H5779" i="11"/>
  <c r="H5778" i="11"/>
  <c r="H5757" i="11"/>
  <c r="H5756" i="11"/>
  <c r="H5755" i="11"/>
  <c r="H5754" i="11"/>
  <c r="H5733" i="11"/>
  <c r="H5732" i="11"/>
  <c r="H5731" i="11"/>
  <c r="H5730" i="11"/>
  <c r="H5709" i="11"/>
  <c r="H5708" i="11"/>
  <c r="H5707" i="11"/>
  <c r="H5706" i="11"/>
  <c r="H5685" i="11"/>
  <c r="H5684" i="11"/>
  <c r="H5683" i="11"/>
  <c r="H5682" i="11"/>
  <c r="H5661" i="11"/>
  <c r="H5660" i="11"/>
  <c r="H5659" i="11"/>
  <c r="H5658" i="11"/>
  <c r="H5637" i="11"/>
  <c r="H5636" i="11"/>
  <c r="H5635" i="11"/>
  <c r="H5634" i="11"/>
  <c r="H5613" i="11"/>
  <c r="H5612" i="11"/>
  <c r="H5611" i="11"/>
  <c r="H5610" i="11"/>
  <c r="H5589" i="11"/>
  <c r="H5588" i="11"/>
  <c r="H5587" i="11"/>
  <c r="H5586" i="11"/>
  <c r="H5565" i="11"/>
  <c r="H5564" i="11"/>
  <c r="H5563" i="11"/>
  <c r="H5562" i="11"/>
  <c r="H5541" i="11"/>
  <c r="H5540" i="11"/>
  <c r="H5539" i="11"/>
  <c r="H5538" i="11"/>
  <c r="H5517" i="11"/>
  <c r="H5516" i="11"/>
  <c r="H5515" i="11"/>
  <c r="H5514" i="11"/>
  <c r="H5493" i="11"/>
  <c r="H5492" i="11"/>
  <c r="H5491" i="11"/>
  <c r="H5490" i="11"/>
  <c r="H5469" i="11"/>
  <c r="H5468" i="11"/>
  <c r="H5467" i="11"/>
  <c r="H5466" i="11"/>
  <c r="H5445" i="11"/>
  <c r="H5444" i="11"/>
  <c r="H5443" i="11"/>
  <c r="H5442" i="11"/>
  <c r="H5421" i="11"/>
  <c r="H5420" i="11"/>
  <c r="H5419" i="11"/>
  <c r="H5418" i="11"/>
  <c r="H5397" i="11"/>
  <c r="H5396" i="11"/>
  <c r="H5395" i="11"/>
  <c r="H5394" i="11"/>
  <c r="H5373" i="11"/>
  <c r="H5372" i="11"/>
  <c r="H5371" i="11"/>
  <c r="H5370" i="11"/>
  <c r="H5349" i="11"/>
  <c r="H5348" i="11"/>
  <c r="H5347" i="11"/>
  <c r="H5346" i="11"/>
  <c r="H5325" i="11"/>
  <c r="H5324" i="11"/>
  <c r="H5323" i="11"/>
  <c r="H5322" i="11"/>
  <c r="H5301" i="11"/>
  <c r="H5300" i="11"/>
  <c r="H5299" i="11"/>
  <c r="H5298" i="11"/>
  <c r="H5277" i="11"/>
  <c r="H5276" i="11"/>
  <c r="H5275" i="11"/>
  <c r="H5274" i="11"/>
  <c r="H5253" i="11"/>
  <c r="H5252" i="11"/>
  <c r="H5251" i="11"/>
  <c r="H5250" i="11"/>
  <c r="H5229" i="11"/>
  <c r="H5228" i="11"/>
  <c r="H5227" i="11"/>
  <c r="H5226" i="11"/>
  <c r="H5205" i="11"/>
  <c r="H5204" i="11"/>
  <c r="H5203" i="11"/>
  <c r="H5202" i="11"/>
  <c r="H5181" i="11"/>
  <c r="H5180" i="11"/>
  <c r="H5179" i="11"/>
  <c r="H5178" i="11"/>
  <c r="H5157" i="11"/>
  <c r="H5156" i="11"/>
  <c r="H5155" i="11"/>
  <c r="H5154" i="11"/>
  <c r="H5133" i="11"/>
  <c r="H5132" i="11"/>
  <c r="H5131" i="11"/>
  <c r="H5130" i="11"/>
  <c r="H5109" i="11"/>
  <c r="H5108" i="11"/>
  <c r="H5107" i="11"/>
  <c r="H5106" i="11"/>
  <c r="H5085" i="11"/>
  <c r="H5084" i="11"/>
  <c r="H5083" i="11"/>
  <c r="H5082" i="11"/>
  <c r="H5061" i="11"/>
  <c r="H5060" i="11"/>
  <c r="H5059" i="11"/>
  <c r="H5058" i="11"/>
  <c r="H5037" i="11"/>
  <c r="H5036" i="11"/>
  <c r="H5035" i="11"/>
  <c r="H5034" i="11"/>
  <c r="H5013" i="11"/>
  <c r="H5012" i="11"/>
  <c r="H5011" i="11"/>
  <c r="H5010" i="11"/>
  <c r="H4989" i="11"/>
  <c r="H4988" i="11"/>
  <c r="H4987" i="11"/>
  <c r="H4986" i="11"/>
  <c r="H4965" i="11"/>
  <c r="H4964" i="11"/>
  <c r="H4963" i="11"/>
  <c r="H4962" i="11"/>
  <c r="H4941" i="11"/>
  <c r="H4940" i="11"/>
  <c r="H4939" i="11"/>
  <c r="H4938" i="11"/>
  <c r="H4917" i="11"/>
  <c r="H4916" i="11"/>
  <c r="H4915" i="11"/>
  <c r="H4914" i="11"/>
  <c r="H4893" i="11"/>
  <c r="H4892" i="11"/>
  <c r="H4891" i="11"/>
  <c r="H4890" i="11"/>
  <c r="H4869" i="11"/>
  <c r="H4868" i="11"/>
  <c r="H4867" i="11"/>
  <c r="H4866" i="11"/>
  <c r="H4845" i="11"/>
  <c r="H4844" i="11"/>
  <c r="H4843" i="11"/>
  <c r="H4842" i="11"/>
  <c r="H4821" i="11"/>
  <c r="H4820" i="11"/>
  <c r="H4819" i="11"/>
  <c r="H4818" i="11"/>
  <c r="H4797" i="11"/>
  <c r="H4796" i="11"/>
  <c r="H4795" i="11"/>
  <c r="H4794" i="11"/>
  <c r="H4773" i="11"/>
  <c r="H4772" i="11"/>
  <c r="H4771" i="11"/>
  <c r="H4770" i="11"/>
  <c r="H4749" i="11"/>
  <c r="H4748" i="11"/>
  <c r="H4747" i="11"/>
  <c r="H4746" i="11"/>
  <c r="H4725" i="11"/>
  <c r="H4724" i="11"/>
  <c r="H4723" i="11"/>
  <c r="H4722" i="11"/>
  <c r="H4701" i="11"/>
  <c r="H4700" i="11"/>
  <c r="H4699" i="11"/>
  <c r="H4698" i="11"/>
  <c r="H4677" i="11"/>
  <c r="H4676" i="11"/>
  <c r="H4675" i="11"/>
  <c r="H4674" i="11"/>
  <c r="H4653" i="11"/>
  <c r="H4652" i="11"/>
  <c r="H4651" i="11"/>
  <c r="H4650" i="11"/>
  <c r="H4629" i="11"/>
  <c r="H4628" i="11"/>
  <c r="H4627" i="11"/>
  <c r="H4626" i="11"/>
  <c r="H4605" i="11"/>
  <c r="H4604" i="11"/>
  <c r="H4603" i="11"/>
  <c r="H4602" i="11"/>
  <c r="H4581" i="11"/>
  <c r="H4580" i="11"/>
  <c r="H4579" i="11"/>
  <c r="H4578" i="11"/>
  <c r="H4557" i="11"/>
  <c r="H4556" i="11"/>
  <c r="H4555" i="11"/>
  <c r="H4554" i="11"/>
  <c r="H4533" i="11"/>
  <c r="H4532" i="11"/>
  <c r="H4531" i="11"/>
  <c r="H4530" i="11"/>
  <c r="H4509" i="11"/>
  <c r="H4508" i="11"/>
  <c r="H4507" i="11"/>
  <c r="H4506" i="11"/>
  <c r="H4485" i="11"/>
  <c r="H4484" i="11"/>
  <c r="H4483" i="11"/>
  <c r="H4482" i="11"/>
  <c r="H4461" i="11"/>
  <c r="H4460" i="11"/>
  <c r="H4459" i="11"/>
  <c r="H4458" i="11"/>
  <c r="H4437" i="11"/>
  <c r="H4436" i="11"/>
  <c r="H4435" i="11"/>
  <c r="H4434" i="11"/>
  <c r="H4413" i="11"/>
  <c r="H4412" i="11"/>
  <c r="H4411" i="11"/>
  <c r="H4410" i="11"/>
  <c r="H4389" i="11"/>
  <c r="H4388" i="11"/>
  <c r="H4387" i="11"/>
  <c r="H4386" i="11"/>
  <c r="H4365" i="11"/>
  <c r="H4364" i="11"/>
  <c r="H4363" i="11"/>
  <c r="H4362" i="11"/>
  <c r="H4341" i="11"/>
  <c r="H4340" i="11"/>
  <c r="H4339" i="11"/>
  <c r="H4338" i="11"/>
  <c r="H4317" i="11"/>
  <c r="H4316" i="11"/>
  <c r="H4315" i="11"/>
  <c r="H4314" i="11"/>
  <c r="H4293" i="11"/>
  <c r="H4292" i="11"/>
  <c r="H4291" i="11"/>
  <c r="H4290" i="11"/>
  <c r="H4269" i="11"/>
  <c r="H4268" i="11"/>
  <c r="H4267" i="11"/>
  <c r="H4266" i="11"/>
  <c r="H4245" i="11"/>
  <c r="H4244" i="11"/>
  <c r="H4243" i="11"/>
  <c r="H4242" i="11"/>
  <c r="H4221" i="11"/>
  <c r="H4220" i="11"/>
  <c r="H4219" i="11"/>
  <c r="H4218" i="11"/>
  <c r="H4197" i="11"/>
  <c r="H4196" i="11"/>
  <c r="H4195" i="11"/>
  <c r="H4194" i="11"/>
  <c r="H4173" i="11"/>
  <c r="H4172" i="11"/>
  <c r="H4171" i="11"/>
  <c r="H4170" i="11"/>
  <c r="H4149" i="11"/>
  <c r="H4148" i="11"/>
  <c r="H4147" i="11"/>
  <c r="H4146" i="11"/>
  <c r="H4125" i="11"/>
  <c r="H4124" i="11"/>
  <c r="H4123" i="11"/>
  <c r="H4122" i="11"/>
  <c r="H4101" i="11"/>
  <c r="H4100" i="11"/>
  <c r="H4099" i="11"/>
  <c r="H4098" i="11"/>
  <c r="H4077" i="11"/>
  <c r="H4076" i="11"/>
  <c r="H4075" i="11"/>
  <c r="H4074" i="11"/>
  <c r="H4053" i="11"/>
  <c r="H4052" i="11"/>
  <c r="H4051" i="11"/>
  <c r="H4050" i="11"/>
  <c r="H4029" i="11"/>
  <c r="H4028" i="11"/>
  <c r="H4027" i="11"/>
  <c r="H4026" i="11"/>
  <c r="H4005" i="11"/>
  <c r="H4004" i="11"/>
  <c r="H4003" i="11"/>
  <c r="H4002" i="11"/>
  <c r="H3981" i="11"/>
  <c r="H3980" i="11"/>
  <c r="H3979" i="11"/>
  <c r="H3978" i="11"/>
  <c r="H3957" i="11"/>
  <c r="H3956" i="11"/>
  <c r="H3955" i="11"/>
  <c r="H3954" i="11"/>
  <c r="H3933" i="11"/>
  <c r="H3932" i="11"/>
  <c r="H3931" i="11"/>
  <c r="H3930" i="11"/>
  <c r="H3909" i="11"/>
  <c r="H3908" i="11"/>
  <c r="H3907" i="11"/>
  <c r="H3906" i="11"/>
  <c r="H3885" i="11"/>
  <c r="H3884" i="11"/>
  <c r="H3883" i="11"/>
  <c r="H3882" i="11"/>
  <c r="H3861" i="11"/>
  <c r="H3860" i="11"/>
  <c r="H3859" i="11"/>
  <c r="H3858" i="11"/>
  <c r="H3837" i="11"/>
  <c r="H3836" i="11"/>
  <c r="H3835" i="11"/>
  <c r="H3834" i="11"/>
  <c r="H3813" i="11"/>
  <c r="H3812" i="11"/>
  <c r="H3811" i="11"/>
  <c r="H3810" i="11"/>
  <c r="H3789" i="11"/>
  <c r="H3788" i="11"/>
  <c r="H3787" i="11"/>
  <c r="H3786" i="11"/>
  <c r="H3765" i="11"/>
  <c r="H3764" i="11"/>
  <c r="H3763" i="11"/>
  <c r="H3762" i="11"/>
  <c r="H3741" i="11"/>
  <c r="H3740" i="11"/>
  <c r="H3739" i="11"/>
  <c r="H3738" i="11"/>
  <c r="H3717" i="11"/>
  <c r="H3716" i="11"/>
  <c r="H3715" i="11"/>
  <c r="H3714" i="11"/>
  <c r="H3693" i="11"/>
  <c r="H3692" i="11"/>
  <c r="H3691" i="11"/>
  <c r="H3690" i="11"/>
  <c r="H3669" i="11"/>
  <c r="H3668" i="11"/>
  <c r="H3667" i="11"/>
  <c r="H3666" i="11"/>
  <c r="H3645" i="11"/>
  <c r="H3644" i="11"/>
  <c r="H3643" i="11"/>
  <c r="H3642" i="11"/>
  <c r="H3621" i="11"/>
  <c r="H3620" i="11"/>
  <c r="H3619" i="11"/>
  <c r="H3618" i="11"/>
  <c r="H3597" i="11"/>
  <c r="H3596" i="11"/>
  <c r="H3595" i="11"/>
  <c r="H3594" i="11"/>
  <c r="H3573" i="11"/>
  <c r="H3572" i="11"/>
  <c r="H3571" i="11"/>
  <c r="H3570" i="11"/>
  <c r="H3549" i="11"/>
  <c r="H3548" i="11"/>
  <c r="H3547" i="11"/>
  <c r="H3546" i="11"/>
  <c r="H3525" i="11"/>
  <c r="H3524" i="11"/>
  <c r="H3523" i="11"/>
  <c r="H3522" i="11"/>
  <c r="H3501" i="11"/>
  <c r="H3500" i="11"/>
  <c r="H3499" i="11"/>
  <c r="H3498" i="11"/>
  <c r="H3477" i="11"/>
  <c r="H3476" i="11"/>
  <c r="H3475" i="11"/>
  <c r="H3474" i="11"/>
  <c r="H3453" i="11"/>
  <c r="H3452" i="11"/>
  <c r="H3451" i="11"/>
  <c r="H3450" i="11"/>
  <c r="H3429" i="11"/>
  <c r="H3428" i="11"/>
  <c r="H3427" i="11"/>
  <c r="H3426" i="11"/>
  <c r="H3405" i="11"/>
  <c r="H3404" i="11"/>
  <c r="H3403" i="11"/>
  <c r="H3402" i="11"/>
  <c r="H3381" i="11"/>
  <c r="H3380" i="11"/>
  <c r="H3379" i="11"/>
  <c r="H3378" i="11"/>
  <c r="H3357" i="11"/>
  <c r="H3356" i="11"/>
  <c r="H3355" i="11"/>
  <c r="H3354" i="11"/>
  <c r="H3333" i="11"/>
  <c r="H3332" i="11"/>
  <c r="H3331" i="11"/>
  <c r="H3330" i="11"/>
  <c r="H3309" i="11"/>
  <c r="H3308" i="11"/>
  <c r="H3307" i="11"/>
  <c r="H3306" i="11"/>
  <c r="H3285" i="11"/>
  <c r="H3284" i="11"/>
  <c r="H3283" i="11"/>
  <c r="H3282" i="11"/>
  <c r="H3261" i="11"/>
  <c r="H3260" i="11"/>
  <c r="H3259" i="11"/>
  <c r="H3258" i="11"/>
  <c r="H3237" i="11"/>
  <c r="H3236" i="11"/>
  <c r="H3235" i="11"/>
  <c r="H3234" i="11"/>
  <c r="H3213" i="11"/>
  <c r="H3212" i="11"/>
  <c r="H3211" i="11"/>
  <c r="H3210" i="11"/>
  <c r="H3189" i="11"/>
  <c r="H3188" i="11"/>
  <c r="H3187" i="11"/>
  <c r="H3186" i="11"/>
  <c r="H3165" i="11"/>
  <c r="H3164" i="11"/>
  <c r="H3163" i="11"/>
  <c r="H3162" i="11"/>
  <c r="H3141" i="11"/>
  <c r="H3140" i="11"/>
  <c r="H3139" i="11"/>
  <c r="H3138" i="11"/>
  <c r="H3117" i="11"/>
  <c r="H3116" i="11"/>
  <c r="H3115" i="11"/>
  <c r="H3114" i="11"/>
  <c r="H3093" i="11"/>
  <c r="H3092" i="11"/>
  <c r="H3091" i="11"/>
  <c r="H3090" i="11"/>
  <c r="H3069" i="11"/>
  <c r="H3068" i="11"/>
  <c r="H3067" i="11"/>
  <c r="H3066" i="11"/>
  <c r="H3045" i="11"/>
  <c r="H3044" i="11"/>
  <c r="H3043" i="11"/>
  <c r="H3042" i="11"/>
  <c r="H3021" i="11"/>
  <c r="H3020" i="11"/>
  <c r="H3019" i="11"/>
  <c r="H3018" i="11"/>
  <c r="H2997" i="11"/>
  <c r="H2996" i="11"/>
  <c r="H2995" i="11"/>
  <c r="H2994" i="11"/>
  <c r="H2973" i="11"/>
  <c r="H2972" i="11"/>
  <c r="H2971" i="11"/>
  <c r="H2970" i="11"/>
  <c r="H2949" i="11"/>
  <c r="H2948" i="11"/>
  <c r="H2947" i="11"/>
  <c r="H2946" i="11"/>
  <c r="H2925" i="11"/>
  <c r="H2924" i="11"/>
  <c r="H2923" i="11"/>
  <c r="H2922" i="11"/>
  <c r="H2901" i="11"/>
  <c r="H2900" i="11"/>
  <c r="H2899" i="11"/>
  <c r="H2898" i="11"/>
  <c r="H2877" i="11"/>
  <c r="H2876" i="11"/>
  <c r="H2875" i="11"/>
  <c r="H2874" i="11"/>
  <c r="H2853" i="11"/>
  <c r="H2852" i="11"/>
  <c r="H2851" i="11"/>
  <c r="H2850" i="11"/>
  <c r="H2829" i="11"/>
  <c r="H2828" i="11"/>
  <c r="H2827" i="11"/>
  <c r="H2826" i="11"/>
  <c r="H2805" i="11"/>
  <c r="H2804" i="11"/>
  <c r="H2803" i="11"/>
  <c r="H2802" i="11"/>
  <c r="H2781" i="11"/>
  <c r="H2780" i="11"/>
  <c r="H2779" i="11"/>
  <c r="H2778" i="11"/>
  <c r="H2757" i="11"/>
  <c r="H2756" i="11"/>
  <c r="H2755" i="11"/>
  <c r="H2754" i="11"/>
  <c r="H2733" i="11"/>
  <c r="H2732" i="11"/>
  <c r="H2731" i="11"/>
  <c r="H2730" i="11"/>
  <c r="H2709" i="11"/>
  <c r="H2708" i="11"/>
  <c r="H2707" i="11"/>
  <c r="H2706" i="11"/>
  <c r="H2685" i="11"/>
  <c r="H2684" i="11"/>
  <c r="H2683" i="11"/>
  <c r="H2682" i="11"/>
  <c r="H2661" i="11"/>
  <c r="H2660" i="11"/>
  <c r="H2659" i="11"/>
  <c r="H2658" i="11"/>
  <c r="H2637" i="11"/>
  <c r="H2636" i="11"/>
  <c r="H2635" i="11"/>
  <c r="H2634" i="11"/>
  <c r="H2613" i="11"/>
  <c r="H2612" i="11"/>
  <c r="H2611" i="11"/>
  <c r="H2610" i="11"/>
  <c r="H2589" i="11"/>
  <c r="H2588" i="11"/>
  <c r="H2587" i="11"/>
  <c r="H2586" i="11"/>
  <c r="H2565" i="11"/>
  <c r="H2564" i="11"/>
  <c r="H2563" i="11"/>
  <c r="H2562" i="11"/>
  <c r="H2541" i="11"/>
  <c r="H2540" i="11"/>
  <c r="H2539" i="11"/>
  <c r="H2538" i="11"/>
  <c r="H2517" i="11"/>
  <c r="H2516" i="11"/>
  <c r="H2515" i="11"/>
  <c r="H2514" i="11"/>
  <c r="H2493" i="11"/>
  <c r="H2492" i="11"/>
  <c r="H2491" i="11"/>
  <c r="H2490" i="11"/>
  <c r="H2469" i="11"/>
  <c r="H2468" i="11"/>
  <c r="H2467" i="11"/>
  <c r="H2466" i="11"/>
  <c r="H2445" i="11"/>
  <c r="H2444" i="11"/>
  <c r="H2443" i="11"/>
  <c r="H2442" i="11"/>
  <c r="H2421" i="11"/>
  <c r="H2420" i="11"/>
  <c r="H2419" i="11"/>
  <c r="H2418" i="11"/>
  <c r="H2397" i="11"/>
  <c r="H2396" i="11"/>
  <c r="H2395" i="11"/>
  <c r="H2394" i="11"/>
  <c r="H2373" i="11"/>
  <c r="H2372" i="11"/>
  <c r="H2371" i="11"/>
  <c r="H2370" i="11"/>
  <c r="H2349" i="11"/>
  <c r="H2348" i="11"/>
  <c r="H2347" i="11"/>
  <c r="H2346" i="11"/>
  <c r="H2325" i="11"/>
  <c r="H2324" i="11"/>
  <c r="H2323" i="11"/>
  <c r="H2322" i="11"/>
  <c r="H2301" i="11"/>
  <c r="H2300" i="11"/>
  <c r="H2299" i="11"/>
  <c r="H2298" i="11"/>
  <c r="H2277" i="11"/>
  <c r="H2276" i="11"/>
  <c r="H2275" i="11"/>
  <c r="H2274" i="11"/>
  <c r="H2253" i="11"/>
  <c r="H2252" i="11"/>
  <c r="H2251" i="11"/>
  <c r="H2250" i="11"/>
  <c r="H2229" i="11"/>
  <c r="H2228" i="11"/>
  <c r="H2227" i="11"/>
  <c r="H2226" i="11"/>
  <c r="H2205" i="11"/>
  <c r="H2204" i="11"/>
  <c r="H2203" i="11"/>
  <c r="H2202" i="11"/>
  <c r="H2181" i="11"/>
  <c r="H2180" i="11"/>
  <c r="H2179" i="11"/>
  <c r="H2178" i="11"/>
  <c r="H2157" i="11"/>
  <c r="H2156" i="11"/>
  <c r="H2155" i="11"/>
  <c r="H2154" i="11"/>
  <c r="H2133" i="11"/>
  <c r="H2132" i="11"/>
  <c r="H2131" i="11"/>
  <c r="H2130" i="11"/>
  <c r="H2109" i="11"/>
  <c r="H2108" i="11"/>
  <c r="H2107" i="11"/>
  <c r="H2106" i="11"/>
  <c r="H2085" i="11"/>
  <c r="H2084" i="11"/>
  <c r="H2083" i="11"/>
  <c r="H2082" i="11"/>
  <c r="H2061" i="11"/>
  <c r="H2060" i="11"/>
  <c r="H2059" i="11"/>
  <c r="H2058" i="11"/>
  <c r="H2037" i="11"/>
  <c r="H2036" i="11"/>
  <c r="H2035" i="11"/>
  <c r="H2034" i="11"/>
  <c r="H2013" i="11"/>
  <c r="H2012" i="11"/>
  <c r="H2011" i="11"/>
  <c r="H2010" i="11"/>
  <c r="H1989" i="11"/>
  <c r="H1988" i="11"/>
  <c r="H1987" i="11"/>
  <c r="H1986" i="11"/>
  <c r="H1965" i="11"/>
  <c r="H1964" i="11"/>
  <c r="H1963" i="11"/>
  <c r="H1962" i="11"/>
  <c r="H1941" i="11"/>
  <c r="H1940" i="11"/>
  <c r="H1939" i="11"/>
  <c r="H1938" i="11"/>
  <c r="H1917" i="11"/>
  <c r="H1916" i="11"/>
  <c r="H1915" i="11"/>
  <c r="H1914" i="11"/>
  <c r="H1893" i="11"/>
  <c r="H1892" i="11"/>
  <c r="H1891" i="11"/>
  <c r="H1890" i="11"/>
  <c r="H1869" i="11"/>
  <c r="H1868" i="11"/>
  <c r="H1867" i="11"/>
  <c r="H1866" i="11"/>
  <c r="H1845" i="11"/>
  <c r="H1844" i="11"/>
  <c r="H1843" i="11"/>
  <c r="H1842" i="11"/>
  <c r="H1821" i="11"/>
  <c r="H1820" i="11"/>
  <c r="H1819" i="11"/>
  <c r="H1818" i="11"/>
  <c r="H1797" i="11"/>
  <c r="H1796" i="11"/>
  <c r="H1795" i="11"/>
  <c r="H1794" i="11"/>
  <c r="H1773" i="11"/>
  <c r="H1772" i="11"/>
  <c r="H1771" i="11"/>
  <c r="H1770" i="11"/>
  <c r="H1749" i="11"/>
  <c r="H1748" i="11"/>
  <c r="H1747" i="11"/>
  <c r="H1746" i="11"/>
  <c r="H1725" i="11"/>
  <c r="H1724" i="11"/>
  <c r="H1723" i="11"/>
  <c r="H1722" i="11"/>
  <c r="H1701" i="11"/>
  <c r="H1700" i="11"/>
  <c r="H1699" i="11"/>
  <c r="H1698" i="11"/>
  <c r="H1677" i="11"/>
  <c r="H1676" i="11"/>
  <c r="H1675" i="11"/>
  <c r="H1674" i="11"/>
  <c r="H1653" i="11"/>
  <c r="H1652" i="11"/>
  <c r="H1651" i="11"/>
  <c r="H1650" i="11"/>
  <c r="H1629" i="11"/>
  <c r="H1628" i="11"/>
  <c r="H1627" i="11"/>
  <c r="H1626" i="11"/>
  <c r="H1605" i="11"/>
  <c r="H1604" i="11"/>
  <c r="H1603" i="11"/>
  <c r="H1602" i="11"/>
  <c r="H1581" i="11"/>
  <c r="H1580" i="11"/>
  <c r="H1579" i="11"/>
  <c r="H1578" i="11"/>
  <c r="H1557" i="11"/>
  <c r="H1556" i="11"/>
  <c r="H1555" i="11"/>
  <c r="H1554" i="11"/>
  <c r="H1533" i="11"/>
  <c r="H1532" i="11"/>
  <c r="H1531" i="11"/>
  <c r="H1530" i="11"/>
  <c r="H1509" i="11"/>
  <c r="H1508" i="11"/>
  <c r="H1507" i="11"/>
  <c r="H1506" i="11"/>
  <c r="H1485" i="11"/>
  <c r="H1484" i="11"/>
  <c r="H1483" i="11"/>
  <c r="H1482" i="11"/>
  <c r="H1461" i="11"/>
  <c r="H1460" i="11"/>
  <c r="H1459" i="11"/>
  <c r="H1458" i="11"/>
  <c r="H1437" i="11"/>
  <c r="H1436" i="11"/>
  <c r="H1435" i="11"/>
  <c r="H1434" i="11"/>
  <c r="H1413" i="11"/>
  <c r="H1412" i="11"/>
  <c r="H1411" i="11"/>
  <c r="H1410" i="11"/>
  <c r="H1389" i="11"/>
  <c r="H1388" i="11"/>
  <c r="H1387" i="11"/>
  <c r="H1386" i="11"/>
  <c r="H1365" i="11"/>
  <c r="H1364" i="11"/>
  <c r="H1363" i="11"/>
  <c r="H1362" i="11"/>
  <c r="H1341" i="11"/>
  <c r="H1340" i="11"/>
  <c r="H1339" i="11"/>
  <c r="H1338" i="11"/>
  <c r="H1317" i="11"/>
  <c r="H1316" i="11"/>
  <c r="H1315" i="11"/>
  <c r="H1314" i="11"/>
  <c r="H1293" i="11"/>
  <c r="H1292" i="11"/>
  <c r="H1291" i="11"/>
  <c r="H1290" i="11"/>
  <c r="H1269" i="11"/>
  <c r="H1268" i="11"/>
  <c r="H1267" i="11"/>
  <c r="H1266" i="11"/>
  <c r="H1245" i="11"/>
  <c r="H1244" i="11"/>
  <c r="H1243" i="11"/>
  <c r="H1242" i="11"/>
  <c r="H1221" i="11"/>
  <c r="H1220" i="11"/>
  <c r="H1219" i="11"/>
  <c r="H1218" i="11"/>
  <c r="H1197" i="11"/>
  <c r="H1196" i="11"/>
  <c r="H1195" i="11"/>
  <c r="H1194" i="11"/>
  <c r="H1173" i="11"/>
  <c r="H1172" i="11"/>
  <c r="H1171" i="11"/>
  <c r="H1170" i="11"/>
  <c r="H1149" i="11"/>
  <c r="H1148" i="11"/>
  <c r="H1147" i="11"/>
  <c r="H1146" i="11"/>
  <c r="H1125" i="11"/>
  <c r="H1124" i="11"/>
  <c r="H1123" i="11"/>
  <c r="H1122" i="11"/>
  <c r="H1101" i="11"/>
  <c r="H1100" i="11"/>
  <c r="H1099" i="11"/>
  <c r="H1098" i="11"/>
  <c r="H1077" i="11"/>
  <c r="H1076" i="11"/>
  <c r="H1075" i="11"/>
  <c r="H1074" i="11"/>
  <c r="H1053" i="11"/>
  <c r="H1052" i="11"/>
  <c r="H1051" i="11"/>
  <c r="H1050" i="11"/>
  <c r="H1029" i="11"/>
  <c r="H1028" i="11"/>
  <c r="H1027" i="11"/>
  <c r="H1026" i="11"/>
  <c r="H1005" i="11"/>
  <c r="H1004" i="11"/>
  <c r="H1003" i="11"/>
  <c r="H1002" i="11"/>
  <c r="H981" i="11"/>
  <c r="H980" i="11"/>
  <c r="H979" i="11"/>
  <c r="H978" i="11"/>
  <c r="H957" i="11"/>
  <c r="H956" i="11"/>
  <c r="H955" i="11"/>
  <c r="H954" i="11"/>
  <c r="H933" i="11"/>
  <c r="H932" i="11"/>
  <c r="H931" i="11"/>
  <c r="H930" i="11"/>
  <c r="H909" i="11"/>
  <c r="H908" i="11"/>
  <c r="H907" i="11"/>
  <c r="H906" i="11"/>
  <c r="H885" i="11"/>
  <c r="H884" i="11"/>
  <c r="H883" i="11"/>
  <c r="H882" i="11"/>
  <c r="H861" i="11"/>
  <c r="H860" i="11"/>
  <c r="H859" i="11"/>
  <c r="H858" i="11"/>
  <c r="H837" i="11"/>
  <c r="H836" i="11"/>
  <c r="H835" i="11"/>
  <c r="H834" i="11"/>
  <c r="H813" i="11"/>
  <c r="H812" i="11"/>
  <c r="H811" i="11"/>
  <c r="H810" i="11"/>
  <c r="H789" i="11"/>
  <c r="H788" i="11"/>
  <c r="H787" i="11"/>
  <c r="H786" i="11"/>
  <c r="H765" i="11"/>
  <c r="H764" i="11"/>
  <c r="H763" i="11"/>
  <c r="H762" i="11"/>
  <c r="H741" i="11"/>
  <c r="H740" i="11"/>
  <c r="H739" i="11"/>
  <c r="H738" i="11"/>
  <c r="H717" i="11"/>
  <c r="H716" i="11"/>
  <c r="H715" i="11"/>
  <c r="H714" i="11"/>
  <c r="H693" i="11"/>
  <c r="H692" i="11"/>
  <c r="H691" i="11"/>
  <c r="H690" i="11"/>
  <c r="H669" i="11"/>
  <c r="H668" i="11"/>
  <c r="H667" i="11"/>
  <c r="H666" i="11"/>
  <c r="H645" i="11"/>
  <c r="H644" i="11"/>
  <c r="H643" i="11"/>
  <c r="H642" i="11"/>
  <c r="H621" i="11"/>
  <c r="H620" i="11"/>
  <c r="H619" i="11"/>
  <c r="H618" i="11"/>
  <c r="H597" i="11"/>
  <c r="H596" i="11"/>
  <c r="H595" i="11"/>
  <c r="H594" i="11"/>
  <c r="H573" i="11"/>
  <c r="H572" i="11"/>
  <c r="H571" i="11"/>
  <c r="H570" i="11"/>
  <c r="H549" i="11"/>
  <c r="H548" i="11"/>
  <c r="H547" i="11"/>
  <c r="H546" i="11"/>
  <c r="H525" i="11"/>
  <c r="H524" i="11"/>
  <c r="H523" i="11"/>
  <c r="H522" i="11"/>
  <c r="H501" i="11"/>
  <c r="H500" i="11"/>
  <c r="H499" i="11"/>
  <c r="H498" i="11"/>
  <c r="H477" i="11"/>
  <c r="H476" i="11"/>
  <c r="H475" i="11"/>
  <c r="H474" i="11"/>
  <c r="H453" i="11"/>
  <c r="H452" i="11"/>
  <c r="H451" i="11"/>
  <c r="H450" i="11"/>
  <c r="H429" i="11"/>
  <c r="H428" i="11"/>
  <c r="H427" i="11"/>
  <c r="H426" i="11"/>
  <c r="H405" i="11"/>
  <c r="H404" i="11"/>
  <c r="H403" i="11"/>
  <c r="H402" i="11"/>
  <c r="H381" i="11"/>
  <c r="H380" i="11"/>
  <c r="H379" i="11"/>
  <c r="H378" i="11"/>
  <c r="H357" i="11"/>
  <c r="H356" i="11"/>
  <c r="H355" i="11"/>
  <c r="H354" i="11"/>
  <c r="H333" i="11"/>
  <c r="H332" i="11"/>
  <c r="H331" i="11"/>
  <c r="H330" i="11"/>
  <c r="H309" i="11"/>
  <c r="H308" i="11"/>
  <c r="H307" i="11"/>
  <c r="H306" i="11"/>
  <c r="H285" i="11"/>
  <c r="H284" i="11"/>
  <c r="H283" i="11"/>
  <c r="H282" i="11"/>
  <c r="H261" i="11"/>
  <c r="H260" i="11"/>
  <c r="H259" i="11"/>
  <c r="H258" i="11"/>
  <c r="H237" i="11"/>
  <c r="H236" i="11"/>
  <c r="H235" i="11"/>
  <c r="H234" i="11"/>
  <c r="H213" i="11"/>
  <c r="H212" i="11"/>
  <c r="H211" i="11"/>
  <c r="H210" i="11"/>
  <c r="H189" i="11"/>
  <c r="H188" i="11"/>
  <c r="H187" i="11"/>
  <c r="H186" i="11"/>
  <c r="H165" i="11"/>
  <c r="H164" i="11"/>
  <c r="H163" i="11"/>
  <c r="H162" i="11"/>
  <c r="H141" i="11"/>
  <c r="H140" i="11"/>
  <c r="H139" i="11"/>
  <c r="H138" i="11"/>
  <c r="H117" i="11"/>
  <c r="H116" i="11"/>
  <c r="H115" i="11"/>
  <c r="H114" i="11"/>
  <c r="H93" i="11"/>
  <c r="H92" i="11"/>
  <c r="H91" i="11"/>
  <c r="H90" i="11"/>
  <c r="H69" i="11"/>
  <c r="H68" i="11"/>
  <c r="H67" i="11"/>
  <c r="H66" i="11"/>
  <c r="H45" i="11"/>
  <c r="H44" i="11"/>
  <c r="H43" i="11"/>
  <c r="H42" i="11"/>
  <c r="H21" i="11"/>
  <c r="H20" i="11"/>
  <c r="H19" i="11"/>
  <c r="H18" i="11"/>
  <c r="H17" i="10"/>
  <c r="H18" i="10"/>
  <c r="H19" i="10"/>
  <c r="H16" i="10"/>
  <c r="H141" i="9"/>
  <c r="H140" i="9"/>
  <c r="H139" i="9"/>
  <c r="H138" i="9"/>
  <c r="H117" i="9"/>
  <c r="H116" i="9"/>
  <c r="H115" i="9"/>
  <c r="H114" i="9"/>
  <c r="H93" i="9"/>
  <c r="H92" i="9"/>
  <c r="H91" i="9"/>
  <c r="H90" i="9"/>
  <c r="H69" i="9"/>
  <c r="H68" i="9"/>
  <c r="H67" i="9"/>
  <c r="H66" i="9"/>
  <c r="H45" i="9"/>
  <c r="H44" i="9"/>
  <c r="H43" i="9"/>
  <c r="H42" i="9"/>
  <c r="H21" i="9"/>
  <c r="H20" i="9"/>
  <c r="H19" i="9"/>
  <c r="H18" i="9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18" i="8"/>
  <c r="H34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16" i="7"/>
  <c r="R352" i="6"/>
  <c r="Q352" i="6"/>
  <c r="P352" i="6"/>
  <c r="O352" i="6"/>
  <c r="R351" i="6"/>
  <c r="Q351" i="6"/>
  <c r="P351" i="6"/>
  <c r="O351" i="6"/>
  <c r="R333" i="6"/>
  <c r="Q333" i="6"/>
  <c r="P333" i="6"/>
  <c r="O333" i="6"/>
  <c r="R332" i="6"/>
  <c r="Q332" i="6"/>
  <c r="P332" i="6"/>
  <c r="O332" i="6"/>
  <c r="R314" i="6"/>
  <c r="Q314" i="6"/>
  <c r="P314" i="6"/>
  <c r="O314" i="6"/>
  <c r="R313" i="6"/>
  <c r="Q313" i="6"/>
  <c r="P313" i="6"/>
  <c r="O313" i="6"/>
  <c r="R295" i="6"/>
  <c r="Q295" i="6"/>
  <c r="P295" i="6"/>
  <c r="O295" i="6"/>
  <c r="R294" i="6"/>
  <c r="Q294" i="6"/>
  <c r="P294" i="6"/>
  <c r="O294" i="6"/>
  <c r="R276" i="6"/>
  <c r="Q276" i="6"/>
  <c r="P276" i="6"/>
  <c r="O276" i="6"/>
  <c r="R275" i="6"/>
  <c r="Q275" i="6"/>
  <c r="P275" i="6"/>
  <c r="O275" i="6"/>
  <c r="R257" i="6"/>
  <c r="Q257" i="6"/>
  <c r="P257" i="6"/>
  <c r="O257" i="6"/>
  <c r="R256" i="6"/>
  <c r="Q256" i="6"/>
  <c r="P256" i="6"/>
  <c r="O256" i="6"/>
  <c r="R234" i="6"/>
  <c r="Q234" i="6"/>
  <c r="P234" i="6"/>
  <c r="O234" i="6"/>
  <c r="R233" i="6"/>
  <c r="Q233" i="6"/>
  <c r="P233" i="6"/>
  <c r="O233" i="6"/>
  <c r="R232" i="6"/>
  <c r="Q232" i="6"/>
  <c r="P232" i="6"/>
  <c r="O232" i="6"/>
  <c r="R210" i="6"/>
  <c r="Q210" i="6"/>
  <c r="P210" i="6"/>
  <c r="O210" i="6"/>
  <c r="R209" i="6"/>
  <c r="Q209" i="6"/>
  <c r="P209" i="6"/>
  <c r="O209" i="6"/>
  <c r="R208" i="6"/>
  <c r="Q208" i="6"/>
  <c r="P208" i="6"/>
  <c r="O208" i="6"/>
  <c r="R186" i="6"/>
  <c r="Q186" i="6"/>
  <c r="P186" i="6"/>
  <c r="O186" i="6"/>
  <c r="R185" i="6"/>
  <c r="Q185" i="6"/>
  <c r="P185" i="6"/>
  <c r="O185" i="6"/>
  <c r="R184" i="6"/>
  <c r="Q184" i="6"/>
  <c r="P184" i="6"/>
  <c r="O184" i="6"/>
  <c r="R166" i="6"/>
  <c r="Q166" i="6"/>
  <c r="P166" i="6"/>
  <c r="O166" i="6"/>
  <c r="R165" i="6"/>
  <c r="Q165" i="6"/>
  <c r="P165" i="6"/>
  <c r="O165" i="6"/>
  <c r="R139" i="6"/>
  <c r="Q139" i="6"/>
  <c r="P139" i="6"/>
  <c r="O139" i="6"/>
  <c r="R138" i="6"/>
  <c r="Q138" i="6"/>
  <c r="P138" i="6"/>
  <c r="O138" i="6"/>
  <c r="R137" i="6"/>
  <c r="Q137" i="6"/>
  <c r="P137" i="6"/>
  <c r="O137" i="6"/>
  <c r="R136" i="6"/>
  <c r="Q136" i="6"/>
  <c r="P136" i="6"/>
  <c r="O136" i="6"/>
  <c r="R110" i="6"/>
  <c r="Q110" i="6"/>
  <c r="P110" i="6"/>
  <c r="O110" i="6"/>
  <c r="R109" i="6"/>
  <c r="Q109" i="6"/>
  <c r="P109" i="6"/>
  <c r="O109" i="6"/>
  <c r="R108" i="6"/>
  <c r="Q108" i="6"/>
  <c r="P108" i="6"/>
  <c r="O108" i="6"/>
  <c r="R107" i="6"/>
  <c r="Q107" i="6"/>
  <c r="P107" i="6"/>
  <c r="O107" i="6"/>
  <c r="R81" i="6"/>
  <c r="O79" i="6"/>
  <c r="P79" i="6"/>
  <c r="Q79" i="6"/>
  <c r="R79" i="6"/>
  <c r="O80" i="6"/>
  <c r="P80" i="6"/>
  <c r="Q80" i="6"/>
  <c r="R80" i="6"/>
  <c r="O81" i="6"/>
  <c r="P81" i="6"/>
  <c r="Q81" i="6"/>
  <c r="R78" i="6"/>
  <c r="Q78" i="6"/>
  <c r="P78" i="6"/>
  <c r="O78" i="6"/>
  <c r="R60" i="6"/>
  <c r="Q60" i="6"/>
  <c r="P60" i="6"/>
  <c r="O60" i="6"/>
  <c r="R59" i="6"/>
  <c r="Q59" i="6"/>
  <c r="P59" i="6"/>
  <c r="O59" i="6"/>
  <c r="R41" i="6"/>
  <c r="R40" i="6"/>
  <c r="Q41" i="6"/>
  <c r="Q40" i="6"/>
  <c r="P40" i="6"/>
  <c r="P41" i="6"/>
  <c r="O41" i="6"/>
  <c r="O40" i="6"/>
  <c r="R17" i="6"/>
  <c r="R18" i="6"/>
  <c r="R16" i="6"/>
  <c r="Q17" i="6"/>
  <c r="Q18" i="6"/>
  <c r="Q16" i="6"/>
  <c r="P17" i="6"/>
  <c r="P18" i="6"/>
  <c r="P16" i="6"/>
  <c r="O17" i="6"/>
  <c r="O18" i="6"/>
  <c r="O16" i="6"/>
  <c r="J132" i="5"/>
  <c r="J131" i="5"/>
  <c r="J125" i="5"/>
  <c r="J124" i="5"/>
  <c r="J118" i="5"/>
  <c r="J117" i="5"/>
  <c r="J111" i="5"/>
  <c r="J110" i="5"/>
  <c r="J104" i="5"/>
  <c r="J103" i="5"/>
  <c r="J97" i="5"/>
  <c r="J96" i="5"/>
  <c r="J90" i="5"/>
  <c r="J89" i="5"/>
  <c r="J88" i="5"/>
  <c r="J82" i="5"/>
  <c r="J81" i="5"/>
  <c r="J80" i="5"/>
  <c r="J74" i="5"/>
  <c r="J73" i="5"/>
  <c r="J72" i="5"/>
  <c r="J66" i="5"/>
  <c r="J65" i="5"/>
  <c r="J59" i="5"/>
  <c r="J58" i="5"/>
  <c r="J57" i="5"/>
  <c r="J56" i="5"/>
  <c r="J50" i="5"/>
  <c r="J49" i="5"/>
  <c r="J48" i="5"/>
  <c r="J47" i="5"/>
  <c r="J41" i="5"/>
  <c r="J40" i="5"/>
  <c r="J39" i="5"/>
  <c r="J38" i="5"/>
  <c r="J32" i="5"/>
  <c r="J31" i="5"/>
  <c r="J25" i="5"/>
  <c r="J24" i="5"/>
  <c r="J18" i="5"/>
  <c r="J17" i="5"/>
  <c r="J16" i="5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75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52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29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6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4" i="3"/>
  <c r="L272" i="2"/>
  <c r="K272" i="2"/>
  <c r="J272" i="2"/>
  <c r="I272" i="2"/>
  <c r="L271" i="2"/>
  <c r="K271" i="2"/>
  <c r="J271" i="2"/>
  <c r="I271" i="2"/>
  <c r="L257" i="2"/>
  <c r="K257" i="2"/>
  <c r="J257" i="2"/>
  <c r="I257" i="2"/>
  <c r="L256" i="2"/>
  <c r="K256" i="2"/>
  <c r="J256" i="2"/>
  <c r="I256" i="2"/>
  <c r="L242" i="2"/>
  <c r="K242" i="2"/>
  <c r="J242" i="2"/>
  <c r="I242" i="2"/>
  <c r="L241" i="2"/>
  <c r="K241" i="2"/>
  <c r="J241" i="2"/>
  <c r="I241" i="2"/>
  <c r="L227" i="2"/>
  <c r="K227" i="2"/>
  <c r="J227" i="2"/>
  <c r="I227" i="2"/>
  <c r="L226" i="2"/>
  <c r="K226" i="2"/>
  <c r="J226" i="2"/>
  <c r="I226" i="2"/>
  <c r="L212" i="2"/>
  <c r="K212" i="2"/>
  <c r="J212" i="2"/>
  <c r="I212" i="2"/>
  <c r="L211" i="2"/>
  <c r="K211" i="2"/>
  <c r="J211" i="2"/>
  <c r="I211" i="2"/>
  <c r="L197" i="2"/>
  <c r="K197" i="2"/>
  <c r="J197" i="2"/>
  <c r="I197" i="2"/>
  <c r="L196" i="2"/>
  <c r="K196" i="2"/>
  <c r="J196" i="2"/>
  <c r="I196" i="2"/>
  <c r="L179" i="2"/>
  <c r="K179" i="2"/>
  <c r="J179" i="2"/>
  <c r="I179" i="2"/>
  <c r="L178" i="2"/>
  <c r="K178" i="2"/>
  <c r="J178" i="2"/>
  <c r="I178" i="2"/>
  <c r="L177" i="2"/>
  <c r="K177" i="2"/>
  <c r="J177" i="2"/>
  <c r="I177" i="2"/>
  <c r="L160" i="2"/>
  <c r="K160" i="2"/>
  <c r="J160" i="2"/>
  <c r="I160" i="2"/>
  <c r="L159" i="2"/>
  <c r="K159" i="2"/>
  <c r="J159" i="2"/>
  <c r="I159" i="2"/>
  <c r="L158" i="2"/>
  <c r="K158" i="2"/>
  <c r="J158" i="2"/>
  <c r="I158" i="2"/>
  <c r="L141" i="2"/>
  <c r="K141" i="2"/>
  <c r="J141" i="2"/>
  <c r="I141" i="2"/>
  <c r="L140" i="2"/>
  <c r="K140" i="2"/>
  <c r="J140" i="2"/>
  <c r="I140" i="2"/>
  <c r="L139" i="2"/>
  <c r="K139" i="2"/>
  <c r="J139" i="2"/>
  <c r="I139" i="2"/>
  <c r="L125" i="2"/>
  <c r="K125" i="2"/>
  <c r="J125" i="2"/>
  <c r="I125" i="2"/>
  <c r="L124" i="2"/>
  <c r="K124" i="2"/>
  <c r="J124" i="2"/>
  <c r="I124" i="2"/>
  <c r="L104" i="2"/>
  <c r="K104" i="2"/>
  <c r="J104" i="2"/>
  <c r="I104" i="2"/>
  <c r="L103" i="2"/>
  <c r="K103" i="2"/>
  <c r="J103" i="2"/>
  <c r="I103" i="2"/>
  <c r="L102" i="2"/>
  <c r="K102" i="2"/>
  <c r="J102" i="2"/>
  <c r="I102" i="2"/>
  <c r="L101" i="2"/>
  <c r="K101" i="2"/>
  <c r="J101" i="2"/>
  <c r="I101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J58" i="2"/>
  <c r="K58" i="2"/>
  <c r="L58" i="2"/>
  <c r="I58" i="2"/>
  <c r="J57" i="2"/>
  <c r="K57" i="2"/>
  <c r="L57" i="2"/>
  <c r="I57" i="2"/>
  <c r="L56" i="2"/>
  <c r="K56" i="2"/>
  <c r="J56" i="2"/>
  <c r="I56" i="2"/>
  <c r="L55" i="2"/>
  <c r="K55" i="2"/>
  <c r="J55" i="2"/>
  <c r="I55" i="2"/>
  <c r="L41" i="2"/>
  <c r="K41" i="2"/>
  <c r="J41" i="2"/>
  <c r="I41" i="2"/>
  <c r="L40" i="2"/>
  <c r="K40" i="2"/>
  <c r="J40" i="2"/>
  <c r="I40" i="2"/>
  <c r="L26" i="2"/>
  <c r="K26" i="2"/>
  <c r="J26" i="2"/>
  <c r="I26" i="2"/>
  <c r="L25" i="2"/>
  <c r="K25" i="2"/>
  <c r="J25" i="2"/>
  <c r="I25" i="2"/>
  <c r="J8" i="2"/>
  <c r="K8" i="2"/>
  <c r="L8" i="2"/>
  <c r="I8" i="2"/>
  <c r="J7" i="2"/>
  <c r="K7" i="2"/>
  <c r="L7" i="2"/>
  <c r="I7" i="2"/>
  <c r="J6" i="2"/>
  <c r="K6" i="2"/>
  <c r="L6" i="2"/>
  <c r="I6" i="2"/>
  <c r="G91" i="1"/>
  <c r="G90" i="1"/>
  <c r="G86" i="1"/>
  <c r="G85" i="1"/>
  <c r="G81" i="1"/>
  <c r="G80" i="1"/>
  <c r="G76" i="1"/>
  <c r="G75" i="1"/>
  <c r="G71" i="1"/>
  <c r="G70" i="1"/>
  <c r="G66" i="1"/>
  <c r="G65" i="1"/>
  <c r="G61" i="1"/>
  <c r="G60" i="1"/>
  <c r="G59" i="1"/>
  <c r="G55" i="1"/>
  <c r="G54" i="1"/>
  <c r="G53" i="1"/>
  <c r="G49" i="1"/>
  <c r="G48" i="1"/>
  <c r="G47" i="1"/>
  <c r="G43" i="1"/>
  <c r="G42" i="1"/>
  <c r="G38" i="1"/>
  <c r="G37" i="1"/>
  <c r="G36" i="1"/>
  <c r="G35" i="1"/>
  <c r="G31" i="1"/>
  <c r="G30" i="1"/>
  <c r="G29" i="1"/>
  <c r="G28" i="1"/>
  <c r="G24" i="1"/>
  <c r="G23" i="1"/>
  <c r="G22" i="1"/>
  <c r="G21" i="1"/>
  <c r="G17" i="1"/>
  <c r="G16" i="1"/>
  <c r="G12" i="1"/>
  <c r="G11" i="1"/>
  <c r="G7" i="1"/>
  <c r="G6" i="1"/>
  <c r="G5" i="1"/>
</calcChain>
</file>

<file path=xl/sharedStrings.xml><?xml version="1.0" encoding="utf-8"?>
<sst xmlns="http://schemas.openxmlformats.org/spreadsheetml/2006/main" count="16229" uniqueCount="657">
  <si>
    <t>FREQ 프로시저</t>
  </si>
  <si>
    <t>age_g</t>
  </si>
  <si>
    <t>빈도</t>
  </si>
  <si>
    <t>백분율</t>
  </si>
  <si>
    <t>누적</t>
  </si>
  <si>
    <t>sex</t>
  </si>
  <si>
    <t>town_t</t>
  </si>
  <si>
    <t>educ_g</t>
  </si>
  <si>
    <t>ho_incm</t>
  </si>
  <si>
    <t>bmi_g</t>
  </si>
  <si>
    <t>marri_g</t>
  </si>
  <si>
    <t>health_g</t>
  </si>
  <si>
    <t>stress_g</t>
  </si>
  <si>
    <t>drinking_g</t>
  </si>
  <si>
    <t>smoking_g</t>
  </si>
  <si>
    <t>hypertension_g</t>
  </si>
  <si>
    <t>dyslipidemia_g</t>
  </si>
  <si>
    <t>stroke_g</t>
  </si>
  <si>
    <t>mi_g</t>
  </si>
  <si>
    <t>angina_g</t>
  </si>
  <si>
    <t>행 백분율</t>
  </si>
  <si>
    <t>칼럼 백분율</t>
  </si>
  <si>
    <t>tyg_g</t>
  </si>
  <si>
    <t>합계</t>
  </si>
  <si>
    <t>q</t>
    <phoneticPr fontId="1" type="noConversion"/>
  </si>
  <si>
    <t>tyg_absi_g</t>
  </si>
  <si>
    <t>aip_g</t>
  </si>
  <si>
    <t>테이블 age_g * mets_ir_g</t>
  </si>
  <si>
    <t>mets_ir_g</t>
  </si>
  <si>
    <t>테이블 sex * mets_ir_g</t>
  </si>
  <si>
    <t>테이블 town_t * mets_ir_g</t>
  </si>
  <si>
    <t>테이블 educ_g * mets_ir_g</t>
  </si>
  <si>
    <t>테이블 ho_incm * mets_ir_g</t>
  </si>
  <si>
    <t>테이블 bmi_g * mets_ir_g</t>
  </si>
  <si>
    <t>테이블 marri_g * mets_ir_g</t>
  </si>
  <si>
    <t>테이블 health_g * mets_ir_g</t>
  </si>
  <si>
    <t>테이블 stress_g * mets_ir_g</t>
  </si>
  <si>
    <t>테이블 drinking_g * mets_ir_g</t>
  </si>
  <si>
    <t>테이블 smoking_g * mets_ir_g</t>
  </si>
  <si>
    <t>테이블 hypertension_g * mets_ir_g</t>
  </si>
  <si>
    <t>테이블 dyslipidemia_g * mets_ir_g</t>
  </si>
  <si>
    <t>테이블 stroke_g * mets_ir_g</t>
  </si>
  <si>
    <t>테이블 mi_g * mets_ir_g</t>
  </si>
  <si>
    <t>테이블 angina_g * mets_ir_g</t>
  </si>
  <si>
    <t>MEANS 프로시저</t>
  </si>
  <si>
    <t>변수</t>
  </si>
  <si>
    <t>N</t>
  </si>
  <si>
    <t>평균</t>
  </si>
  <si>
    <t>표준편차</t>
  </si>
  <si>
    <t>최솟값</t>
  </si>
  <si>
    <t>최댓값</t>
  </si>
  <si>
    <t>age</t>
  </si>
  <si>
    <t>HE_BMI</t>
  </si>
  <si>
    <t>HE_wc</t>
  </si>
  <si>
    <t>absi</t>
  </si>
  <si>
    <t>HE_sbp</t>
  </si>
  <si>
    <t>HE_glu</t>
  </si>
  <si>
    <t>HE_chol</t>
  </si>
  <si>
    <t>HE_HDL_st2</t>
  </si>
  <si>
    <t>HE_TG</t>
  </si>
  <si>
    <t>HE_ast</t>
  </si>
  <si>
    <t>HE_alt</t>
  </si>
  <si>
    <t>HE_HB</t>
  </si>
  <si>
    <t>HE_BUN</t>
  </si>
  <si>
    <t>HE_crea</t>
  </si>
  <si>
    <t>HE_Uph</t>
  </si>
  <si>
    <t>tyg</t>
  </si>
  <si>
    <t>tyg_absi</t>
  </si>
  <si>
    <t>aip</t>
  </si>
  <si>
    <t>mets_ir</t>
  </si>
  <si>
    <t>mets_ir_g=1</t>
  </si>
  <si>
    <t>mets_ir_g=2</t>
  </si>
  <si>
    <t>mets_ir_g=3</t>
  </si>
  <si>
    <t>mets_ir_g=4</t>
  </si>
  <si>
    <t>The SURVEYFREQ Procedure</t>
  </si>
  <si>
    <t>Data Summary</t>
  </si>
  <si>
    <t>Number of Strata</t>
  </si>
  <si>
    <t>Number of Clusters</t>
  </si>
  <si>
    <t>Number of Observations</t>
  </si>
  <si>
    <t>Sum of Weights</t>
  </si>
  <si>
    <t>Variance Estimation</t>
  </si>
  <si>
    <t>Method</t>
  </si>
  <si>
    <t>Taylor Series</t>
  </si>
  <si>
    <t>Missing Values</t>
  </si>
  <si>
    <t>NOMCAR</t>
  </si>
  <si>
    <t>Table of age_g</t>
  </si>
  <si>
    <t>Frequency</t>
  </si>
  <si>
    <t>Weighted</t>
  </si>
  <si>
    <t>Std Err of</t>
  </si>
  <si>
    <t>Wgt Freq</t>
  </si>
  <si>
    <t>Percent</t>
  </si>
  <si>
    <t>95% Confidence Limits</t>
  </si>
  <si>
    <t>for Percent</t>
  </si>
  <si>
    <t>Total</t>
  </si>
  <si>
    <t>Table of sex</t>
  </si>
  <si>
    <t>Table of town_t</t>
  </si>
  <si>
    <t>Table of educ_g</t>
  </si>
  <si>
    <t>Table of ho_incm</t>
  </si>
  <si>
    <t>Table of bmi_g</t>
  </si>
  <si>
    <t>Table of marri_g</t>
  </si>
  <si>
    <t>Table of health_g</t>
  </si>
  <si>
    <t>Table of stress_g</t>
  </si>
  <si>
    <t>Table of drinking_g</t>
  </si>
  <si>
    <t>Table of smoking_g</t>
  </si>
  <si>
    <t>Table of hypertension_g</t>
  </si>
  <si>
    <t>Table of dyslipidemia_g</t>
  </si>
  <si>
    <t>Table of stroke_g</t>
  </si>
  <si>
    <t>Table of mi_g</t>
  </si>
  <si>
    <t>Table of angina_g</t>
  </si>
  <si>
    <t>Row</t>
  </si>
  <si>
    <t>Row Percent</t>
  </si>
  <si>
    <t>for Row Percent</t>
  </si>
  <si>
    <t>Table of mets_ir_g by age_g</t>
  </si>
  <si>
    <t>Table of mets_ir_g by sex</t>
  </si>
  <si>
    <t>Table of mets_ir_g by town_t</t>
  </si>
  <si>
    <t>Table of mets_ir_g by educ_g</t>
  </si>
  <si>
    <t>Table of mets_ir_g by ho_incm</t>
  </si>
  <si>
    <t>Table of mets_ir_g by bmi_g</t>
  </si>
  <si>
    <t>.</t>
  </si>
  <si>
    <t>Table of mets_ir_g by marri_g</t>
  </si>
  <si>
    <t>Table of mets_ir_g by health_g</t>
  </si>
  <si>
    <t>Table of mets_ir_g by stress_g</t>
  </si>
  <si>
    <t>Table of mets_ir_g by drinking_g</t>
  </si>
  <si>
    <t>Table of mets_ir_g by smoking_g</t>
  </si>
  <si>
    <t>Table of mets_ir_g by hypertension_g</t>
  </si>
  <si>
    <t>Table of mets_ir_g by dyslipidemia_g</t>
  </si>
  <si>
    <t>Table of mets_ir_g by stroke_g</t>
  </si>
  <si>
    <t>Table of mets_ir_g by mi_g</t>
  </si>
  <si>
    <t>Table of mets_ir_g by angina_g</t>
  </si>
  <si>
    <t>The SURVEYMEANS Procedure</t>
  </si>
  <si>
    <t>Statistics</t>
  </si>
  <si>
    <t>Variable</t>
  </si>
  <si>
    <t>Mean</t>
  </si>
  <si>
    <t>Std Error</t>
  </si>
  <si>
    <t>of Mean</t>
  </si>
  <si>
    <t>95% CL for Mean</t>
  </si>
  <si>
    <t>year_g=1</t>
  </si>
  <si>
    <t>year_g=2</t>
  </si>
  <si>
    <t>year_g=3</t>
  </si>
  <si>
    <t>year_g=4</t>
  </si>
  <si>
    <t>year_g=5</t>
  </si>
  <si>
    <t>year_g=6</t>
  </si>
  <si>
    <t>year_g=1 age_g=1</t>
  </si>
  <si>
    <t>year_g=1 age_g=2</t>
  </si>
  <si>
    <t>year_g=1 age_g=3</t>
  </si>
  <si>
    <t>year_g=2 age_g=1</t>
  </si>
  <si>
    <t>year_g=2 age_g=2</t>
  </si>
  <si>
    <t>year_g=2 age_g=3</t>
  </si>
  <si>
    <t>year_g=3 age_g=1</t>
  </si>
  <si>
    <t>year_g=3 age_g=2</t>
  </si>
  <si>
    <t>year_g=3 age_g=3</t>
  </si>
  <si>
    <t>year_g=4 age_g=1</t>
  </si>
  <si>
    <t>year_g=4 age_g=2</t>
  </si>
  <si>
    <t>year_g=4 age_g=3</t>
  </si>
  <si>
    <t>year_g=5 age_g=1</t>
  </si>
  <si>
    <t>year_g=5 age_g=2</t>
  </si>
  <si>
    <t>year_g=5 age_g=3</t>
  </si>
  <si>
    <t>year_g=6 age_g=1</t>
  </si>
  <si>
    <t>year_g=6 age_g=2</t>
  </si>
  <si>
    <t>year_g=6 age_g=3</t>
  </si>
  <si>
    <t>year_g=1 sex=1</t>
  </si>
  <si>
    <t>year_g=1 sex=2</t>
  </si>
  <si>
    <t>year_g=2 sex=1</t>
  </si>
  <si>
    <t>year_g=2 sex=2</t>
  </si>
  <si>
    <t>year_g=3 sex=1</t>
  </si>
  <si>
    <t>year_g=3 sex=2</t>
  </si>
  <si>
    <t>year_g=4 sex=1</t>
  </si>
  <si>
    <t>year_g=4 sex=2</t>
  </si>
  <si>
    <t>year_g=5 sex=1</t>
  </si>
  <si>
    <t>year_g=5 sex=2</t>
  </si>
  <si>
    <t>year_g=6 sex=1</t>
  </si>
  <si>
    <t>year_g=6 sex=2</t>
  </si>
  <si>
    <t>year_g=1 town_t=1</t>
  </si>
  <si>
    <t>year_g=1 town_t=2</t>
  </si>
  <si>
    <t>year_g=2 town_t=1</t>
  </si>
  <si>
    <t>year_g=2 town_t=2</t>
  </si>
  <si>
    <t>year_g=3 town_t=1</t>
  </si>
  <si>
    <t>year_g=3 town_t=2</t>
  </si>
  <si>
    <t>year_g=4 town_t=1</t>
  </si>
  <si>
    <t>year_g=4 town_t=2</t>
  </si>
  <si>
    <t>year_g=5 town_t=1</t>
  </si>
  <si>
    <t>year_g=5 town_t=2</t>
  </si>
  <si>
    <t>year_g=6 town_t=1</t>
  </si>
  <si>
    <t>year_g=6 town_t=2</t>
  </si>
  <si>
    <t>year_g=1 educ_g=1</t>
  </si>
  <si>
    <t>year_g=1 educ_g=2</t>
  </si>
  <si>
    <t>year_g=1 educ_g=3</t>
  </si>
  <si>
    <t>year_g=1 educ_g=4</t>
  </si>
  <si>
    <t>year_g=2 educ_g=1</t>
  </si>
  <si>
    <t>year_g=2 educ_g=2</t>
  </si>
  <si>
    <t>year_g=2 educ_g=3</t>
  </si>
  <si>
    <t>year_g=2 educ_g=4</t>
  </si>
  <si>
    <t>year_g=3 educ_g=1</t>
  </si>
  <si>
    <t>year_g=3 educ_g=2</t>
  </si>
  <si>
    <t>year_g=3 educ_g=3</t>
  </si>
  <si>
    <t>year_g=3 educ_g=4</t>
  </si>
  <si>
    <t>year_g=4 educ_g=1</t>
  </si>
  <si>
    <t>year_g=4 educ_g=2</t>
  </si>
  <si>
    <t>year_g=4 educ_g=3</t>
  </si>
  <si>
    <t>year_g=4 educ_g=4</t>
  </si>
  <si>
    <t>year_g=5 educ_g=1</t>
  </si>
  <si>
    <t>year_g=5 educ_g=2</t>
  </si>
  <si>
    <t>year_g=5 educ_g=3</t>
  </si>
  <si>
    <t>year_g=5 educ_g=4</t>
  </si>
  <si>
    <t>year_g=6 educ_g=1</t>
  </si>
  <si>
    <t>year_g=6 educ_g=2</t>
  </si>
  <si>
    <t>year_g=6 educ_g=3</t>
  </si>
  <si>
    <t>year_g=6 educ_g=4</t>
  </si>
  <si>
    <t>year_g=1 ho_incm=1</t>
  </si>
  <si>
    <t>year_g=1 ho_incm=2</t>
  </si>
  <si>
    <t>year_g=1 ho_incm=3</t>
  </si>
  <si>
    <t>year_g=1 ho_incm=4</t>
  </si>
  <si>
    <t>year_g=2 ho_incm=1</t>
  </si>
  <si>
    <t>year_g=2 ho_incm=2</t>
  </si>
  <si>
    <t>year_g=2 ho_incm=3</t>
  </si>
  <si>
    <t>year_g=2 ho_incm=4</t>
  </si>
  <si>
    <t>year_g=3 ho_incm=1</t>
  </si>
  <si>
    <t>year_g=3 ho_incm=2</t>
  </si>
  <si>
    <t>year_g=3 ho_incm=3</t>
  </si>
  <si>
    <t>year_g=3 ho_incm=4</t>
  </si>
  <si>
    <t>year_g=4 ho_incm=1</t>
  </si>
  <si>
    <t>year_g=4 ho_incm=2</t>
  </si>
  <si>
    <t>year_g=4 ho_incm=3</t>
  </si>
  <si>
    <t>year_g=4 ho_incm=4</t>
  </si>
  <si>
    <t>year_g=5 ho_incm=1</t>
  </si>
  <si>
    <t>year_g=5 ho_incm=2</t>
  </si>
  <si>
    <t>year_g=5 ho_incm=3</t>
  </si>
  <si>
    <t>year_g=5 ho_incm=4</t>
  </si>
  <si>
    <t>year_g=6 ho_incm=1</t>
  </si>
  <si>
    <t>year_g=6 ho_incm=2</t>
  </si>
  <si>
    <t>year_g=6 ho_incm=3</t>
  </si>
  <si>
    <t>year_g=6 ho_incm=4</t>
  </si>
  <si>
    <t>year_g=1 bmi_g=1</t>
  </si>
  <si>
    <t>year_g=1 bmi_g=2</t>
  </si>
  <si>
    <t>year_g=1 bmi_g=3</t>
  </si>
  <si>
    <t>year_g=1 bmi_g=4</t>
  </si>
  <si>
    <t>year_g=2 bmi_g=1</t>
  </si>
  <si>
    <t>year_g=2 bmi_g=2</t>
  </si>
  <si>
    <t>year_g=2 bmi_g=3</t>
  </si>
  <si>
    <t>year_g=2 bmi_g=4</t>
  </si>
  <si>
    <t>year_g=3 bmi_g=1</t>
  </si>
  <si>
    <t>year_g=3 bmi_g=2</t>
  </si>
  <si>
    <t>year_g=3 bmi_g=3</t>
  </si>
  <si>
    <t>year_g=3 bmi_g=4</t>
  </si>
  <si>
    <t>year_g=4 bmi_g=1</t>
  </si>
  <si>
    <t>year_g=4 bmi_g=2</t>
  </si>
  <si>
    <t>year_g=4 bmi_g=3</t>
  </si>
  <si>
    <t>year_g=4 bmi_g=4</t>
  </si>
  <si>
    <t>year_g=5 bmi_g=1</t>
  </si>
  <si>
    <t>year_g=5 bmi_g=2</t>
  </si>
  <si>
    <t>year_g=5 bmi_g=3</t>
  </si>
  <si>
    <t>year_g=5 bmi_g=4</t>
  </si>
  <si>
    <t>year_g=6 bmi_g=1</t>
  </si>
  <si>
    <t>year_g=6 bmi_g=2</t>
  </si>
  <si>
    <t>year_g=6 bmi_g=3</t>
  </si>
  <si>
    <t>year_g=6 bmi_g=4</t>
  </si>
  <si>
    <t>year_g=1 marri_g=1</t>
  </si>
  <si>
    <t>year_g=1 marri_g=2</t>
  </si>
  <si>
    <t>year_g=2 marri_g=1</t>
  </si>
  <si>
    <t>year_g=2 marri_g=2</t>
  </si>
  <si>
    <t>year_g=3 marri_g=1</t>
  </si>
  <si>
    <t>year_g=3 marri_g=2</t>
  </si>
  <si>
    <t>year_g=4 marri_g=1</t>
  </si>
  <si>
    <t>year_g=4 marri_g=2</t>
  </si>
  <si>
    <t>year_g=5 marri_g=1</t>
  </si>
  <si>
    <t>year_g=5 marri_g=2</t>
  </si>
  <si>
    <t>year_g=6 marri_g=1</t>
  </si>
  <si>
    <t>year_g=6 marri_g=2</t>
  </si>
  <si>
    <t>year_g=1 health_g=1</t>
  </si>
  <si>
    <t>year_g=1 health_g=2</t>
  </si>
  <si>
    <t>year_g=1 health_g=3</t>
  </si>
  <si>
    <t>year_g=2 health_g=1</t>
  </si>
  <si>
    <t>year_g=2 health_g=2</t>
  </si>
  <si>
    <t>year_g=2 health_g=3</t>
  </si>
  <si>
    <t>year_g=3 health_g=1</t>
  </si>
  <si>
    <t>year_g=3 health_g=2</t>
  </si>
  <si>
    <t>year_g=3 health_g=3</t>
  </si>
  <si>
    <t>year_g=4 health_g=1</t>
  </si>
  <si>
    <t>year_g=4 health_g=2</t>
  </si>
  <si>
    <t>year_g=4 health_g=3</t>
  </si>
  <si>
    <t>year_g=5 health_g=1</t>
  </si>
  <si>
    <t>year_g=5 health_g=2</t>
  </si>
  <si>
    <t>year_g=5 health_g=3</t>
  </si>
  <si>
    <t>year_g=6 health_g=1</t>
  </si>
  <si>
    <t>year_g=6 health_g=2</t>
  </si>
  <si>
    <t>year_g=6 health_g=3</t>
  </si>
  <si>
    <t>year_g=1 stress_g=1</t>
  </si>
  <si>
    <t>year_g=1 stress_g=2</t>
  </si>
  <si>
    <t>year_g=1 stress_g=3</t>
  </si>
  <si>
    <t>year_g=2 stress_g=1</t>
  </si>
  <si>
    <t>year_g=2 stress_g=2</t>
  </si>
  <si>
    <t>year_g=2 stress_g=3</t>
  </si>
  <si>
    <t>year_g=3 stress_g=1</t>
  </si>
  <si>
    <t>year_g=3 stress_g=2</t>
  </si>
  <si>
    <t>year_g=3 stress_g=3</t>
  </si>
  <si>
    <t>year_g=4 stress_g=1</t>
  </si>
  <si>
    <t>year_g=4 stress_g=2</t>
  </si>
  <si>
    <t>year_g=4 stress_g=3</t>
  </si>
  <si>
    <t>year_g=5 stress_g=1</t>
  </si>
  <si>
    <t>year_g=5 stress_g=2</t>
  </si>
  <si>
    <t>year_g=5 stress_g=3</t>
  </si>
  <si>
    <t>year_g=6 stress_g=1</t>
  </si>
  <si>
    <t>year_g=6 stress_g=2</t>
  </si>
  <si>
    <t>year_g=6 stress_g=3</t>
  </si>
  <si>
    <t>year_g=1 drinking_g=1</t>
  </si>
  <si>
    <t>year_g=1 drinking_g=2</t>
  </si>
  <si>
    <t>year_g=1 drinking_g=3</t>
  </si>
  <si>
    <t>year_g=2 drinking_g=1</t>
  </si>
  <si>
    <t>year_g=2 drinking_g=2</t>
  </si>
  <si>
    <t>year_g=2 drinking_g=3</t>
  </si>
  <si>
    <t>year_g=3 drinking_g=1</t>
  </si>
  <si>
    <t>year_g=3 drinking_g=2</t>
  </si>
  <si>
    <t>year_g=3 drinking_g=3</t>
  </si>
  <si>
    <t>year_g=4 drinking_g=1</t>
  </si>
  <si>
    <t>year_g=4 drinking_g=2</t>
  </si>
  <si>
    <t>year_g=4 drinking_g=3</t>
  </si>
  <si>
    <t>year_g=5 drinking_g=1</t>
  </si>
  <si>
    <t>year_g=5 drinking_g=2</t>
  </si>
  <si>
    <t>year_g=5 drinking_g=3</t>
  </si>
  <si>
    <t>year_g=6 drinking_g=1</t>
  </si>
  <si>
    <t>year_g=6 drinking_g=2</t>
  </si>
  <si>
    <t>year_g=6 drinking_g=3</t>
  </si>
  <si>
    <t>year_g=1 smoking_g=0</t>
  </si>
  <si>
    <t>year_g=1 smoking_g=1</t>
  </si>
  <si>
    <t>year_g=2 smoking_g=0</t>
  </si>
  <si>
    <t>year_g=2 smoking_g=1</t>
  </si>
  <si>
    <t>year_g=3 smoking_g=0</t>
  </si>
  <si>
    <t>year_g=3 smoking_g=1</t>
  </si>
  <si>
    <t>year_g=4 smoking_g=0</t>
  </si>
  <si>
    <t>year_g=4 smoking_g=1</t>
  </si>
  <si>
    <t>year_g=5 smoking_g=0</t>
  </si>
  <si>
    <t>year_g=5 smoking_g=1</t>
  </si>
  <si>
    <t>year_g=6 smoking_g=0</t>
  </si>
  <si>
    <t>year_g=6 smoking_g=1</t>
  </si>
  <si>
    <t>year_g=1 hypertension_g=0</t>
  </si>
  <si>
    <t>year_g=1 hypertension_g=1</t>
  </si>
  <si>
    <t>year_g=2 hypertension_g=0</t>
  </si>
  <si>
    <t>year_g=2 hypertension_g=1</t>
  </si>
  <si>
    <t>year_g=3 hypertension_g=0</t>
  </si>
  <si>
    <t>year_g=3 hypertension_g=1</t>
  </si>
  <si>
    <t>year_g=4 hypertension_g=0</t>
  </si>
  <si>
    <t>year_g=4 hypertension_g=1</t>
  </si>
  <si>
    <t>year_g=5 hypertension_g=0</t>
  </si>
  <si>
    <t>year_g=5 hypertension_g=1</t>
  </si>
  <si>
    <t>year_g=6 hypertension_g=0</t>
  </si>
  <si>
    <t>year_g=6 hypertension_g=1</t>
  </si>
  <si>
    <t>year_g=1 dyslipidemia_g=0</t>
  </si>
  <si>
    <t>year_g=1 dyslipidemia_g=1</t>
  </si>
  <si>
    <t>year_g=2 dyslipidemia_g=0</t>
  </si>
  <si>
    <t>year_g=2 dyslipidemia_g=1</t>
  </si>
  <si>
    <t>year_g=3 dyslipidemia_g=0</t>
  </si>
  <si>
    <t>year_g=3 dyslipidemia_g=1</t>
  </si>
  <si>
    <t>year_g=4 dyslipidemia_g=0</t>
  </si>
  <si>
    <t>year_g=4 dyslipidemia_g=1</t>
  </si>
  <si>
    <t>year_g=5 dyslipidemia_g=0</t>
  </si>
  <si>
    <t>year_g=5 dyslipidemia_g=1</t>
  </si>
  <si>
    <t>year_g=6 dyslipidemia_g=0</t>
  </si>
  <si>
    <t>year_g=6 dyslipidemia_g=1</t>
  </si>
  <si>
    <t>year_g=1 stroke_g=0</t>
  </si>
  <si>
    <t>year_g=1 stroke_g=1</t>
  </si>
  <si>
    <t>year_g=2 stroke_g=0</t>
  </si>
  <si>
    <t>year_g=2 stroke_g=1</t>
  </si>
  <si>
    <t>year_g=3 stroke_g=0</t>
  </si>
  <si>
    <t>year_g=3 stroke_g=1</t>
  </si>
  <si>
    <t>year_g=4 stroke_g=0</t>
  </si>
  <si>
    <t>year_g=4 stroke_g=1</t>
  </si>
  <si>
    <t>year_g=5 stroke_g=0</t>
  </si>
  <si>
    <t>year_g=5 stroke_g=1</t>
  </si>
  <si>
    <t>year_g=6 stroke_g=0</t>
  </si>
  <si>
    <t>year_g=6 stroke_g=1</t>
  </si>
  <si>
    <t>year_g=1 mi_g=0</t>
  </si>
  <si>
    <t>year_g=1 mi_g=1</t>
  </si>
  <si>
    <t>year_g=2 mi_g=0</t>
  </si>
  <si>
    <t>year_g=2 mi_g=1</t>
  </si>
  <si>
    <t>year_g=3 mi_g=0</t>
  </si>
  <si>
    <t>year_g=3 mi_g=1</t>
  </si>
  <si>
    <t>year_g=4 mi_g=0</t>
  </si>
  <si>
    <t>year_g=4 mi_g=1</t>
  </si>
  <si>
    <t>year_g=5 mi_g=0</t>
  </si>
  <si>
    <t>year_g=5 mi_g=1</t>
  </si>
  <si>
    <t>year_g=6 mi_g=0</t>
  </si>
  <si>
    <t>year_g=6 mi_g=1</t>
  </si>
  <si>
    <t>year_g=1 angina_g=0</t>
  </si>
  <si>
    <t>year_g=1 angina_g=1</t>
  </si>
  <si>
    <t>year_g=2 angina_g=0</t>
  </si>
  <si>
    <t>year_g=2 angina_g=1</t>
  </si>
  <si>
    <t>year_g=3 angina_g=0</t>
  </si>
  <si>
    <t>year_g=3 angina_g=1</t>
  </si>
  <si>
    <t>year_g=4 angina_g=0</t>
  </si>
  <si>
    <t>year_g=4 angina_g=1</t>
  </si>
  <si>
    <t>year_g=5 angina_g=0</t>
  </si>
  <si>
    <t>year_g=5 angina_g=1</t>
  </si>
  <si>
    <t>year_g=6 angina_g=0</t>
  </si>
  <si>
    <t>year_g=6 angina_g=1</t>
  </si>
  <si>
    <t>age_g=1</t>
  </si>
  <si>
    <t>age_g=2</t>
  </si>
  <si>
    <t>age_g=3</t>
  </si>
  <si>
    <t>sex=1</t>
  </si>
  <si>
    <t>sex=2</t>
  </si>
  <si>
    <t>town_t=1</t>
  </si>
  <si>
    <t>town_t=2</t>
  </si>
  <si>
    <t>educ_g=1</t>
  </si>
  <si>
    <t>educ_g=2</t>
  </si>
  <si>
    <t>educ_g=3</t>
  </si>
  <si>
    <t>educ_g=4</t>
  </si>
  <si>
    <t>ho_incm=1</t>
  </si>
  <si>
    <t>ho_incm=2</t>
  </si>
  <si>
    <t>ho_incm=3</t>
  </si>
  <si>
    <t>ho_incm=4</t>
  </si>
  <si>
    <t>bmi_g=1</t>
  </si>
  <si>
    <t>bmi_g=2</t>
  </si>
  <si>
    <t>bmi_g=3</t>
  </si>
  <si>
    <t>bmi_g=4</t>
  </si>
  <si>
    <t>marri_g=1</t>
  </si>
  <si>
    <t>marri_g=2</t>
  </si>
  <si>
    <t>health_g=1</t>
  </si>
  <si>
    <t>health_g=2</t>
  </si>
  <si>
    <t>health_g=3</t>
  </si>
  <si>
    <t>stress_g=1</t>
  </si>
  <si>
    <t>stress_g=2</t>
  </si>
  <si>
    <t>stress_g=3</t>
  </si>
  <si>
    <t>drinking_g=1</t>
  </si>
  <si>
    <t>drinking_g=2</t>
  </si>
  <si>
    <t>drinking_g=3</t>
  </si>
  <si>
    <t>smoking_g=0</t>
  </si>
  <si>
    <t>smoking_g=1</t>
  </si>
  <si>
    <t>hypertension_g=0</t>
  </si>
  <si>
    <t>hypertension_g=1</t>
  </si>
  <si>
    <t>dyslipidemia_g=0</t>
  </si>
  <si>
    <t>dyslipidemia_g=1</t>
  </si>
  <si>
    <t>stroke_g=0</t>
  </si>
  <si>
    <t>stroke_g=1</t>
  </si>
  <si>
    <t>mi_g=0</t>
  </si>
  <si>
    <t>mi_g=1</t>
  </si>
  <si>
    <t>angina_g=0</t>
  </si>
  <si>
    <t>angina_g=1</t>
  </si>
  <si>
    <t>The SURVEYLOGISTIC Procedure</t>
  </si>
  <si>
    <t>Model Information</t>
  </si>
  <si>
    <t>Data Set</t>
  </si>
  <si>
    <t>WORK.OUT</t>
  </si>
  <si>
    <t>Response Variable</t>
  </si>
  <si>
    <t>Number of Response Levels</t>
  </si>
  <si>
    <t>Stratum Variable</t>
  </si>
  <si>
    <t>kstrata</t>
  </si>
  <si>
    <t>Cluster Variable</t>
  </si>
  <si>
    <t>psu</t>
  </si>
  <si>
    <t>Weight Variable</t>
  </si>
  <si>
    <t>wt_adj</t>
  </si>
  <si>
    <t>Model</t>
  </si>
  <si>
    <t>Binary Logit</t>
  </si>
  <si>
    <t>Optimization Technique</t>
  </si>
  <si>
    <t>Fisher's Scoring</t>
  </si>
  <si>
    <t>Variance Adjustment</t>
  </si>
  <si>
    <t>Degrees of Freedom (DF)</t>
  </si>
  <si>
    <t>Number of Observations Read</t>
  </si>
  <si>
    <t>Number of Observations Used</t>
  </si>
  <si>
    <t>Sum of Weights Read</t>
  </si>
  <si>
    <t>Sum of Weights Used</t>
  </si>
  <si>
    <t>Response Profile</t>
  </si>
  <si>
    <t>Ordered</t>
  </si>
  <si>
    <t>Value</t>
  </si>
  <si>
    <t>Weight</t>
  </si>
  <si>
    <t>Class Level Information</t>
  </si>
  <si>
    <t>Class</t>
  </si>
  <si>
    <t>Design Variables</t>
  </si>
  <si>
    <t>Model Convergence Status</t>
  </si>
  <si>
    <t>Convergence criterion (GCONV=1E-8) satisfied.</t>
  </si>
  <si>
    <t>Model Fit Statistics</t>
  </si>
  <si>
    <t>Criterion</t>
  </si>
  <si>
    <t>Intercept Only</t>
  </si>
  <si>
    <t>Intercept and Covariates</t>
  </si>
  <si>
    <t>AIC</t>
  </si>
  <si>
    <t>SC</t>
  </si>
  <si>
    <t>-2 Log L</t>
  </si>
  <si>
    <t>Testing Global Null Hypothesis: BETA=0</t>
  </si>
  <si>
    <t>Test</t>
  </si>
  <si>
    <t>F Value</t>
  </si>
  <si>
    <t>Num DF</t>
  </si>
  <si>
    <t>Den DF</t>
  </si>
  <si>
    <t>Pr &gt; F</t>
  </si>
  <si>
    <t>NOTE: Second-order Rao-Scott design correction 0.0009 applied to the Likelihood Ratio test.</t>
  </si>
  <si>
    <t>Likelihood Ratio</t>
  </si>
  <si>
    <t>&lt;.0001</t>
  </si>
  <si>
    <t>Score</t>
  </si>
  <si>
    <t>Wald</t>
  </si>
  <si>
    <t>Type 3 Analysis of Effects</t>
  </si>
  <si>
    <t>Effect</t>
  </si>
  <si>
    <t>Analysis of Maximum Likelihood Estimates</t>
  </si>
  <si>
    <t>Parameter</t>
  </si>
  <si>
    <t>Estimate</t>
  </si>
  <si>
    <t>Standard</t>
  </si>
  <si>
    <t>Error</t>
  </si>
  <si>
    <t>t Value</t>
  </si>
  <si>
    <t>Pr &gt; |t|</t>
  </si>
  <si>
    <t>NOTE: The degrees of freedom for the t tests is 2799.</t>
  </si>
  <si>
    <t>Intercept</t>
  </si>
  <si>
    <t>Odds Ratio Estimates</t>
  </si>
  <si>
    <t>Point Estimate</t>
  </si>
  <si>
    <t>NOTE: The degrees of freedom in computing the confidence limits is 2799.</t>
  </si>
  <si>
    <t>tyg_g 2 vs 1</t>
  </si>
  <si>
    <t>tyg_g 3 vs 1</t>
  </si>
  <si>
    <t>tyg_g 4 vs 1</t>
  </si>
  <si>
    <t>Association of Predicted Probabilities and Observed Responses</t>
  </si>
  <si>
    <t>Percent Concordant</t>
  </si>
  <si>
    <t>Somers' D</t>
  </si>
  <si>
    <t>Percent Discordant</t>
  </si>
  <si>
    <t>Gamma</t>
  </si>
  <si>
    <t>Percent Tied</t>
  </si>
  <si>
    <t>Tau-a</t>
  </si>
  <si>
    <t>Pairs</t>
  </si>
  <si>
    <t>c</t>
  </si>
  <si>
    <t>NOTE: Second-order Rao-Scott design correction 0.0022 applied to the Likelihood Ratio test.</t>
  </si>
  <si>
    <t>NOTE: Second-order Rao-Scott design correction 0.0048 applied to the Likelihood Ratio test.</t>
  </si>
  <si>
    <t>Probability modeled is angina_g='1'.</t>
  </si>
  <si>
    <t>4062137.5</t>
  </si>
  <si>
    <t>NOTE: Second-order Rao-Scott design correction 0.0017 applied to the Likelihood Ratio test.</t>
  </si>
  <si>
    <t>NOTE: Second-order Rao-Scott design correction 0.0008 applied to the Likelihood Ratio test.</t>
  </si>
  <si>
    <t>tyg_absi_g 2 vs 1</t>
  </si>
  <si>
    <t>tyg_absi_g 3 vs 1</t>
  </si>
  <si>
    <t>tyg_absi_g 4 vs 1</t>
  </si>
  <si>
    <t>NOTE: Second-order Rao-Scott design correction 0.0024 applied to the Likelihood Ratio test.</t>
  </si>
  <si>
    <t>aip_g 2 vs 1</t>
  </si>
  <si>
    <t>aip_g 3 vs 1</t>
  </si>
  <si>
    <t>aip_g 4 vs 1</t>
  </si>
  <si>
    <t>NOTE: Second-order Rao-Scott design correction 0.0046 applied to the Likelihood Ratio test.</t>
  </si>
  <si>
    <t>mets_ir_g 2 vs 1</t>
  </si>
  <si>
    <t>mets_ir_g 3 vs 1</t>
  </si>
  <si>
    <t>mets_ir_g 4 vs 1</t>
  </si>
  <si>
    <t>NOTE: The degrees of freedom for the t tests is 2672.</t>
  </si>
  <si>
    <t>NOTE: The degrees of freedom in computing the confidence limits is 2672.</t>
  </si>
  <si>
    <t>NOTE: Second-order Rao-Scott design correction 0.0018 applied to the Likelihood Ratio test.</t>
  </si>
  <si>
    <t>NOTE: The degrees of freedom for the t tests is 2786.</t>
  </si>
  <si>
    <t>NOTE: The degrees of freedom in computing the confidence limits is 2786.</t>
  </si>
  <si>
    <t>NOTE: The degrees of freedom for the t tests is 2564.</t>
  </si>
  <si>
    <t>NOTE: The degrees of freedom in computing the confidence limits is 2564.</t>
  </si>
  <si>
    <t>NOTE: The degrees of freedom for the t tests is 2798.</t>
  </si>
  <si>
    <t>NOTE: The degrees of freedom in computing the confidence limits is 2798.</t>
  </si>
  <si>
    <t>NOTE: Second-order Rao-Scott design correction 0.0035 applied to the Likelihood Ratio test.</t>
  </si>
  <si>
    <t>NOTE: Second-order Rao-Scott design correction 0.0010 applied to the Likelihood Ratio test.</t>
  </si>
  <si>
    <t>NOTE: The degrees of freedom for the t tests is 2193.</t>
  </si>
  <si>
    <t>NOTE: The degrees of freedom in computing the confidence limits is 2193.</t>
  </si>
  <si>
    <t>NOTE: The degrees of freedom for the t tests is 480.</t>
  </si>
  <si>
    <t>NOTE: The degrees of freedom in computing the confidence limits is 480.</t>
  </si>
  <si>
    <t>NOTE: Second-order Rao-Scott design correction 0.0023 applied to the Likelihood Ratio test.</t>
  </si>
  <si>
    <t>NOTE: The degrees of freedom for the t tests is 2171.</t>
  </si>
  <si>
    <t>NOTE: The degrees of freedom in computing the confidence limits is 2171.</t>
  </si>
  <si>
    <t>NOTE: The degrees of freedom for the t tests is 2294.</t>
  </si>
  <si>
    <t>NOTE: The degrees of freedom in computing the confidence limits is 2294.</t>
  </si>
  <si>
    <t>NOTE: The degrees of freedom for the t tests is 2705.</t>
  </si>
  <si>
    <t>NOTE: The degrees of freedom in computing the confidence limits is 2705.</t>
  </si>
  <si>
    <t>NOTE: Second-order Rao-Scott design correction 0.0019 applied to the Likelihood Ratio test.</t>
  </si>
  <si>
    <t>NOTE: The degrees of freedom for the t tests is 2742.</t>
  </si>
  <si>
    <t>NOTE: The degrees of freedom in computing the confidence limits is 2742.</t>
  </si>
  <si>
    <t>NOTE: The degrees of freedom for the t tests is 2295.</t>
  </si>
  <si>
    <t>NOTE: The degrees of freedom in computing the confidence limits is 2295.</t>
  </si>
  <si>
    <t>NOTE: Second-order Rao-Scott design correction 0.0051 applied to the Likelihood Ratio test.</t>
  </si>
  <si>
    <t>NOTE: The degrees of freedom for the t tests is 2640.</t>
  </si>
  <si>
    <t>NOTE: The degrees of freedom in computing the confidence limits is 2640.</t>
  </si>
  <si>
    <t>NOTE: The degrees of freedom for the t tests is 2675.</t>
  </si>
  <si>
    <t>NOTE: The degrees of freedom in computing the confidence limits is 2675.</t>
  </si>
  <si>
    <t>NOTE: Second-order Rao-Scott design correction 0.0015 applied to the Likelihood Ratio test.</t>
  </si>
  <si>
    <t>NOTE: The degrees of freedom for the t tests is 2477.</t>
  </si>
  <si>
    <t>NOTE: The degrees of freedom in computing the confidence limits is 2477.</t>
  </si>
  <si>
    <t>NOTE: Second-order Rao-Scott design correction 0.0013 applied to the Likelihood Ratio test.</t>
  </si>
  <si>
    <t>NOTE: The degrees of freedom for the t tests is 1504.</t>
  </si>
  <si>
    <t>NOTE: The degrees of freedom in computing the confidence limits is 1504.</t>
  </si>
  <si>
    <t>NOTE: The degrees of freedom for the t tests is 2792.</t>
  </si>
  <si>
    <t>NOTE: The degrees of freedom in computing the confidence limits is 2792.</t>
  </si>
  <si>
    <t>NOTE: The degrees of freedom for the t tests is 2768.</t>
  </si>
  <si>
    <t>NOTE: The degrees of freedom in computing the confidence limits is 2768.</t>
  </si>
  <si>
    <t>NOTE: The degrees of freedom for the t tests is 2791.</t>
  </si>
  <si>
    <t>NOTE: The degrees of freedom in computing the confidence limits is 2791.</t>
  </si>
  <si>
    <t>NOTE: Second-order Rao-Scott design correction 0.0011 applied to the Likelihood Ratio test.</t>
  </si>
  <si>
    <t>NOTE: The degrees of freedom for the t tests is 2796.</t>
  </si>
  <si>
    <t>NOTE: The degrees of freedom in computing the confidence limits is 2796.</t>
  </si>
  <si>
    <t>NOTE: Second-order Rao-Scott design correction 0.0037 applied to the Likelihood Ratio test.</t>
  </si>
  <si>
    <t>NOTE: The degrees of freedom for the t tests is 2567.</t>
  </si>
  <si>
    <t>NOTE: The degrees of freedom in computing the confidence limits is 2567.</t>
  </si>
  <si>
    <t>NOTE: The degrees of freedom for the t tests is 2777.</t>
  </si>
  <si>
    <t>NOTE: The degrees of freedom in computing the confidence limits is 2777.</t>
  </si>
  <si>
    <t>NOTE: Second-order Rao-Scott design correction 0.0007 applied to the Likelihood Ratio test.</t>
  </si>
  <si>
    <t>NOTE: The degrees of freedom for the t tests is 2782.</t>
  </si>
  <si>
    <t>NOTE: The degrees of freedom in computing the confidence limits is 2782.</t>
  </si>
  <si>
    <t>NOTE: The degrees of freedom for the t tests is 2718.</t>
  </si>
  <si>
    <t>NOTE: The degrees of freedom in computing the confidence limits is 2718.</t>
  </si>
  <si>
    <t>NOTE: The degrees of freedom for the t tests is 2776.</t>
  </si>
  <si>
    <t>NOTE: The degrees of freedom in computing the confidence limits is 2776.</t>
  </si>
  <si>
    <t>NOTE: Second-order Rao-Scott design correction 0.0016 applied to the Likelihood Ratio test.</t>
  </si>
  <si>
    <t>NOTE: The degrees of freedom for the t tests is 2659.</t>
  </si>
  <si>
    <t>NOTE: The degrees of freedom in computing the confidence limits is 2659.</t>
  </si>
  <si>
    <t>NOTE: The degrees of freedom for the t tests is 2797.</t>
  </si>
  <si>
    <t>NOTE: The degrees of freedom in computing the confidence limits is 2797.</t>
  </si>
  <si>
    <t>NOTE: Second-order Rao-Scott design correction 0.0034 applied to the Likelihood Ratio test.</t>
  </si>
  <si>
    <t>NOTE: The degrees of freedom for the t tests is 2772.</t>
  </si>
  <si>
    <t>NOTE: The degrees of freedom in computing the confidence limits is 2772.</t>
  </si>
  <si>
    <t>NOTE: The degrees of freedom for the t tests is 2746.</t>
  </si>
  <si>
    <t>NOTE: The degrees of freedom in computing the confidence limits is 2746.</t>
  </si>
  <si>
    <t>NOTE: Second-order Rao-Scott design correction 0.0027 applied to the Likelihood Ratio test.</t>
  </si>
  <si>
    <t>NOTE: Second-order Rao-Scott design correction 0.0036 applied to the Likelihood Ratio test.</t>
  </si>
  <si>
    <t>NOTE: Second-order Rao-Scott design correction 0.0039 applied to the Likelihood Ratio test.</t>
  </si>
  <si>
    <t>NOTE: Second-order Rao-Scott design correction 0.0041 applied to the Likelihood Ratio test.</t>
  </si>
  <si>
    <t>NOTE: Second-order Rao-Scott design correction 0.0002 applied to the Likelihood Ratio test.</t>
  </si>
  <si>
    <t>NOTE: Second-order Rao-Scott design correction 0.0067 applied to the Likelihood Ratio test.</t>
  </si>
  <si>
    <t>NOTE: Second-order Rao-Scott design correction 0.0029 applied to the Likelihood Ratio test.</t>
  </si>
  <si>
    <t>NOTE: Second-order Rao-Scott design correction 0.0028 applied to the Likelihood Ratio test.</t>
  </si>
  <si>
    <t>NOTE: Second-order Rao-Scott design correction 0.0021 applied to the Likelihood Ratio test.</t>
  </si>
  <si>
    <t>NOTE: Second-order Rao-Scott design correction 0.0044 applied to the Likelihood Ratio test.</t>
  </si>
  <si>
    <t>NOTE: Second-order Rao-Scott design correction 0.0005 applied to the Likelihood Ratio test.</t>
  </si>
  <si>
    <t>NOTE: Second-order Rao-Scott design correction 0.0057 applied to the Likelihood Ratio test.</t>
  </si>
  <si>
    <t>NOTE: Second-order Rao-Scott design correction 0.0032 applied to the Likelihood Ratio test.</t>
  </si>
  <si>
    <t>NOTE: Second-order Rao-Scott design correction 0.0026 applied to the Likelihood Ratio test.</t>
  </si>
  <si>
    <t>NOTE: Second-order Rao-Scott design correction 0.0049 applied to the Likelihood Ratio test.</t>
  </si>
  <si>
    <t>NOTE: Second-order Rao-Scott design correction 0.0084 applied to the Likelihood Ratio test.</t>
  </si>
  <si>
    <t>NOTE: Second-order Rao-Scott design correction 0.0050 applied to the Likelihood Ratio test.</t>
  </si>
  <si>
    <t>NOTE: Second-order Rao-Scott design correction 0.0087 applied to the Likelihood Ratio test.</t>
  </si>
  <si>
    <t>NOTE: Second-order Rao-Scott design correction 0.0000 applied to the Likelihood Ratio test.</t>
  </si>
  <si>
    <t>Note:Measures of association between the observed and predicted values were not calculated because the predicted probabilities are indistinguishable when they are classified into intervals of length 0.002.</t>
  </si>
  <si>
    <t>84999.486</t>
  </si>
  <si>
    <t>1881798.1</t>
  </si>
  <si>
    <t>1560122.3</t>
  </si>
  <si>
    <t>2400061.1</t>
  </si>
  <si>
    <t>1656721.1</t>
  </si>
  <si>
    <t>3280030.6</t>
  </si>
  <si>
    <t>778036.06</t>
  </si>
  <si>
    <t>938971.86</t>
  </si>
  <si>
    <t>705746.16</t>
  </si>
  <si>
    <t>1123230.3</t>
  </si>
  <si>
    <t>1037719.2</t>
  </si>
  <si>
    <t>1002197.6</t>
  </si>
  <si>
    <t>993767.16</t>
  </si>
  <si>
    <t>968450.40</t>
  </si>
  <si>
    <t>1023179.2</t>
  </si>
  <si>
    <t>NOTE: Second-order Rao-Scott design correction 0.0191 applied to the Likelihood Ratio test.</t>
  </si>
  <si>
    <t>67296.476</t>
  </si>
  <si>
    <t>1221640.1</t>
  </si>
  <si>
    <t>998042.77</t>
  </si>
  <si>
    <t>1741502.9</t>
  </si>
  <si>
    <t>3775983.3</t>
  </si>
  <si>
    <t>139399.16</t>
  </si>
  <si>
    <t>683891.93</t>
  </si>
  <si>
    <t>1740179.0</t>
  </si>
  <si>
    <t>1454098.1</t>
  </si>
  <si>
    <t>1076041.9</t>
  </si>
  <si>
    <t>2206621.0</t>
  </si>
  <si>
    <t>767720.83</t>
  </si>
  <si>
    <t>1826024.7</t>
  </si>
  <si>
    <t>1226837.6</t>
  </si>
  <si>
    <t>983222.16</t>
  </si>
  <si>
    <t>3136240.8</t>
  </si>
  <si>
    <t>920239.44</t>
  </si>
  <si>
    <t>NOTE: Second-order Rao-Scott design correction 0.0064 applied to the Likelihood Ratio test.</t>
  </si>
  <si>
    <t>Probability modeled is hypertension_g='1'.</t>
  </si>
  <si>
    <t>27545933</t>
  </si>
  <si>
    <t>NOTE: Second-order Rao-Scott design correction 0.0093 applied to the Likelihood Ratio test.</t>
  </si>
  <si>
    <t>NOTE: Second-order Rao-Scott design correction 0.0110 applied to the Likelihood Ratio test.</t>
  </si>
  <si>
    <t>NOTE: Second-order Rao-Scott design correction 0.0107 applied to the Likelihood Ratio test.</t>
  </si>
  <si>
    <t>NOTE: Second-order Rao-Scott design correction 0.0103 applied to the Likelihood Ratio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</si>
</sst>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1122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</fills>
  <borders count="1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B0B7BB"/>
      </right>
      <top/>
      <bottom/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" fillId="2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BD26-DC9B-4543-B894-64AB970F9902}">
  <sheetPr filterMode="1"/>
  <dimension ref="A1:G91"/>
  <sheetViews>
    <sheetView workbookViewId="0">
      <selection activeCell="G5" sqref="G5:G91"/>
    </sheetView>
  </sheetViews>
  <sheetFormatPr defaultRowHeight="16.5" x14ac:dyDescent="0.3"/>
  <cols>
    <col min="7" max="7" width="13.5" bestFit="1" customWidth="1"/>
  </cols>
  <sheetData>
    <row r="1" spans="1:7" ht="17.25" thickBot="1" x14ac:dyDescent="0.35">
      <c r="A1" s="1" t="s">
        <v>0</v>
      </c>
    </row>
    <row r="2" spans="1:7" ht="17.25" hidden="1" thickBot="1" x14ac:dyDescent="0.35"/>
    <row r="3" spans="1:7" ht="16.5" customHeight="1" x14ac:dyDescent="0.3">
      <c r="A3" s="24" t="s">
        <v>1</v>
      </c>
      <c r="B3" s="26" t="s">
        <v>2</v>
      </c>
      <c r="C3" s="26" t="s">
        <v>3</v>
      </c>
      <c r="D3" s="5" t="s">
        <v>4</v>
      </c>
      <c r="E3" s="5" t="s">
        <v>4</v>
      </c>
    </row>
    <row r="4" spans="1:7" hidden="1" x14ac:dyDescent="0.3">
      <c r="A4" s="25"/>
      <c r="B4" s="27"/>
      <c r="C4" s="27"/>
      <c r="D4" s="3" t="s">
        <v>2</v>
      </c>
      <c r="E4" s="3" t="s">
        <v>3</v>
      </c>
    </row>
    <row r="5" spans="1:7" x14ac:dyDescent="0.3">
      <c r="A5" s="6">
        <v>1</v>
      </c>
      <c r="B5" s="2">
        <v>21079</v>
      </c>
      <c r="C5" s="2">
        <v>30.71</v>
      </c>
      <c r="D5" s="2">
        <v>21079</v>
      </c>
      <c r="E5" s="2">
        <v>30.71</v>
      </c>
      <c r="G5" s="8" t="str">
        <f>TEXT(B5,"#,##0")&amp;" ("&amp;TEXT(C5,"0.00")&amp;")"</f>
        <v>21,079 (30.71)</v>
      </c>
    </row>
    <row r="6" spans="1:7" x14ac:dyDescent="0.3">
      <c r="A6" s="6">
        <v>2</v>
      </c>
      <c r="B6" s="2">
        <v>33470</v>
      </c>
      <c r="C6" s="2">
        <v>48.77</v>
      </c>
      <c r="D6" s="2">
        <v>54549</v>
      </c>
      <c r="E6" s="2">
        <v>79.48</v>
      </c>
      <c r="G6" s="8" t="str">
        <f t="shared" ref="G6:G7" si="0">TEXT(B6,"#,##0")&amp;" ("&amp;TEXT(C6,"0.00")&amp;")"</f>
        <v>33,470 (48.77)</v>
      </c>
    </row>
    <row r="7" spans="1:7" ht="17.25" thickBot="1" x14ac:dyDescent="0.35">
      <c r="A7" s="6">
        <v>3</v>
      </c>
      <c r="B7" s="2">
        <v>14086</v>
      </c>
      <c r="C7" s="2">
        <v>20.52</v>
      </c>
      <c r="D7" s="2">
        <v>68635</v>
      </c>
      <c r="E7" s="2">
        <v>100</v>
      </c>
      <c r="G7" s="8" t="str">
        <f t="shared" si="0"/>
        <v>14,086 (20.52)</v>
      </c>
    </row>
    <row r="8" spans="1:7" ht="17.25" hidden="1" thickBot="1" x14ac:dyDescent="0.35"/>
    <row r="9" spans="1:7" x14ac:dyDescent="0.3">
      <c r="A9" s="24" t="s">
        <v>5</v>
      </c>
      <c r="B9" s="26" t="s">
        <v>2</v>
      </c>
      <c r="C9" s="26" t="s">
        <v>3</v>
      </c>
      <c r="D9" s="5" t="s">
        <v>4</v>
      </c>
      <c r="E9" s="5" t="s">
        <v>4</v>
      </c>
    </row>
    <row r="10" spans="1:7" hidden="1" x14ac:dyDescent="0.3">
      <c r="A10" s="25"/>
      <c r="B10" s="27"/>
      <c r="C10" s="27"/>
      <c r="D10" s="3" t="s">
        <v>2</v>
      </c>
      <c r="E10" s="3" t="s">
        <v>3</v>
      </c>
    </row>
    <row r="11" spans="1:7" x14ac:dyDescent="0.3">
      <c r="A11" s="6">
        <v>1</v>
      </c>
      <c r="B11" s="2">
        <v>33200</v>
      </c>
      <c r="C11" s="2">
        <v>48.37</v>
      </c>
      <c r="D11" s="2">
        <v>33200</v>
      </c>
      <c r="E11" s="2">
        <v>48.37</v>
      </c>
      <c r="G11" s="8" t="str">
        <f t="shared" ref="G11:G12" si="1">TEXT(B11,"#,##0")&amp;" ("&amp;TEXT(C11,"0.00")&amp;")"</f>
        <v>33,200 (48.37)</v>
      </c>
    </row>
    <row r="12" spans="1:7" ht="17.25" thickBot="1" x14ac:dyDescent="0.35">
      <c r="A12" s="6">
        <v>2</v>
      </c>
      <c r="B12" s="2">
        <v>35435</v>
      </c>
      <c r="C12" s="2">
        <v>51.63</v>
      </c>
      <c r="D12" s="2">
        <v>68635</v>
      </c>
      <c r="E12" s="2">
        <v>100</v>
      </c>
      <c r="G12" s="8" t="str">
        <f t="shared" si="1"/>
        <v>35,435 (51.63)</v>
      </c>
    </row>
    <row r="13" spans="1:7" ht="17.25" hidden="1" thickBot="1" x14ac:dyDescent="0.35"/>
    <row r="14" spans="1:7" x14ac:dyDescent="0.3">
      <c r="A14" s="24" t="s">
        <v>6</v>
      </c>
      <c r="B14" s="26" t="s">
        <v>2</v>
      </c>
      <c r="C14" s="26" t="s">
        <v>3</v>
      </c>
      <c r="D14" s="5" t="s">
        <v>4</v>
      </c>
      <c r="E14" s="5" t="s">
        <v>4</v>
      </c>
    </row>
    <row r="15" spans="1:7" hidden="1" x14ac:dyDescent="0.3">
      <c r="A15" s="25"/>
      <c r="B15" s="27"/>
      <c r="C15" s="27"/>
      <c r="D15" s="3" t="s">
        <v>2</v>
      </c>
      <c r="E15" s="3" t="s">
        <v>3</v>
      </c>
    </row>
    <row r="16" spans="1:7" x14ac:dyDescent="0.3">
      <c r="A16" s="6">
        <v>1</v>
      </c>
      <c r="B16" s="2">
        <v>55176</v>
      </c>
      <c r="C16" s="2">
        <v>80.39</v>
      </c>
      <c r="D16" s="2">
        <v>55176</v>
      </c>
      <c r="E16" s="2">
        <v>80.39</v>
      </c>
      <c r="G16" s="8" t="str">
        <f t="shared" ref="G16:G17" si="2">TEXT(B16,"#,##0")&amp;" ("&amp;TEXT(C16,"0.00")&amp;")"</f>
        <v>55,176 (80.39)</v>
      </c>
    </row>
    <row r="17" spans="1:7" ht="17.25" thickBot="1" x14ac:dyDescent="0.35">
      <c r="A17" s="6">
        <v>2</v>
      </c>
      <c r="B17" s="2">
        <v>13459</v>
      </c>
      <c r="C17" s="2">
        <v>19.61</v>
      </c>
      <c r="D17" s="2">
        <v>68635</v>
      </c>
      <c r="E17" s="2">
        <v>100</v>
      </c>
      <c r="G17" s="8" t="str">
        <f t="shared" si="2"/>
        <v>13,459 (19.61)</v>
      </c>
    </row>
    <row r="18" spans="1:7" ht="17.25" hidden="1" thickBot="1" x14ac:dyDescent="0.35"/>
    <row r="19" spans="1:7" x14ac:dyDescent="0.3">
      <c r="A19" s="24" t="s">
        <v>7</v>
      </c>
      <c r="B19" s="26" t="s">
        <v>2</v>
      </c>
      <c r="C19" s="26" t="s">
        <v>3</v>
      </c>
      <c r="D19" s="5" t="s">
        <v>4</v>
      </c>
      <c r="E19" s="5" t="s">
        <v>4</v>
      </c>
    </row>
    <row r="20" spans="1:7" hidden="1" x14ac:dyDescent="0.3">
      <c r="A20" s="25"/>
      <c r="B20" s="27"/>
      <c r="C20" s="27"/>
      <c r="D20" s="3" t="s">
        <v>2</v>
      </c>
      <c r="E20" s="3" t="s">
        <v>3</v>
      </c>
    </row>
    <row r="21" spans="1:7" x14ac:dyDescent="0.3">
      <c r="A21" s="6">
        <v>1</v>
      </c>
      <c r="B21" s="2">
        <v>9199</v>
      </c>
      <c r="C21" s="2">
        <v>13.4</v>
      </c>
      <c r="D21" s="2">
        <v>9199</v>
      </c>
      <c r="E21" s="2">
        <v>13.4</v>
      </c>
      <c r="G21" s="8" t="str">
        <f t="shared" ref="G21:G24" si="3">TEXT(B21,"#,##0")&amp;" ("&amp;TEXT(C21,"0.00")&amp;")"</f>
        <v>9,199 (13.40)</v>
      </c>
    </row>
    <row r="22" spans="1:7" ht="16.5" customHeight="1" x14ac:dyDescent="0.3">
      <c r="A22" s="6">
        <v>2</v>
      </c>
      <c r="B22" s="2">
        <v>7937</v>
      </c>
      <c r="C22" s="2">
        <v>11.56</v>
      </c>
      <c r="D22" s="2">
        <v>17136</v>
      </c>
      <c r="E22" s="2">
        <v>24.97</v>
      </c>
      <c r="G22" s="8" t="str">
        <f t="shared" si="3"/>
        <v>7,937 (11.56)</v>
      </c>
    </row>
    <row r="23" spans="1:7" x14ac:dyDescent="0.3">
      <c r="A23" s="6">
        <v>3</v>
      </c>
      <c r="B23" s="2">
        <v>17758</v>
      </c>
      <c r="C23" s="2">
        <v>25.87</v>
      </c>
      <c r="D23" s="2">
        <v>34894</v>
      </c>
      <c r="E23" s="2">
        <v>50.84</v>
      </c>
      <c r="G23" s="8" t="str">
        <f t="shared" si="3"/>
        <v>17,758 (25.87)</v>
      </c>
    </row>
    <row r="24" spans="1:7" ht="17.25" thickBot="1" x14ac:dyDescent="0.35">
      <c r="A24" s="6">
        <v>4</v>
      </c>
      <c r="B24" s="2">
        <v>33741</v>
      </c>
      <c r="C24" s="2">
        <v>49.16</v>
      </c>
      <c r="D24" s="2">
        <v>68635</v>
      </c>
      <c r="E24" s="2">
        <v>100</v>
      </c>
      <c r="G24" s="8" t="str">
        <f t="shared" si="3"/>
        <v>33,741 (49.16)</v>
      </c>
    </row>
    <row r="25" spans="1:7" ht="17.25" hidden="1" thickBot="1" x14ac:dyDescent="0.35"/>
    <row r="26" spans="1:7" x14ac:dyDescent="0.3">
      <c r="A26" s="24" t="s">
        <v>8</v>
      </c>
      <c r="B26" s="26" t="s">
        <v>2</v>
      </c>
      <c r="C26" s="26" t="s">
        <v>3</v>
      </c>
      <c r="D26" s="5" t="s">
        <v>4</v>
      </c>
      <c r="E26" s="5" t="s">
        <v>4</v>
      </c>
    </row>
    <row r="27" spans="1:7" hidden="1" x14ac:dyDescent="0.3">
      <c r="A27" s="25"/>
      <c r="B27" s="27"/>
      <c r="C27" s="27"/>
      <c r="D27" s="3" t="s">
        <v>2</v>
      </c>
      <c r="E27" s="3" t="s">
        <v>3</v>
      </c>
    </row>
    <row r="28" spans="1:7" x14ac:dyDescent="0.3">
      <c r="A28" s="6">
        <v>1</v>
      </c>
      <c r="B28" s="2">
        <v>11265</v>
      </c>
      <c r="C28" s="2">
        <v>16.41</v>
      </c>
      <c r="D28" s="2">
        <v>11265</v>
      </c>
      <c r="E28" s="2">
        <v>16.41</v>
      </c>
      <c r="G28" s="8" t="str">
        <f t="shared" ref="G28:G31" si="4">TEXT(B28,"#,##0")&amp;" ("&amp;TEXT(C28,"0.00")&amp;")"</f>
        <v>11,265 (16.41)</v>
      </c>
    </row>
    <row r="29" spans="1:7" x14ac:dyDescent="0.3">
      <c r="A29" s="6">
        <v>2</v>
      </c>
      <c r="B29" s="2">
        <v>16834</v>
      </c>
      <c r="C29" s="2">
        <v>24.53</v>
      </c>
      <c r="D29" s="2">
        <v>28099</v>
      </c>
      <c r="E29" s="2">
        <v>40.94</v>
      </c>
      <c r="G29" s="8" t="str">
        <f t="shared" si="4"/>
        <v>16,834 (24.53)</v>
      </c>
    </row>
    <row r="30" spans="1:7" x14ac:dyDescent="0.3">
      <c r="A30" s="6">
        <v>3</v>
      </c>
      <c r="B30" s="2">
        <v>19586</v>
      </c>
      <c r="C30" s="2">
        <v>28.54</v>
      </c>
      <c r="D30" s="2">
        <v>47685</v>
      </c>
      <c r="E30" s="2">
        <v>69.48</v>
      </c>
      <c r="G30" s="8" t="str">
        <f t="shared" si="4"/>
        <v>19,586 (28.54)</v>
      </c>
    </row>
    <row r="31" spans="1:7" ht="17.25" thickBot="1" x14ac:dyDescent="0.35">
      <c r="A31" s="6">
        <v>4</v>
      </c>
      <c r="B31" s="2">
        <v>20950</v>
      </c>
      <c r="C31" s="2">
        <v>30.52</v>
      </c>
      <c r="D31" s="2">
        <v>68635</v>
      </c>
      <c r="E31" s="2">
        <v>100</v>
      </c>
      <c r="G31" s="8" t="str">
        <f t="shared" si="4"/>
        <v>20,950 (30.52)</v>
      </c>
    </row>
    <row r="32" spans="1:7" ht="17.25" hidden="1" thickBot="1" x14ac:dyDescent="0.35"/>
    <row r="33" spans="1:7" x14ac:dyDescent="0.3">
      <c r="A33" s="24" t="s">
        <v>9</v>
      </c>
      <c r="B33" s="26" t="s">
        <v>2</v>
      </c>
      <c r="C33" s="26" t="s">
        <v>3</v>
      </c>
      <c r="D33" s="5" t="s">
        <v>4</v>
      </c>
      <c r="E33" s="5" t="s">
        <v>4</v>
      </c>
    </row>
    <row r="34" spans="1:7" hidden="1" x14ac:dyDescent="0.3">
      <c r="A34" s="25"/>
      <c r="B34" s="27"/>
      <c r="C34" s="27"/>
      <c r="D34" s="3" t="s">
        <v>2</v>
      </c>
      <c r="E34" s="3" t="s">
        <v>3</v>
      </c>
    </row>
    <row r="35" spans="1:7" x14ac:dyDescent="0.3">
      <c r="A35" s="6">
        <v>1</v>
      </c>
      <c r="B35" s="2">
        <v>2777</v>
      </c>
      <c r="C35" s="2">
        <v>4.05</v>
      </c>
      <c r="D35" s="2">
        <v>2777</v>
      </c>
      <c r="E35" s="2">
        <v>4.05</v>
      </c>
      <c r="G35" s="8" t="str">
        <f t="shared" ref="G35:G38" si="5">TEXT(B35,"#,##0")&amp;" ("&amp;TEXT(C35,"0.00")&amp;")"</f>
        <v>2,777 (4.05)</v>
      </c>
    </row>
    <row r="36" spans="1:7" x14ac:dyDescent="0.3">
      <c r="A36" s="6">
        <v>2</v>
      </c>
      <c r="B36" s="2">
        <v>26435</v>
      </c>
      <c r="C36" s="2">
        <v>38.520000000000003</v>
      </c>
      <c r="D36" s="2">
        <v>29212</v>
      </c>
      <c r="E36" s="2">
        <v>42.56</v>
      </c>
      <c r="G36" s="8" t="str">
        <f t="shared" si="5"/>
        <v>26,435 (38.52)</v>
      </c>
    </row>
    <row r="37" spans="1:7" ht="16.5" customHeight="1" x14ac:dyDescent="0.3">
      <c r="A37" s="6">
        <v>3</v>
      </c>
      <c r="B37" s="2">
        <v>16265</v>
      </c>
      <c r="C37" s="2">
        <v>23.7</v>
      </c>
      <c r="D37" s="2">
        <v>45477</v>
      </c>
      <c r="E37" s="2">
        <v>66.260000000000005</v>
      </c>
      <c r="G37" s="8" t="str">
        <f t="shared" si="5"/>
        <v>16,265 (23.70)</v>
      </c>
    </row>
    <row r="38" spans="1:7" ht="17.25" thickBot="1" x14ac:dyDescent="0.35">
      <c r="A38" s="6">
        <v>4</v>
      </c>
      <c r="B38" s="2">
        <v>23158</v>
      </c>
      <c r="C38" s="2">
        <v>33.74</v>
      </c>
      <c r="D38" s="2">
        <v>68635</v>
      </c>
      <c r="E38" s="2">
        <v>100</v>
      </c>
      <c r="G38" s="8" t="str">
        <f t="shared" si="5"/>
        <v>23,158 (33.74)</v>
      </c>
    </row>
    <row r="39" spans="1:7" ht="17.25" hidden="1" thickBot="1" x14ac:dyDescent="0.35"/>
    <row r="40" spans="1:7" x14ac:dyDescent="0.3">
      <c r="A40" s="24" t="s">
        <v>10</v>
      </c>
      <c r="B40" s="26" t="s">
        <v>2</v>
      </c>
      <c r="C40" s="26" t="s">
        <v>3</v>
      </c>
      <c r="D40" s="5" t="s">
        <v>4</v>
      </c>
      <c r="E40" s="5" t="s">
        <v>4</v>
      </c>
    </row>
    <row r="41" spans="1:7" hidden="1" x14ac:dyDescent="0.3">
      <c r="A41" s="25"/>
      <c r="B41" s="27"/>
      <c r="C41" s="27"/>
      <c r="D41" s="3" t="s">
        <v>2</v>
      </c>
      <c r="E41" s="3" t="s">
        <v>3</v>
      </c>
    </row>
    <row r="42" spans="1:7" x14ac:dyDescent="0.3">
      <c r="A42" s="6">
        <v>1</v>
      </c>
      <c r="B42" s="2">
        <v>56814</v>
      </c>
      <c r="C42" s="2">
        <v>82.78</v>
      </c>
      <c r="D42" s="2">
        <v>56814</v>
      </c>
      <c r="E42" s="2">
        <v>82.78</v>
      </c>
      <c r="G42" s="8" t="str">
        <f t="shared" ref="G42:G43" si="6">TEXT(B42,"#,##0")&amp;" ("&amp;TEXT(C42,"0.00")&amp;")"</f>
        <v>56,814 (82.78)</v>
      </c>
    </row>
    <row r="43" spans="1:7" ht="17.25" thickBot="1" x14ac:dyDescent="0.35">
      <c r="A43" s="6">
        <v>2</v>
      </c>
      <c r="B43" s="2">
        <v>11821</v>
      </c>
      <c r="C43" s="2">
        <v>17.22</v>
      </c>
      <c r="D43" s="2">
        <v>68635</v>
      </c>
      <c r="E43" s="2">
        <v>100</v>
      </c>
      <c r="G43" s="8" t="str">
        <f t="shared" si="6"/>
        <v>11,821 (17.22)</v>
      </c>
    </row>
    <row r="44" spans="1:7" ht="17.25" hidden="1" thickBot="1" x14ac:dyDescent="0.35"/>
    <row r="45" spans="1:7" x14ac:dyDescent="0.3">
      <c r="A45" s="24" t="s">
        <v>11</v>
      </c>
      <c r="B45" s="26" t="s">
        <v>2</v>
      </c>
      <c r="C45" s="26" t="s">
        <v>3</v>
      </c>
      <c r="D45" s="5" t="s">
        <v>4</v>
      </c>
      <c r="E45" s="5" t="s">
        <v>4</v>
      </c>
    </row>
    <row r="46" spans="1:7" hidden="1" x14ac:dyDescent="0.3">
      <c r="A46" s="25"/>
      <c r="B46" s="27"/>
      <c r="C46" s="27"/>
      <c r="D46" s="3" t="s">
        <v>2</v>
      </c>
      <c r="E46" s="3" t="s">
        <v>3</v>
      </c>
    </row>
    <row r="47" spans="1:7" x14ac:dyDescent="0.3">
      <c r="A47" s="6">
        <v>1</v>
      </c>
      <c r="B47" s="2">
        <v>22876</v>
      </c>
      <c r="C47" s="2">
        <v>33.33</v>
      </c>
      <c r="D47" s="2">
        <v>22876</v>
      </c>
      <c r="E47" s="2">
        <v>33.33</v>
      </c>
      <c r="G47" s="8" t="str">
        <f t="shared" ref="G47:G49" si="7">TEXT(B47,"#,##0")&amp;" ("&amp;TEXT(C47,"0.00")&amp;")"</f>
        <v>22,876 (33.33)</v>
      </c>
    </row>
    <row r="48" spans="1:7" x14ac:dyDescent="0.3">
      <c r="A48" s="6">
        <v>2</v>
      </c>
      <c r="B48" s="2">
        <v>33210</v>
      </c>
      <c r="C48" s="2">
        <v>48.39</v>
      </c>
      <c r="D48" s="2">
        <v>56086</v>
      </c>
      <c r="E48" s="2">
        <v>81.72</v>
      </c>
      <c r="G48" s="8" t="str">
        <f t="shared" si="7"/>
        <v>33,210 (48.39)</v>
      </c>
    </row>
    <row r="49" spans="1:7" ht="17.25" thickBot="1" x14ac:dyDescent="0.35">
      <c r="A49" s="6">
        <v>3</v>
      </c>
      <c r="B49" s="2">
        <v>12549</v>
      </c>
      <c r="C49" s="2">
        <v>18.28</v>
      </c>
      <c r="D49" s="2">
        <v>68635</v>
      </c>
      <c r="E49" s="2">
        <v>100</v>
      </c>
      <c r="G49" s="8" t="str">
        <f t="shared" si="7"/>
        <v>12,549 (18.28)</v>
      </c>
    </row>
    <row r="50" spans="1:7" ht="17.25" hidden="1" thickBot="1" x14ac:dyDescent="0.35"/>
    <row r="51" spans="1:7" x14ac:dyDescent="0.3">
      <c r="A51" s="24" t="s">
        <v>12</v>
      </c>
      <c r="B51" s="26" t="s">
        <v>2</v>
      </c>
      <c r="C51" s="26" t="s">
        <v>3</v>
      </c>
      <c r="D51" s="5" t="s">
        <v>4</v>
      </c>
      <c r="E51" s="5" t="s">
        <v>4</v>
      </c>
    </row>
    <row r="52" spans="1:7" ht="16.5" hidden="1" customHeight="1" x14ac:dyDescent="0.3">
      <c r="A52" s="25"/>
      <c r="B52" s="27"/>
      <c r="C52" s="27"/>
      <c r="D52" s="3" t="s">
        <v>2</v>
      </c>
      <c r="E52" s="3" t="s">
        <v>3</v>
      </c>
    </row>
    <row r="53" spans="1:7" x14ac:dyDescent="0.3">
      <c r="A53" s="6">
        <v>1</v>
      </c>
      <c r="B53" s="2">
        <v>18257</v>
      </c>
      <c r="C53" s="2">
        <v>26.6</v>
      </c>
      <c r="D53" s="2">
        <v>18257</v>
      </c>
      <c r="E53" s="2">
        <v>26.6</v>
      </c>
      <c r="G53" s="8" t="str">
        <f t="shared" ref="G53:G55" si="8">TEXT(B53,"#,##0")&amp;" ("&amp;TEXT(C53,"0.00")&amp;")"</f>
        <v>18,257 (26.60)</v>
      </c>
    </row>
    <row r="54" spans="1:7" x14ac:dyDescent="0.3">
      <c r="A54" s="6">
        <v>2</v>
      </c>
      <c r="B54" s="2">
        <v>39551</v>
      </c>
      <c r="C54" s="2">
        <v>57.63</v>
      </c>
      <c r="D54" s="2">
        <v>57808</v>
      </c>
      <c r="E54" s="2">
        <v>84.23</v>
      </c>
      <c r="G54" s="8" t="str">
        <f t="shared" si="8"/>
        <v>39,551 (57.63)</v>
      </c>
    </row>
    <row r="55" spans="1:7" ht="17.25" thickBot="1" x14ac:dyDescent="0.35">
      <c r="A55" s="6">
        <v>3</v>
      </c>
      <c r="B55" s="2">
        <v>10827</v>
      </c>
      <c r="C55" s="2">
        <v>15.77</v>
      </c>
      <c r="D55" s="2">
        <v>68635</v>
      </c>
      <c r="E55" s="2">
        <v>100</v>
      </c>
      <c r="G55" s="8" t="str">
        <f t="shared" si="8"/>
        <v>10,827 (15.77)</v>
      </c>
    </row>
    <row r="56" spans="1:7" ht="17.25" hidden="1" thickBot="1" x14ac:dyDescent="0.35"/>
    <row r="57" spans="1:7" ht="16.5" customHeight="1" x14ac:dyDescent="0.3">
      <c r="A57" s="24" t="s">
        <v>13</v>
      </c>
      <c r="B57" s="26" t="s">
        <v>2</v>
      </c>
      <c r="C57" s="26" t="s">
        <v>3</v>
      </c>
      <c r="D57" s="5" t="s">
        <v>4</v>
      </c>
      <c r="E57" s="5" t="s">
        <v>4</v>
      </c>
    </row>
    <row r="58" spans="1:7" hidden="1" x14ac:dyDescent="0.3">
      <c r="A58" s="25"/>
      <c r="B58" s="27"/>
      <c r="C58" s="27"/>
      <c r="D58" s="3" t="s">
        <v>2</v>
      </c>
      <c r="E58" s="3" t="s">
        <v>3</v>
      </c>
    </row>
    <row r="59" spans="1:7" x14ac:dyDescent="0.3">
      <c r="A59" s="6">
        <v>1</v>
      </c>
      <c r="B59" s="2">
        <v>26908</v>
      </c>
      <c r="C59" s="2">
        <v>39.200000000000003</v>
      </c>
      <c r="D59" s="2">
        <v>26908</v>
      </c>
      <c r="E59" s="2">
        <v>39.200000000000003</v>
      </c>
      <c r="G59" s="8" t="str">
        <f t="shared" ref="G59:G61" si="9">TEXT(B59,"#,##0")&amp;" ("&amp;TEXT(C59,"0.00")&amp;")"</f>
        <v>26,908 (39.20)</v>
      </c>
    </row>
    <row r="60" spans="1:7" x14ac:dyDescent="0.3">
      <c r="A60" s="6">
        <v>2</v>
      </c>
      <c r="B60" s="2">
        <v>24999</v>
      </c>
      <c r="C60" s="2">
        <v>36.42</v>
      </c>
      <c r="D60" s="2">
        <v>51907</v>
      </c>
      <c r="E60" s="2">
        <v>75.63</v>
      </c>
      <c r="G60" s="8" t="str">
        <f t="shared" si="9"/>
        <v>24,999 (36.42)</v>
      </c>
    </row>
    <row r="61" spans="1:7" ht="17.25" thickBot="1" x14ac:dyDescent="0.35">
      <c r="A61" s="6">
        <v>3</v>
      </c>
      <c r="B61" s="2">
        <v>16728</v>
      </c>
      <c r="C61" s="2">
        <v>24.37</v>
      </c>
      <c r="D61" s="2">
        <v>68635</v>
      </c>
      <c r="E61" s="2">
        <v>100</v>
      </c>
      <c r="G61" s="8" t="str">
        <f t="shared" si="9"/>
        <v>16,728 (24.37)</v>
      </c>
    </row>
    <row r="62" spans="1:7" ht="17.25" hidden="1" thickBot="1" x14ac:dyDescent="0.35"/>
    <row r="63" spans="1:7" ht="16.5" customHeight="1" x14ac:dyDescent="0.3">
      <c r="A63" s="24" t="s">
        <v>14</v>
      </c>
      <c r="B63" s="26" t="s">
        <v>2</v>
      </c>
      <c r="C63" s="26" t="s">
        <v>3</v>
      </c>
      <c r="D63" s="5" t="s">
        <v>4</v>
      </c>
      <c r="E63" s="5" t="s">
        <v>4</v>
      </c>
    </row>
    <row r="64" spans="1:7" hidden="1" x14ac:dyDescent="0.3">
      <c r="A64" s="25"/>
      <c r="B64" s="27"/>
      <c r="C64" s="27"/>
      <c r="D64" s="3" t="s">
        <v>2</v>
      </c>
      <c r="E64" s="3" t="s">
        <v>3</v>
      </c>
    </row>
    <row r="65" spans="1:7" x14ac:dyDescent="0.3">
      <c r="A65" s="6">
        <v>0</v>
      </c>
      <c r="B65" s="2">
        <v>52064</v>
      </c>
      <c r="C65" s="2">
        <v>75.86</v>
      </c>
      <c r="D65" s="2">
        <v>52064</v>
      </c>
      <c r="E65" s="2">
        <v>75.86</v>
      </c>
      <c r="G65" s="8" t="str">
        <f t="shared" ref="G65:G66" si="10">TEXT(B65,"#,##0")&amp;" ("&amp;TEXT(C65,"0.00")&amp;")"</f>
        <v>52,064 (75.86)</v>
      </c>
    </row>
    <row r="66" spans="1:7" ht="17.25" thickBot="1" x14ac:dyDescent="0.35">
      <c r="A66" s="6">
        <v>1</v>
      </c>
      <c r="B66" s="2">
        <v>16571</v>
      </c>
      <c r="C66" s="2">
        <v>24.14</v>
      </c>
      <c r="D66" s="2">
        <v>68635</v>
      </c>
      <c r="E66" s="2">
        <v>100</v>
      </c>
      <c r="G66" s="8" t="str">
        <f t="shared" si="10"/>
        <v>16,571 (24.14)</v>
      </c>
    </row>
    <row r="67" spans="1:7" ht="17.25" hidden="1" thickBot="1" x14ac:dyDescent="0.35"/>
    <row r="68" spans="1:7" ht="16.5" customHeight="1" x14ac:dyDescent="0.3">
      <c r="A68" s="24" t="s">
        <v>15</v>
      </c>
      <c r="B68" s="26" t="s">
        <v>2</v>
      </c>
      <c r="C68" s="26" t="s">
        <v>3</v>
      </c>
      <c r="D68" s="5" t="s">
        <v>4</v>
      </c>
      <c r="E68" s="5" t="s">
        <v>4</v>
      </c>
    </row>
    <row r="69" spans="1:7" hidden="1" x14ac:dyDescent="0.3">
      <c r="A69" s="25"/>
      <c r="B69" s="27"/>
      <c r="C69" s="27"/>
      <c r="D69" s="3" t="s">
        <v>2</v>
      </c>
      <c r="E69" s="3" t="s">
        <v>3</v>
      </c>
    </row>
    <row r="70" spans="1:7" x14ac:dyDescent="0.3">
      <c r="A70" s="6">
        <v>0</v>
      </c>
      <c r="B70" s="2">
        <v>53910</v>
      </c>
      <c r="C70" s="2">
        <v>78.55</v>
      </c>
      <c r="D70" s="2">
        <v>53910</v>
      </c>
      <c r="E70" s="2">
        <v>78.55</v>
      </c>
      <c r="G70" s="8" t="str">
        <f t="shared" ref="G70:G71" si="11">TEXT(B70,"#,##0")&amp;" ("&amp;TEXT(C70,"0.00")&amp;")"</f>
        <v>53,910 (78.55)</v>
      </c>
    </row>
    <row r="71" spans="1:7" ht="17.25" thickBot="1" x14ac:dyDescent="0.35">
      <c r="A71" s="6">
        <v>1</v>
      </c>
      <c r="B71" s="2">
        <v>14725</v>
      </c>
      <c r="C71" s="2">
        <v>21.45</v>
      </c>
      <c r="D71" s="2">
        <v>68635</v>
      </c>
      <c r="E71" s="2">
        <v>100</v>
      </c>
      <c r="G71" s="8" t="str">
        <f t="shared" si="11"/>
        <v>14,725 (21.45)</v>
      </c>
    </row>
    <row r="72" spans="1:7" ht="17.25" hidden="1" thickBot="1" x14ac:dyDescent="0.35"/>
    <row r="73" spans="1:7" ht="16.5" customHeight="1" x14ac:dyDescent="0.3">
      <c r="A73" s="24" t="s">
        <v>16</v>
      </c>
      <c r="B73" s="26" t="s">
        <v>2</v>
      </c>
      <c r="C73" s="26" t="s">
        <v>3</v>
      </c>
      <c r="D73" s="5" t="s">
        <v>4</v>
      </c>
      <c r="E73" s="5" t="s">
        <v>4</v>
      </c>
    </row>
    <row r="74" spans="1:7" hidden="1" x14ac:dyDescent="0.3">
      <c r="A74" s="25"/>
      <c r="B74" s="27"/>
      <c r="C74" s="27"/>
      <c r="D74" s="3" t="s">
        <v>2</v>
      </c>
      <c r="E74" s="3" t="s">
        <v>3</v>
      </c>
    </row>
    <row r="75" spans="1:7" ht="16.5" customHeight="1" x14ac:dyDescent="0.3">
      <c r="A75" s="6">
        <v>0</v>
      </c>
      <c r="B75" s="2">
        <v>58467</v>
      </c>
      <c r="C75" s="2">
        <v>85.19</v>
      </c>
      <c r="D75" s="2">
        <v>58467</v>
      </c>
      <c r="E75" s="2">
        <v>85.19</v>
      </c>
      <c r="G75" s="8" t="str">
        <f t="shared" ref="G75:G76" si="12">TEXT(B75,"#,##0")&amp;" ("&amp;TEXT(C75,"0.00")&amp;")"</f>
        <v>58,467 (85.19)</v>
      </c>
    </row>
    <row r="76" spans="1:7" ht="17.25" thickBot="1" x14ac:dyDescent="0.35">
      <c r="A76" s="6">
        <v>1</v>
      </c>
      <c r="B76" s="2">
        <v>10168</v>
      </c>
      <c r="C76" s="2">
        <v>14.81</v>
      </c>
      <c r="D76" s="2">
        <v>68635</v>
      </c>
      <c r="E76" s="2">
        <v>100</v>
      </c>
      <c r="G76" s="8" t="str">
        <f t="shared" si="12"/>
        <v>10,168 (14.81)</v>
      </c>
    </row>
    <row r="77" spans="1:7" ht="17.25" hidden="1" thickBot="1" x14ac:dyDescent="0.35"/>
    <row r="78" spans="1:7" x14ac:dyDescent="0.3">
      <c r="A78" s="24" t="s">
        <v>17</v>
      </c>
      <c r="B78" s="26" t="s">
        <v>2</v>
      </c>
      <c r="C78" s="26" t="s">
        <v>3</v>
      </c>
      <c r="D78" s="5" t="s">
        <v>4</v>
      </c>
      <c r="E78" s="5" t="s">
        <v>4</v>
      </c>
    </row>
    <row r="79" spans="1:7" hidden="1" x14ac:dyDescent="0.3">
      <c r="A79" s="25"/>
      <c r="B79" s="27"/>
      <c r="C79" s="27"/>
      <c r="D79" s="3" t="s">
        <v>2</v>
      </c>
      <c r="E79" s="3" t="s">
        <v>3</v>
      </c>
    </row>
    <row r="80" spans="1:7" x14ac:dyDescent="0.3">
      <c r="A80" s="6">
        <v>0</v>
      </c>
      <c r="B80" s="2">
        <v>67344</v>
      </c>
      <c r="C80" s="2">
        <v>98.12</v>
      </c>
      <c r="D80" s="2">
        <v>67344</v>
      </c>
      <c r="E80" s="2">
        <v>98.12</v>
      </c>
      <c r="G80" s="8" t="str">
        <f t="shared" ref="G80:G81" si="13">TEXT(B80,"#,##0")&amp;" ("&amp;TEXT(C80,"0.00")&amp;")"</f>
        <v>67,344 (98.12)</v>
      </c>
    </row>
    <row r="81" spans="1:7" ht="17.25" thickBot="1" x14ac:dyDescent="0.35">
      <c r="A81" s="6">
        <v>1</v>
      </c>
      <c r="B81" s="2">
        <v>1291</v>
      </c>
      <c r="C81" s="2">
        <v>1.88</v>
      </c>
      <c r="D81" s="2">
        <v>68635</v>
      </c>
      <c r="E81" s="2">
        <v>100</v>
      </c>
      <c r="G81" s="8" t="str">
        <f t="shared" si="13"/>
        <v>1,291 (1.88)</v>
      </c>
    </row>
    <row r="82" spans="1:7" ht="17.25" hidden="1" thickBot="1" x14ac:dyDescent="0.35"/>
    <row r="83" spans="1:7" x14ac:dyDescent="0.3">
      <c r="A83" s="24" t="s">
        <v>18</v>
      </c>
      <c r="B83" s="26" t="s">
        <v>2</v>
      </c>
      <c r="C83" s="26" t="s">
        <v>3</v>
      </c>
      <c r="D83" s="5" t="s">
        <v>4</v>
      </c>
      <c r="E83" s="5" t="s">
        <v>4</v>
      </c>
    </row>
    <row r="84" spans="1:7" hidden="1" x14ac:dyDescent="0.3">
      <c r="A84" s="25"/>
      <c r="B84" s="27"/>
      <c r="C84" s="27"/>
      <c r="D84" s="3" t="s">
        <v>2</v>
      </c>
      <c r="E84" s="3" t="s">
        <v>3</v>
      </c>
    </row>
    <row r="85" spans="1:7" x14ac:dyDescent="0.3">
      <c r="A85" s="6">
        <v>0</v>
      </c>
      <c r="B85" s="2">
        <v>67998</v>
      </c>
      <c r="C85" s="2">
        <v>99.07</v>
      </c>
      <c r="D85" s="2">
        <v>67998</v>
      </c>
      <c r="E85" s="2">
        <v>99.07</v>
      </c>
      <c r="G85" s="8" t="str">
        <f t="shared" ref="G85:G86" si="14">TEXT(B85,"#,##0")&amp;" ("&amp;TEXT(C85,"0.00")&amp;")"</f>
        <v>67,998 (99.07)</v>
      </c>
    </row>
    <row r="86" spans="1:7" ht="17.25" thickBot="1" x14ac:dyDescent="0.35">
      <c r="A86" s="6">
        <v>1</v>
      </c>
      <c r="B86" s="2">
        <v>637</v>
      </c>
      <c r="C86" s="2">
        <v>0.93</v>
      </c>
      <c r="D86" s="2">
        <v>68635</v>
      </c>
      <c r="E86" s="2">
        <v>100</v>
      </c>
      <c r="G86" s="8" t="str">
        <f t="shared" si="14"/>
        <v>637 (0.93)</v>
      </c>
    </row>
    <row r="87" spans="1:7" hidden="1" x14ac:dyDescent="0.3"/>
    <row r="88" spans="1:7" x14ac:dyDescent="0.3">
      <c r="A88" s="24" t="s">
        <v>19</v>
      </c>
      <c r="B88" s="26" t="s">
        <v>2</v>
      </c>
      <c r="C88" s="26" t="s">
        <v>3</v>
      </c>
      <c r="D88" s="5" t="s">
        <v>4</v>
      </c>
      <c r="E88" s="5" t="s">
        <v>4</v>
      </c>
    </row>
    <row r="89" spans="1:7" hidden="1" x14ac:dyDescent="0.3">
      <c r="A89" s="25"/>
      <c r="B89" s="27"/>
      <c r="C89" s="27"/>
      <c r="D89" s="3" t="s">
        <v>2</v>
      </c>
      <c r="E89" s="3" t="s">
        <v>3</v>
      </c>
    </row>
    <row r="90" spans="1:7" x14ac:dyDescent="0.3">
      <c r="A90" s="6">
        <v>0</v>
      </c>
      <c r="B90" s="2">
        <v>67434</v>
      </c>
      <c r="C90" s="2">
        <v>98.25</v>
      </c>
      <c r="D90" s="2">
        <v>67434</v>
      </c>
      <c r="E90" s="2">
        <v>98.25</v>
      </c>
      <c r="G90" s="8" t="str">
        <f t="shared" ref="G90:G91" si="15">TEXT(B90,"#,##0")&amp;" ("&amp;TEXT(C90,"0.00")&amp;")"</f>
        <v>67,434 (98.25)</v>
      </c>
    </row>
    <row r="91" spans="1:7" x14ac:dyDescent="0.3">
      <c r="A91" s="6">
        <v>1</v>
      </c>
      <c r="B91" s="2">
        <v>1201</v>
      </c>
      <c r="C91" s="2">
        <v>1.75</v>
      </c>
      <c r="D91" s="2">
        <v>68635</v>
      </c>
      <c r="E91" s="2">
        <v>100</v>
      </c>
      <c r="G91" s="8" t="str">
        <f t="shared" si="15"/>
        <v>1,201 (1.75)</v>
      </c>
    </row>
  </sheetData>
  <autoFilter ref="A1:A91" xr:uid="{95E2BD26-DC9B-4543-B894-64AB970F9902}">
    <filterColumn colId="0">
      <customFilters>
        <customFilter operator="notEqual" val=" "/>
      </customFilters>
    </filterColumn>
  </autoFilter>
  <mergeCells count="48">
    <mergeCell ref="A3:A4"/>
    <mergeCell ref="B3:B4"/>
    <mergeCell ref="C3:C4"/>
    <mergeCell ref="A9:A10"/>
    <mergeCell ref="B9:B10"/>
    <mergeCell ref="C9:C10"/>
    <mergeCell ref="A14:A15"/>
    <mergeCell ref="B14:B15"/>
    <mergeCell ref="C14:C15"/>
    <mergeCell ref="A19:A20"/>
    <mergeCell ref="B19:B20"/>
    <mergeCell ref="C19:C20"/>
    <mergeCell ref="A26:A27"/>
    <mergeCell ref="B26:B27"/>
    <mergeCell ref="C26:C27"/>
    <mergeCell ref="A33:A34"/>
    <mergeCell ref="B33:B34"/>
    <mergeCell ref="C33:C34"/>
    <mergeCell ref="A40:A41"/>
    <mergeCell ref="B40:B41"/>
    <mergeCell ref="C40:C41"/>
    <mergeCell ref="A45:A46"/>
    <mergeCell ref="B45:B46"/>
    <mergeCell ref="C45:C46"/>
    <mergeCell ref="A51:A52"/>
    <mergeCell ref="B51:B52"/>
    <mergeCell ref="C51:C52"/>
    <mergeCell ref="A57:A58"/>
    <mergeCell ref="B57:B58"/>
    <mergeCell ref="C57:C58"/>
    <mergeCell ref="A63:A64"/>
    <mergeCell ref="B63:B64"/>
    <mergeCell ref="C63:C64"/>
    <mergeCell ref="A68:A69"/>
    <mergeCell ref="B68:B69"/>
    <mergeCell ref="C68:C69"/>
    <mergeCell ref="A73:A74"/>
    <mergeCell ref="B73:B74"/>
    <mergeCell ref="C73:C74"/>
    <mergeCell ref="A78:A79"/>
    <mergeCell ref="B78:B79"/>
    <mergeCell ref="C78:C79"/>
    <mergeCell ref="A83:A84"/>
    <mergeCell ref="B83:B84"/>
    <mergeCell ref="C83:C84"/>
    <mergeCell ref="A88:A89"/>
    <mergeCell ref="B88:B89"/>
    <mergeCell ref="C88:C8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F2DA-7931-467C-8114-B9054540CB65}">
  <sheetPr filterMode="1"/>
  <dimension ref="A1:M281"/>
  <sheetViews>
    <sheetView workbookViewId="0">
      <selection activeCell="N25" sqref="N25"/>
    </sheetView>
  </sheetViews>
  <sheetFormatPr defaultRowHeight="16.5" x14ac:dyDescent="0.3"/>
  <cols>
    <col min="9" max="12" width="13.5" bestFit="1" customWidth="1"/>
  </cols>
  <sheetData>
    <row r="1" spans="1:13" x14ac:dyDescent="0.3">
      <c r="A1" s="1" t="s">
        <v>0</v>
      </c>
    </row>
    <row r="2" spans="1:13" ht="16.5" hidden="1" customHeight="1" x14ac:dyDescent="0.3"/>
    <row r="3" spans="1:13" ht="16.5" hidden="1" customHeight="1" x14ac:dyDescent="0.3">
      <c r="A3" s="4" t="s">
        <v>2</v>
      </c>
      <c r="B3" s="24" t="s">
        <v>27</v>
      </c>
      <c r="C3" s="26"/>
      <c r="D3" s="26"/>
      <c r="E3" s="26"/>
      <c r="F3" s="26"/>
      <c r="G3" s="26"/>
    </row>
    <row r="4" spans="1:13" ht="16.5" hidden="1" customHeight="1" x14ac:dyDescent="0.3">
      <c r="A4" s="6" t="s">
        <v>3</v>
      </c>
      <c r="B4" s="25" t="s">
        <v>1</v>
      </c>
      <c r="C4" s="27" t="s">
        <v>28</v>
      </c>
      <c r="D4" s="27"/>
      <c r="E4" s="27"/>
      <c r="F4" s="27"/>
      <c r="G4" s="27"/>
    </row>
    <row r="5" spans="1:13" ht="16.5" hidden="1" customHeight="1" x14ac:dyDescent="0.3">
      <c r="A5" s="6" t="s">
        <v>20</v>
      </c>
      <c r="B5" s="25"/>
      <c r="C5" s="3">
        <v>1</v>
      </c>
      <c r="D5" s="3">
        <v>2</v>
      </c>
      <c r="E5" s="3">
        <v>3</v>
      </c>
      <c r="F5" s="3">
        <v>4</v>
      </c>
      <c r="G5" s="3" t="s">
        <v>23</v>
      </c>
    </row>
    <row r="6" spans="1:13" ht="33" x14ac:dyDescent="0.3">
      <c r="A6" s="6" t="s">
        <v>21</v>
      </c>
      <c r="B6" s="25">
        <v>1</v>
      </c>
      <c r="C6" s="7">
        <v>7485</v>
      </c>
      <c r="D6" s="7">
        <v>5321</v>
      </c>
      <c r="E6" s="7">
        <v>3947</v>
      </c>
      <c r="F6" s="7">
        <v>4326</v>
      </c>
      <c r="G6" s="7">
        <v>21079</v>
      </c>
      <c r="I6" s="8" t="str">
        <f>TEXT(C6,"#,##0")&amp;" ("&amp;TEXT(C9,"0.00")&amp;")"</f>
        <v>7,485 (48.42)</v>
      </c>
      <c r="J6" s="8" t="str">
        <f t="shared" ref="J6:L6" si="0">TEXT(D6,"#,##0")&amp;" ("&amp;TEXT(D9,"0.00")&amp;")"</f>
        <v>5,321 (30.72)</v>
      </c>
      <c r="K6" s="8" t="str">
        <f t="shared" si="0"/>
        <v>3,947 (22.14)</v>
      </c>
      <c r="L6" s="8" t="str">
        <f t="shared" si="0"/>
        <v>4,326 (24.00)</v>
      </c>
      <c r="M6" t="s">
        <v>24</v>
      </c>
    </row>
    <row r="7" spans="1:13" x14ac:dyDescent="0.3">
      <c r="A7" s="2"/>
      <c r="B7" s="25"/>
      <c r="C7" s="7">
        <v>10.91</v>
      </c>
      <c r="D7" s="7">
        <v>7.75</v>
      </c>
      <c r="E7" s="7">
        <v>5.75</v>
      </c>
      <c r="F7" s="7">
        <v>6.3</v>
      </c>
      <c r="G7" s="7">
        <v>30.71</v>
      </c>
      <c r="I7" s="8" t="str">
        <f>TEXT(C10,"#,##0")&amp;" ("&amp;TEXT(C13,"0.00")&amp;")"</f>
        <v>6,024 (38.97)</v>
      </c>
      <c r="J7" s="8" t="str">
        <f t="shared" ref="J7:L7" si="1">TEXT(D10,"#,##0")&amp;" ("&amp;TEXT(D13,"0.00")&amp;")"</f>
        <v>8,501 (49.08)</v>
      </c>
      <c r="K7" s="8" t="str">
        <f t="shared" si="1"/>
        <v>9,240 (51.83)</v>
      </c>
      <c r="L7" s="8" t="str">
        <f t="shared" si="1"/>
        <v>9,705 (53.83)</v>
      </c>
      <c r="M7" t="s">
        <v>24</v>
      </c>
    </row>
    <row r="8" spans="1:13" x14ac:dyDescent="0.3">
      <c r="A8" s="2"/>
      <c r="B8" s="25"/>
      <c r="C8" s="7">
        <v>35.51</v>
      </c>
      <c r="D8" s="7">
        <v>25.24</v>
      </c>
      <c r="E8" s="7">
        <v>18.72</v>
      </c>
      <c r="F8" s="7">
        <v>20.52</v>
      </c>
      <c r="G8" s="7"/>
      <c r="I8" s="8" t="str">
        <f>TEXT(C14,"#,##0")&amp;" ("&amp;TEXT(C17,"0.00")&amp;")"</f>
        <v>1,948 (12.60)</v>
      </c>
      <c r="J8" s="8" t="str">
        <f t="shared" ref="J8:L8" si="2">TEXT(D14,"#,##0")&amp;" ("&amp;TEXT(D17,"0.00")&amp;")"</f>
        <v>3,500 (20.21)</v>
      </c>
      <c r="K8" s="8" t="str">
        <f t="shared" si="2"/>
        <v>4,641 (26.03)</v>
      </c>
      <c r="L8" s="8" t="str">
        <f t="shared" si="2"/>
        <v>3,997 (22.17)</v>
      </c>
      <c r="M8" t="s">
        <v>24</v>
      </c>
    </row>
    <row r="9" spans="1:13" x14ac:dyDescent="0.3">
      <c r="A9" s="2"/>
      <c r="B9" s="25"/>
      <c r="C9" s="7">
        <v>48.42</v>
      </c>
      <c r="D9" s="7">
        <v>30.72</v>
      </c>
      <c r="E9" s="7">
        <v>22.14</v>
      </c>
      <c r="F9" s="7">
        <v>24</v>
      </c>
      <c r="G9" s="7"/>
      <c r="M9" t="s">
        <v>24</v>
      </c>
    </row>
    <row r="10" spans="1:13" ht="16.5" hidden="1" customHeight="1" x14ac:dyDescent="0.3">
      <c r="A10" s="2"/>
      <c r="B10" s="25">
        <v>2</v>
      </c>
      <c r="C10" s="7">
        <v>6024</v>
      </c>
      <c r="D10" s="7">
        <v>8501</v>
      </c>
      <c r="E10" s="7">
        <v>9240</v>
      </c>
      <c r="F10" s="7">
        <v>9705</v>
      </c>
      <c r="G10" s="7">
        <v>33470</v>
      </c>
      <c r="I10" s="8"/>
      <c r="J10" s="8"/>
      <c r="K10" s="8"/>
      <c r="L10" s="8"/>
    </row>
    <row r="11" spans="1:13" ht="16.5" hidden="1" customHeight="1" x14ac:dyDescent="0.3">
      <c r="A11" s="2"/>
      <c r="B11" s="25"/>
      <c r="C11" s="7">
        <v>8.7799999999999994</v>
      </c>
      <c r="D11" s="7">
        <v>12.39</v>
      </c>
      <c r="E11" s="7">
        <v>13.46</v>
      </c>
      <c r="F11" s="7">
        <v>14.14</v>
      </c>
      <c r="G11" s="7">
        <v>48.77</v>
      </c>
    </row>
    <row r="12" spans="1:13" ht="16.5" hidden="1" customHeight="1" x14ac:dyDescent="0.3">
      <c r="A12" s="2"/>
      <c r="B12" s="25"/>
      <c r="C12" s="7">
        <v>18</v>
      </c>
      <c r="D12" s="7">
        <v>25.4</v>
      </c>
      <c r="E12" s="7">
        <v>27.61</v>
      </c>
      <c r="F12" s="7">
        <v>29</v>
      </c>
      <c r="G12" s="7"/>
    </row>
    <row r="13" spans="1:13" ht="16.5" hidden="1" customHeight="1" x14ac:dyDescent="0.3">
      <c r="A13" s="2"/>
      <c r="B13" s="25"/>
      <c r="C13" s="7">
        <v>38.97</v>
      </c>
      <c r="D13" s="7">
        <v>49.08</v>
      </c>
      <c r="E13" s="7">
        <v>51.83</v>
      </c>
      <c r="F13" s="7">
        <v>53.83</v>
      </c>
      <c r="G13" s="7"/>
    </row>
    <row r="14" spans="1:13" ht="16.5" hidden="1" customHeight="1" x14ac:dyDescent="0.3">
      <c r="A14" s="2"/>
      <c r="B14" s="25">
        <v>3</v>
      </c>
      <c r="C14" s="7">
        <v>1948</v>
      </c>
      <c r="D14" s="7">
        <v>3500</v>
      </c>
      <c r="E14" s="7">
        <v>4641</v>
      </c>
      <c r="F14" s="7">
        <v>3997</v>
      </c>
      <c r="G14" s="7">
        <v>14086</v>
      </c>
      <c r="I14" s="8"/>
      <c r="J14" s="8"/>
      <c r="K14" s="8"/>
      <c r="L14" s="8"/>
    </row>
    <row r="15" spans="1:13" ht="16.5" hidden="1" customHeight="1" x14ac:dyDescent="0.3">
      <c r="A15" s="2"/>
      <c r="B15" s="25"/>
      <c r="C15" s="7">
        <v>2.84</v>
      </c>
      <c r="D15" s="7">
        <v>5.0999999999999996</v>
      </c>
      <c r="E15" s="7">
        <v>6.76</v>
      </c>
      <c r="F15" s="7">
        <v>5.82</v>
      </c>
      <c r="G15" s="7">
        <v>20.52</v>
      </c>
    </row>
    <row r="16" spans="1:13" ht="16.5" hidden="1" customHeight="1" x14ac:dyDescent="0.3">
      <c r="A16" s="2"/>
      <c r="B16" s="25"/>
      <c r="C16" s="7">
        <v>13.83</v>
      </c>
      <c r="D16" s="7">
        <v>24.85</v>
      </c>
      <c r="E16" s="7">
        <v>32.950000000000003</v>
      </c>
      <c r="F16" s="7">
        <v>28.38</v>
      </c>
      <c r="G16" s="7"/>
    </row>
    <row r="17" spans="1:13" ht="16.5" hidden="1" customHeight="1" x14ac:dyDescent="0.3">
      <c r="A17" s="2"/>
      <c r="B17" s="25"/>
      <c r="C17" s="7">
        <v>12.6</v>
      </c>
      <c r="D17" s="7">
        <v>20.21</v>
      </c>
      <c r="E17" s="7">
        <v>26.03</v>
      </c>
      <c r="F17" s="7">
        <v>22.17</v>
      </c>
      <c r="G17" s="7"/>
    </row>
    <row r="18" spans="1:13" ht="16.5" hidden="1" customHeight="1" x14ac:dyDescent="0.3">
      <c r="A18" s="2"/>
      <c r="B18" s="25" t="s">
        <v>23</v>
      </c>
      <c r="C18" s="7">
        <v>15457</v>
      </c>
      <c r="D18" s="7">
        <v>17322</v>
      </c>
      <c r="E18" s="7">
        <v>17828</v>
      </c>
      <c r="F18" s="7">
        <v>18028</v>
      </c>
      <c r="G18" s="7">
        <v>68635</v>
      </c>
    </row>
    <row r="19" spans="1:13" ht="16.5" hidden="1" customHeight="1" x14ac:dyDescent="0.3">
      <c r="A19" s="2"/>
      <c r="B19" s="25"/>
      <c r="C19" s="7">
        <v>22.52</v>
      </c>
      <c r="D19" s="7">
        <v>25.24</v>
      </c>
      <c r="E19" s="7">
        <v>25.98</v>
      </c>
      <c r="F19" s="7">
        <v>26.27</v>
      </c>
      <c r="G19" s="7">
        <v>100</v>
      </c>
    </row>
    <row r="20" spans="1:13" ht="16.5" hidden="1" customHeight="1" x14ac:dyDescent="0.3">
      <c r="A20" s="2"/>
      <c r="B20" s="28"/>
      <c r="C20" s="28"/>
      <c r="D20" s="28"/>
      <c r="E20" s="28"/>
      <c r="F20" s="28"/>
      <c r="G20" s="28"/>
    </row>
    <row r="21" spans="1:13" ht="16.5" hidden="1" customHeight="1" x14ac:dyDescent="0.3"/>
    <row r="22" spans="1:13" ht="16.5" hidden="1" customHeight="1" x14ac:dyDescent="0.3">
      <c r="A22" s="4" t="s">
        <v>2</v>
      </c>
      <c r="B22" s="24" t="s">
        <v>29</v>
      </c>
      <c r="C22" s="26"/>
      <c r="D22" s="26"/>
      <c r="E22" s="26"/>
      <c r="F22" s="26"/>
      <c r="G22" s="26"/>
    </row>
    <row r="23" spans="1:13" ht="16.5" hidden="1" customHeight="1" x14ac:dyDescent="0.3">
      <c r="A23" s="6" t="s">
        <v>3</v>
      </c>
      <c r="B23" s="25" t="s">
        <v>5</v>
      </c>
      <c r="C23" s="27" t="s">
        <v>28</v>
      </c>
      <c r="D23" s="27"/>
      <c r="E23" s="27"/>
      <c r="F23" s="27"/>
      <c r="G23" s="27"/>
    </row>
    <row r="24" spans="1:13" ht="16.5" hidden="1" customHeight="1" x14ac:dyDescent="0.3">
      <c r="A24" s="6" t="s">
        <v>20</v>
      </c>
      <c r="B24" s="25"/>
      <c r="C24" s="3">
        <v>1</v>
      </c>
      <c r="D24" s="3">
        <v>2</v>
      </c>
      <c r="E24" s="3">
        <v>3</v>
      </c>
      <c r="F24" s="3">
        <v>4</v>
      </c>
      <c r="G24" s="3" t="s">
        <v>23</v>
      </c>
    </row>
    <row r="25" spans="1:13" ht="33" x14ac:dyDescent="0.3">
      <c r="A25" s="6" t="s">
        <v>21</v>
      </c>
      <c r="B25" s="25">
        <v>1</v>
      </c>
      <c r="C25" s="7">
        <v>4325</v>
      </c>
      <c r="D25" s="7">
        <v>7619</v>
      </c>
      <c r="E25" s="7">
        <v>9912</v>
      </c>
      <c r="F25" s="7">
        <v>11344</v>
      </c>
      <c r="G25" s="7">
        <v>33200</v>
      </c>
      <c r="I25" s="8" t="str">
        <f>TEXT(C25,"#,##0")&amp;" ("&amp;TEXT(C28,"0.00")&amp;")"</f>
        <v>4,325 (27.98)</v>
      </c>
      <c r="J25" s="8" t="str">
        <f t="shared" ref="J25" si="3">TEXT(D25,"#,##0")&amp;" ("&amp;TEXT(D28,"0.00")&amp;")"</f>
        <v>7,619 (43.98)</v>
      </c>
      <c r="K25" s="8" t="str">
        <f t="shared" ref="K25" si="4">TEXT(E25,"#,##0")&amp;" ("&amp;TEXT(E28,"0.00")&amp;")"</f>
        <v>9,912 (55.60)</v>
      </c>
      <c r="L25" s="8" t="str">
        <f t="shared" ref="L25" si="5">TEXT(F25,"#,##0")&amp;" ("&amp;TEXT(F28,"0.00")&amp;")"</f>
        <v>11,344 (62.92)</v>
      </c>
      <c r="M25" t="s">
        <v>24</v>
      </c>
    </row>
    <row r="26" spans="1:13" x14ac:dyDescent="0.3">
      <c r="A26" s="2"/>
      <c r="B26" s="25"/>
      <c r="C26" s="7">
        <v>6.3</v>
      </c>
      <c r="D26" s="7">
        <v>11.1</v>
      </c>
      <c r="E26" s="7">
        <v>14.44</v>
      </c>
      <c r="F26" s="7">
        <v>16.53</v>
      </c>
      <c r="G26" s="7">
        <v>48.37</v>
      </c>
      <c r="I26" s="8" t="str">
        <f>TEXT(C29,"#,##0")&amp;" ("&amp;TEXT(C32,"0.00")&amp;")"</f>
        <v>11,132 (72.02)</v>
      </c>
      <c r="J26" s="8" t="str">
        <f t="shared" ref="J26" si="6">TEXT(D29,"#,##0")&amp;" ("&amp;TEXT(D32,"0.00")&amp;")"</f>
        <v>9,703 (56.02)</v>
      </c>
      <c r="K26" s="8" t="str">
        <f t="shared" ref="K26" si="7">TEXT(E29,"#,##0")&amp;" ("&amp;TEXT(E32,"0.00")&amp;")"</f>
        <v>7,916 (44.40)</v>
      </c>
      <c r="L26" s="8" t="str">
        <f t="shared" ref="L26" si="8">TEXT(F29,"#,##0")&amp;" ("&amp;TEXT(F32,"0.00")&amp;")"</f>
        <v>6,684 (37.08)</v>
      </c>
      <c r="M26" t="s">
        <v>24</v>
      </c>
    </row>
    <row r="27" spans="1:13" x14ac:dyDescent="0.3">
      <c r="A27" s="2"/>
      <c r="B27" s="25"/>
      <c r="C27" s="7">
        <v>13.03</v>
      </c>
      <c r="D27" s="7">
        <v>22.95</v>
      </c>
      <c r="E27" s="7">
        <v>29.86</v>
      </c>
      <c r="F27" s="7">
        <v>34.17</v>
      </c>
      <c r="G27" s="7"/>
      <c r="I27" s="8"/>
      <c r="J27" s="8"/>
      <c r="K27" s="8"/>
      <c r="L27" s="8"/>
      <c r="M27" t="s">
        <v>24</v>
      </c>
    </row>
    <row r="28" spans="1:13" ht="16.5" hidden="1" customHeight="1" x14ac:dyDescent="0.3">
      <c r="A28" s="2"/>
      <c r="B28" s="25"/>
      <c r="C28" s="7">
        <v>27.98</v>
      </c>
      <c r="D28" s="7">
        <v>43.98</v>
      </c>
      <c r="E28" s="7">
        <v>55.6</v>
      </c>
      <c r="F28" s="7">
        <v>62.92</v>
      </c>
      <c r="G28" s="7"/>
    </row>
    <row r="29" spans="1:13" ht="16.5" hidden="1" customHeight="1" x14ac:dyDescent="0.3">
      <c r="A29" s="2"/>
      <c r="B29" s="25">
        <v>2</v>
      </c>
      <c r="C29" s="7">
        <v>11132</v>
      </c>
      <c r="D29" s="7">
        <v>9703</v>
      </c>
      <c r="E29" s="7">
        <v>7916</v>
      </c>
      <c r="F29" s="7">
        <v>6684</v>
      </c>
      <c r="G29" s="7">
        <v>35435</v>
      </c>
    </row>
    <row r="30" spans="1:13" ht="16.5" hidden="1" customHeight="1" x14ac:dyDescent="0.3">
      <c r="A30" s="2"/>
      <c r="B30" s="25"/>
      <c r="C30" s="7">
        <v>16.22</v>
      </c>
      <c r="D30" s="7">
        <v>14.14</v>
      </c>
      <c r="E30" s="7">
        <v>11.53</v>
      </c>
      <c r="F30" s="7">
        <v>9.74</v>
      </c>
      <c r="G30" s="7">
        <v>51.63</v>
      </c>
    </row>
    <row r="31" spans="1:13" ht="16.5" hidden="1" customHeight="1" x14ac:dyDescent="0.3">
      <c r="A31" s="2"/>
      <c r="B31" s="25"/>
      <c r="C31" s="7">
        <v>31.42</v>
      </c>
      <c r="D31" s="7">
        <v>27.38</v>
      </c>
      <c r="E31" s="7">
        <v>22.34</v>
      </c>
      <c r="F31" s="7">
        <v>18.86</v>
      </c>
      <c r="G31" s="7"/>
    </row>
    <row r="32" spans="1:13" ht="16.5" hidden="1" customHeight="1" x14ac:dyDescent="0.3">
      <c r="A32" s="2"/>
      <c r="B32" s="25"/>
      <c r="C32" s="7">
        <v>72.02</v>
      </c>
      <c r="D32" s="7">
        <v>56.02</v>
      </c>
      <c r="E32" s="7">
        <v>44.4</v>
      </c>
      <c r="F32" s="7">
        <v>37.08</v>
      </c>
      <c r="G32" s="7"/>
    </row>
    <row r="33" spans="1:13" ht="16.5" hidden="1" customHeight="1" x14ac:dyDescent="0.3">
      <c r="A33" s="2"/>
      <c r="B33" s="25" t="s">
        <v>23</v>
      </c>
      <c r="C33" s="7">
        <v>15457</v>
      </c>
      <c r="D33" s="7">
        <v>17322</v>
      </c>
      <c r="E33" s="7">
        <v>17828</v>
      </c>
      <c r="F33" s="7">
        <v>18028</v>
      </c>
      <c r="G33" s="7">
        <v>68635</v>
      </c>
    </row>
    <row r="34" spans="1:13" ht="16.5" hidden="1" customHeight="1" x14ac:dyDescent="0.3">
      <c r="A34" s="2"/>
      <c r="B34" s="25"/>
      <c r="C34" s="7">
        <v>22.52</v>
      </c>
      <c r="D34" s="7">
        <v>25.24</v>
      </c>
      <c r="E34" s="7">
        <v>25.98</v>
      </c>
      <c r="F34" s="7">
        <v>26.27</v>
      </c>
      <c r="G34" s="7">
        <v>100</v>
      </c>
    </row>
    <row r="35" spans="1:13" ht="16.5" hidden="1" customHeight="1" x14ac:dyDescent="0.3">
      <c r="A35" s="2"/>
      <c r="B35" s="28"/>
      <c r="C35" s="28"/>
      <c r="D35" s="28"/>
      <c r="E35" s="28"/>
      <c r="F35" s="28"/>
      <c r="G35" s="28"/>
    </row>
    <row r="36" spans="1:13" ht="16.5" hidden="1" customHeight="1" x14ac:dyDescent="0.3"/>
    <row r="37" spans="1:13" ht="16.5" hidden="1" customHeight="1" x14ac:dyDescent="0.3">
      <c r="A37" s="4" t="s">
        <v>2</v>
      </c>
      <c r="B37" s="24" t="s">
        <v>30</v>
      </c>
      <c r="C37" s="26"/>
      <c r="D37" s="26"/>
      <c r="E37" s="26"/>
      <c r="F37" s="26"/>
      <c r="G37" s="26"/>
    </row>
    <row r="38" spans="1:13" ht="16.5" hidden="1" customHeight="1" x14ac:dyDescent="0.3">
      <c r="A38" s="6" t="s">
        <v>3</v>
      </c>
      <c r="B38" s="25" t="s">
        <v>6</v>
      </c>
      <c r="C38" s="27" t="s">
        <v>28</v>
      </c>
      <c r="D38" s="27"/>
      <c r="E38" s="27"/>
      <c r="F38" s="27"/>
      <c r="G38" s="27"/>
    </row>
    <row r="39" spans="1:13" ht="16.5" hidden="1" customHeight="1" x14ac:dyDescent="0.3">
      <c r="A39" s="6" t="s">
        <v>20</v>
      </c>
      <c r="B39" s="25"/>
      <c r="C39" s="3">
        <v>1</v>
      </c>
      <c r="D39" s="3">
        <v>2</v>
      </c>
      <c r="E39" s="3">
        <v>3</v>
      </c>
      <c r="F39" s="3">
        <v>4</v>
      </c>
      <c r="G39" s="3" t="s">
        <v>23</v>
      </c>
    </row>
    <row r="40" spans="1:13" ht="33" x14ac:dyDescent="0.3">
      <c r="A40" s="6" t="s">
        <v>21</v>
      </c>
      <c r="B40" s="25">
        <v>1</v>
      </c>
      <c r="C40" s="7">
        <v>13047</v>
      </c>
      <c r="D40" s="7">
        <v>13941</v>
      </c>
      <c r="E40" s="7">
        <v>14152</v>
      </c>
      <c r="F40" s="7">
        <v>14036</v>
      </c>
      <c r="G40" s="7">
        <v>55176</v>
      </c>
      <c r="I40" s="8" t="str">
        <f>TEXT(C40,"#,##0")&amp;" ("&amp;TEXT(C43,"0.00")&amp;")"</f>
        <v>13,047 (84.41)</v>
      </c>
      <c r="J40" s="8" t="str">
        <f t="shared" ref="J40" si="9">TEXT(D40,"#,##0")&amp;" ("&amp;TEXT(D43,"0.00")&amp;")"</f>
        <v>13,941 (80.48)</v>
      </c>
      <c r="K40" s="8" t="str">
        <f t="shared" ref="K40" si="10">TEXT(E40,"#,##0")&amp;" ("&amp;TEXT(E43,"0.00")&amp;")"</f>
        <v>14,152 (79.38)</v>
      </c>
      <c r="L40" s="8" t="str">
        <f t="shared" ref="L40" si="11">TEXT(F40,"#,##0")&amp;" ("&amp;TEXT(F43,"0.00")&amp;")"</f>
        <v>14,036 (77.86)</v>
      </c>
      <c r="M40" t="s">
        <v>24</v>
      </c>
    </row>
    <row r="41" spans="1:13" x14ac:dyDescent="0.3">
      <c r="A41" s="2"/>
      <c r="B41" s="25"/>
      <c r="C41" s="7">
        <v>19.010000000000002</v>
      </c>
      <c r="D41" s="7">
        <v>20.309999999999999</v>
      </c>
      <c r="E41" s="7">
        <v>20.62</v>
      </c>
      <c r="F41" s="7">
        <v>20.45</v>
      </c>
      <c r="G41" s="7">
        <v>80.39</v>
      </c>
      <c r="I41" s="8" t="str">
        <f>TEXT(C44,"#,##0")&amp;" ("&amp;TEXT(C47,"0.00")&amp;")"</f>
        <v>2,410 (15.59)</v>
      </c>
      <c r="J41" s="8" t="str">
        <f t="shared" ref="J41" si="12">TEXT(D44,"#,##0")&amp;" ("&amp;TEXT(D47,"0.00")&amp;")"</f>
        <v>3,381 (19.52)</v>
      </c>
      <c r="K41" s="8" t="str">
        <f t="shared" ref="K41" si="13">TEXT(E44,"#,##0")&amp;" ("&amp;TEXT(E47,"0.00")&amp;")"</f>
        <v>3,676 (20.62)</v>
      </c>
      <c r="L41" s="8" t="str">
        <f t="shared" ref="L41" si="14">TEXT(F44,"#,##0")&amp;" ("&amp;TEXT(F47,"0.00")&amp;")"</f>
        <v>3,992 (22.14)</v>
      </c>
      <c r="M41" t="s">
        <v>24</v>
      </c>
    </row>
    <row r="42" spans="1:13" x14ac:dyDescent="0.3">
      <c r="A42" s="2"/>
      <c r="B42" s="25"/>
      <c r="C42" s="7">
        <v>23.65</v>
      </c>
      <c r="D42" s="7">
        <v>25.27</v>
      </c>
      <c r="E42" s="7">
        <v>25.65</v>
      </c>
      <c r="F42" s="7">
        <v>25.44</v>
      </c>
      <c r="G42" s="7"/>
      <c r="I42" s="8"/>
      <c r="M42" t="s">
        <v>24</v>
      </c>
    </row>
    <row r="43" spans="1:13" ht="16.5" hidden="1" customHeight="1" x14ac:dyDescent="0.3">
      <c r="A43" s="2"/>
      <c r="B43" s="25"/>
      <c r="C43" s="7">
        <v>84.41</v>
      </c>
      <c r="D43" s="7">
        <v>80.48</v>
      </c>
      <c r="E43" s="7">
        <v>79.38</v>
      </c>
      <c r="F43" s="7">
        <v>77.86</v>
      </c>
      <c r="G43" s="7"/>
    </row>
    <row r="44" spans="1:13" ht="16.5" hidden="1" customHeight="1" x14ac:dyDescent="0.3">
      <c r="A44" s="2"/>
      <c r="B44" s="25">
        <v>2</v>
      </c>
      <c r="C44" s="7">
        <v>2410</v>
      </c>
      <c r="D44" s="7">
        <v>3381</v>
      </c>
      <c r="E44" s="7">
        <v>3676</v>
      </c>
      <c r="F44" s="7">
        <v>3992</v>
      </c>
      <c r="G44" s="7">
        <v>13459</v>
      </c>
    </row>
    <row r="45" spans="1:13" ht="16.5" hidden="1" customHeight="1" x14ac:dyDescent="0.3">
      <c r="A45" s="2"/>
      <c r="B45" s="25"/>
      <c r="C45" s="7">
        <v>3.51</v>
      </c>
      <c r="D45" s="7">
        <v>4.93</v>
      </c>
      <c r="E45" s="7">
        <v>5.36</v>
      </c>
      <c r="F45" s="7">
        <v>5.82</v>
      </c>
      <c r="G45" s="7">
        <v>19.61</v>
      </c>
    </row>
    <row r="46" spans="1:13" ht="16.5" hidden="1" customHeight="1" x14ac:dyDescent="0.3">
      <c r="A46" s="2"/>
      <c r="B46" s="25"/>
      <c r="C46" s="7">
        <v>17.91</v>
      </c>
      <c r="D46" s="7">
        <v>25.12</v>
      </c>
      <c r="E46" s="7">
        <v>27.31</v>
      </c>
      <c r="F46" s="7">
        <v>29.66</v>
      </c>
      <c r="G46" s="7"/>
    </row>
    <row r="47" spans="1:13" ht="16.5" hidden="1" customHeight="1" x14ac:dyDescent="0.3">
      <c r="A47" s="2"/>
      <c r="B47" s="25"/>
      <c r="C47" s="7">
        <v>15.59</v>
      </c>
      <c r="D47" s="7">
        <v>19.52</v>
      </c>
      <c r="E47" s="7">
        <v>20.62</v>
      </c>
      <c r="F47" s="7">
        <v>22.14</v>
      </c>
      <c r="G47" s="7"/>
    </row>
    <row r="48" spans="1:13" ht="16.5" hidden="1" customHeight="1" x14ac:dyDescent="0.3">
      <c r="A48" s="2"/>
      <c r="B48" s="25" t="s">
        <v>23</v>
      </c>
      <c r="C48" s="7">
        <v>15457</v>
      </c>
      <c r="D48" s="7">
        <v>17322</v>
      </c>
      <c r="E48" s="7">
        <v>17828</v>
      </c>
      <c r="F48" s="7">
        <v>18028</v>
      </c>
      <c r="G48" s="7">
        <v>68635</v>
      </c>
    </row>
    <row r="49" spans="1:13" ht="16.5" hidden="1" customHeight="1" x14ac:dyDescent="0.3">
      <c r="A49" s="2"/>
      <c r="B49" s="25"/>
      <c r="C49" s="7">
        <v>22.52</v>
      </c>
      <c r="D49" s="7">
        <v>25.24</v>
      </c>
      <c r="E49" s="7">
        <v>25.98</v>
      </c>
      <c r="F49" s="7">
        <v>26.27</v>
      </c>
      <c r="G49" s="7">
        <v>100</v>
      </c>
    </row>
    <row r="50" spans="1:13" ht="16.5" hidden="1" customHeight="1" x14ac:dyDescent="0.3">
      <c r="A50" s="2"/>
      <c r="B50" s="28"/>
      <c r="C50" s="28"/>
      <c r="D50" s="28"/>
      <c r="E50" s="28"/>
      <c r="F50" s="28"/>
      <c r="G50" s="28"/>
    </row>
    <row r="51" spans="1:13" ht="16.5" hidden="1" customHeight="1" x14ac:dyDescent="0.3"/>
    <row r="52" spans="1:13" ht="16.5" hidden="1" customHeight="1" x14ac:dyDescent="0.3">
      <c r="A52" s="4" t="s">
        <v>2</v>
      </c>
      <c r="B52" s="24" t="s">
        <v>31</v>
      </c>
      <c r="C52" s="26"/>
      <c r="D52" s="26"/>
      <c r="E52" s="26"/>
      <c r="F52" s="26"/>
      <c r="G52" s="26"/>
    </row>
    <row r="53" spans="1:13" ht="16.5" hidden="1" customHeight="1" x14ac:dyDescent="0.3">
      <c r="A53" s="6" t="s">
        <v>3</v>
      </c>
      <c r="B53" s="25" t="s">
        <v>7</v>
      </c>
      <c r="C53" s="27" t="s">
        <v>28</v>
      </c>
      <c r="D53" s="27"/>
      <c r="E53" s="27"/>
      <c r="F53" s="27"/>
      <c r="G53" s="27"/>
    </row>
    <row r="54" spans="1:13" ht="16.5" hidden="1" customHeight="1" x14ac:dyDescent="0.3">
      <c r="A54" s="6" t="s">
        <v>20</v>
      </c>
      <c r="B54" s="25"/>
      <c r="C54" s="3">
        <v>1</v>
      </c>
      <c r="D54" s="3">
        <v>2</v>
      </c>
      <c r="E54" s="3">
        <v>3</v>
      </c>
      <c r="F54" s="3">
        <v>4</v>
      </c>
      <c r="G54" s="3" t="s">
        <v>23</v>
      </c>
    </row>
    <row r="55" spans="1:13" ht="33" x14ac:dyDescent="0.3">
      <c r="A55" s="6" t="s">
        <v>21</v>
      </c>
      <c r="B55" s="25">
        <v>1</v>
      </c>
      <c r="C55" s="7">
        <v>1152</v>
      </c>
      <c r="D55" s="7">
        <v>2234</v>
      </c>
      <c r="E55" s="7">
        <v>2973</v>
      </c>
      <c r="F55" s="7">
        <v>2840</v>
      </c>
      <c r="G55" s="7">
        <v>9199</v>
      </c>
      <c r="I55" s="8" t="str">
        <f>TEXT(C55,"#,##0")&amp;" ("&amp;TEXT(C58,"0.00")&amp;")"</f>
        <v>1,152 (7.45)</v>
      </c>
      <c r="J55" s="8" t="str">
        <f t="shared" ref="J55" si="15">TEXT(D55,"#,##0")&amp;" ("&amp;TEXT(D58,"0.00")&amp;")"</f>
        <v>2,234 (12.90)</v>
      </c>
      <c r="K55" s="8" t="str">
        <f t="shared" ref="K55" si="16">TEXT(E55,"#,##0")&amp;" ("&amp;TEXT(E58,"0.00")&amp;")"</f>
        <v>2,973 (16.68)</v>
      </c>
      <c r="L55" s="8" t="str">
        <f t="shared" ref="L55" si="17">TEXT(F55,"#,##0")&amp;" ("&amp;TEXT(F58,"0.00")&amp;")"</f>
        <v>2,840 (15.75)</v>
      </c>
      <c r="M55" t="s">
        <v>24</v>
      </c>
    </row>
    <row r="56" spans="1:13" x14ac:dyDescent="0.3">
      <c r="A56" s="2"/>
      <c r="B56" s="25"/>
      <c r="C56" s="7">
        <v>1.68</v>
      </c>
      <c r="D56" s="7">
        <v>3.25</v>
      </c>
      <c r="E56" s="7">
        <v>4.33</v>
      </c>
      <c r="F56" s="7">
        <v>4.1399999999999997</v>
      </c>
      <c r="G56" s="7">
        <v>13.4</v>
      </c>
      <c r="I56" s="8" t="str">
        <f>TEXT(C59,"#,##0")&amp;" ("&amp;TEXT(C62,"0.00")&amp;")"</f>
        <v>1,079 (6.98)</v>
      </c>
      <c r="J56" s="8" t="str">
        <f t="shared" ref="J56" si="18">TEXT(D59,"#,##0")&amp;" ("&amp;TEXT(D62,"0.00")&amp;")"</f>
        <v>1,957 (11.30)</v>
      </c>
      <c r="K56" s="8" t="str">
        <f t="shared" ref="K56" si="19">TEXT(E59,"#,##0")&amp;" ("&amp;TEXT(E62,"0.00")&amp;")"</f>
        <v>2,474 (13.88)</v>
      </c>
      <c r="L56" s="8" t="str">
        <f t="shared" ref="L56" si="20">TEXT(F59,"#,##0")&amp;" ("&amp;TEXT(F62,"0.00")&amp;")"</f>
        <v>2,427 (13.46)</v>
      </c>
      <c r="M56" t="s">
        <v>24</v>
      </c>
    </row>
    <row r="57" spans="1:13" x14ac:dyDescent="0.3">
      <c r="A57" s="2"/>
      <c r="B57" s="25"/>
      <c r="C57" s="7">
        <v>12.52</v>
      </c>
      <c r="D57" s="7">
        <v>24.29</v>
      </c>
      <c r="E57" s="7">
        <v>32.32</v>
      </c>
      <c r="F57" s="7">
        <v>30.87</v>
      </c>
      <c r="G57" s="7"/>
      <c r="I57" s="8" t="str">
        <f>TEXT(C63,"#,##0")&amp;" ("&amp;TEXT(C66,"0.00")&amp;")"</f>
        <v>3,549 (22.96)</v>
      </c>
      <c r="J57" s="8" t="str">
        <f t="shared" ref="J57:L57" si="21">TEXT(D63,"#,##0")&amp;" ("&amp;TEXT(D66,"0.00")&amp;")"</f>
        <v>4,529 (26.15)</v>
      </c>
      <c r="K57" s="8" t="str">
        <f t="shared" si="21"/>
        <v>4,818 (27.02)</v>
      </c>
      <c r="L57" s="8" t="str">
        <f t="shared" si="21"/>
        <v>4,862 (26.97)</v>
      </c>
      <c r="M57" t="s">
        <v>24</v>
      </c>
    </row>
    <row r="58" spans="1:13" x14ac:dyDescent="0.3">
      <c r="A58" s="2"/>
      <c r="B58" s="25"/>
      <c r="C58" s="7">
        <v>7.45</v>
      </c>
      <c r="D58" s="7">
        <v>12.9</v>
      </c>
      <c r="E58" s="7">
        <v>16.68</v>
      </c>
      <c r="F58" s="7">
        <v>15.75</v>
      </c>
      <c r="G58" s="7"/>
      <c r="I58" s="8" t="str">
        <f>TEXT(C67,"#,##0")&amp;" ("&amp;TEXT(C70,"0.00")&amp;")"</f>
        <v>9,677 (62.61)</v>
      </c>
      <c r="J58" s="8" t="str">
        <f t="shared" ref="J58:L58" si="22">TEXT(D67,"#,##0")&amp;" ("&amp;TEXT(D70,"0.00")&amp;")"</f>
        <v>8,602 (49.66)</v>
      </c>
      <c r="K58" s="8" t="str">
        <f t="shared" si="22"/>
        <v>7,563 (42.42)</v>
      </c>
      <c r="L58" s="8" t="str">
        <f t="shared" si="22"/>
        <v>7,899 (43.82)</v>
      </c>
      <c r="M58" t="s">
        <v>24</v>
      </c>
    </row>
    <row r="59" spans="1:13" ht="16.5" customHeight="1" x14ac:dyDescent="0.3">
      <c r="A59" s="2"/>
      <c r="B59" s="25">
        <v>2</v>
      </c>
      <c r="C59" s="7">
        <v>1079</v>
      </c>
      <c r="D59" s="7">
        <v>1957</v>
      </c>
      <c r="E59" s="7">
        <v>2474</v>
      </c>
      <c r="F59" s="7">
        <v>2427</v>
      </c>
      <c r="G59" s="7">
        <v>7937</v>
      </c>
      <c r="I59" s="8"/>
      <c r="M59" t="s">
        <v>24</v>
      </c>
    </row>
    <row r="60" spans="1:13" ht="16.5" hidden="1" customHeight="1" x14ac:dyDescent="0.3">
      <c r="A60" s="2"/>
      <c r="B60" s="25"/>
      <c r="C60" s="7">
        <v>1.57</v>
      </c>
      <c r="D60" s="7">
        <v>2.85</v>
      </c>
      <c r="E60" s="7">
        <v>3.6</v>
      </c>
      <c r="F60" s="7">
        <v>3.54</v>
      </c>
      <c r="G60" s="7">
        <v>11.56</v>
      </c>
    </row>
    <row r="61" spans="1:13" ht="16.5" hidden="1" customHeight="1" x14ac:dyDescent="0.3">
      <c r="A61" s="2"/>
      <c r="B61" s="25"/>
      <c r="C61" s="7">
        <v>13.59</v>
      </c>
      <c r="D61" s="7">
        <v>24.66</v>
      </c>
      <c r="E61" s="7">
        <v>31.17</v>
      </c>
      <c r="F61" s="7">
        <v>30.58</v>
      </c>
      <c r="G61" s="7"/>
    </row>
    <row r="62" spans="1:13" ht="16.5" hidden="1" customHeight="1" x14ac:dyDescent="0.3">
      <c r="A62" s="2"/>
      <c r="B62" s="25"/>
      <c r="C62" s="7">
        <v>6.98</v>
      </c>
      <c r="D62" s="7">
        <v>11.3</v>
      </c>
      <c r="E62" s="7">
        <v>13.88</v>
      </c>
      <c r="F62" s="7">
        <v>13.46</v>
      </c>
      <c r="G62" s="7"/>
    </row>
    <row r="63" spans="1:13" ht="16.5" hidden="1" customHeight="1" x14ac:dyDescent="0.3">
      <c r="A63" s="2"/>
      <c r="B63" s="25">
        <v>3</v>
      </c>
      <c r="C63" s="7">
        <v>3549</v>
      </c>
      <c r="D63" s="7">
        <v>4529</v>
      </c>
      <c r="E63" s="7">
        <v>4818</v>
      </c>
      <c r="F63" s="7">
        <v>4862</v>
      </c>
      <c r="G63" s="7">
        <v>17758</v>
      </c>
    </row>
    <row r="64" spans="1:13" ht="16.5" hidden="1" customHeight="1" x14ac:dyDescent="0.3">
      <c r="A64" s="2"/>
      <c r="B64" s="25"/>
      <c r="C64" s="7">
        <v>5.17</v>
      </c>
      <c r="D64" s="7">
        <v>6.6</v>
      </c>
      <c r="E64" s="7">
        <v>7.02</v>
      </c>
      <c r="F64" s="7">
        <v>7.08</v>
      </c>
      <c r="G64" s="7">
        <v>25.87</v>
      </c>
    </row>
    <row r="65" spans="1:13" ht="16.5" hidden="1" customHeight="1" x14ac:dyDescent="0.3">
      <c r="A65" s="2"/>
      <c r="B65" s="25"/>
      <c r="C65" s="7">
        <v>19.989999999999998</v>
      </c>
      <c r="D65" s="7">
        <v>25.5</v>
      </c>
      <c r="E65" s="7">
        <v>27.13</v>
      </c>
      <c r="F65" s="7">
        <v>27.38</v>
      </c>
      <c r="G65" s="7"/>
    </row>
    <row r="66" spans="1:13" ht="16.5" hidden="1" customHeight="1" x14ac:dyDescent="0.3">
      <c r="A66" s="2"/>
      <c r="B66" s="25"/>
      <c r="C66" s="7">
        <v>22.96</v>
      </c>
      <c r="D66" s="7">
        <v>26.15</v>
      </c>
      <c r="E66" s="7">
        <v>27.02</v>
      </c>
      <c r="F66" s="7">
        <v>26.97</v>
      </c>
      <c r="G66" s="7"/>
    </row>
    <row r="67" spans="1:13" ht="16.5" hidden="1" customHeight="1" x14ac:dyDescent="0.3">
      <c r="A67" s="2"/>
      <c r="B67" s="25">
        <v>4</v>
      </c>
      <c r="C67" s="7">
        <v>9677</v>
      </c>
      <c r="D67" s="7">
        <v>8602</v>
      </c>
      <c r="E67" s="7">
        <v>7563</v>
      </c>
      <c r="F67" s="7">
        <v>7899</v>
      </c>
      <c r="G67" s="7">
        <v>33741</v>
      </c>
    </row>
    <row r="68" spans="1:13" ht="16.5" hidden="1" customHeight="1" x14ac:dyDescent="0.3">
      <c r="A68" s="2"/>
      <c r="B68" s="25"/>
      <c r="C68" s="7">
        <v>14.1</v>
      </c>
      <c r="D68" s="7">
        <v>12.53</v>
      </c>
      <c r="E68" s="7">
        <v>11.02</v>
      </c>
      <c r="F68" s="7">
        <v>11.51</v>
      </c>
      <c r="G68" s="7">
        <v>49.16</v>
      </c>
    </row>
    <row r="69" spans="1:13" ht="16.5" hidden="1" customHeight="1" x14ac:dyDescent="0.3">
      <c r="A69" s="2"/>
      <c r="B69" s="25"/>
      <c r="C69" s="7">
        <v>28.68</v>
      </c>
      <c r="D69" s="7">
        <v>25.49</v>
      </c>
      <c r="E69" s="7">
        <v>22.41</v>
      </c>
      <c r="F69" s="7">
        <v>23.41</v>
      </c>
      <c r="G69" s="7"/>
    </row>
    <row r="70" spans="1:13" ht="16.5" hidden="1" customHeight="1" x14ac:dyDescent="0.3">
      <c r="A70" s="2"/>
      <c r="B70" s="25"/>
      <c r="C70" s="7">
        <v>62.61</v>
      </c>
      <c r="D70" s="7">
        <v>49.66</v>
      </c>
      <c r="E70" s="7">
        <v>42.42</v>
      </c>
      <c r="F70" s="7">
        <v>43.82</v>
      </c>
      <c r="G70" s="7"/>
    </row>
    <row r="71" spans="1:13" ht="16.5" hidden="1" customHeight="1" x14ac:dyDescent="0.3">
      <c r="A71" s="2"/>
      <c r="B71" s="25" t="s">
        <v>23</v>
      </c>
      <c r="C71" s="7">
        <v>15457</v>
      </c>
      <c r="D71" s="7">
        <v>17322</v>
      </c>
      <c r="E71" s="7">
        <v>17828</v>
      </c>
      <c r="F71" s="7">
        <v>18028</v>
      </c>
      <c r="G71" s="7">
        <v>68635</v>
      </c>
    </row>
    <row r="72" spans="1:13" ht="16.5" hidden="1" customHeight="1" x14ac:dyDescent="0.3">
      <c r="A72" s="2"/>
      <c r="B72" s="25"/>
      <c r="C72" s="7">
        <v>22.52</v>
      </c>
      <c r="D72" s="7">
        <v>25.24</v>
      </c>
      <c r="E72" s="7">
        <v>25.98</v>
      </c>
      <c r="F72" s="7">
        <v>26.27</v>
      </c>
      <c r="G72" s="7">
        <v>100</v>
      </c>
    </row>
    <row r="73" spans="1:13" ht="16.5" hidden="1" customHeight="1" x14ac:dyDescent="0.3">
      <c r="A73" s="2"/>
      <c r="B73" s="28"/>
      <c r="C73" s="28"/>
      <c r="D73" s="28"/>
      <c r="E73" s="28"/>
      <c r="F73" s="28"/>
      <c r="G73" s="28"/>
    </row>
    <row r="74" spans="1:13" ht="16.5" hidden="1" customHeight="1" x14ac:dyDescent="0.3"/>
    <row r="75" spans="1:13" ht="16.5" hidden="1" customHeight="1" x14ac:dyDescent="0.3">
      <c r="A75" s="4" t="s">
        <v>2</v>
      </c>
      <c r="B75" s="24" t="s">
        <v>32</v>
      </c>
      <c r="C75" s="26"/>
      <c r="D75" s="26"/>
      <c r="E75" s="26"/>
      <c r="F75" s="26"/>
      <c r="G75" s="26"/>
    </row>
    <row r="76" spans="1:13" ht="16.5" hidden="1" customHeight="1" x14ac:dyDescent="0.3">
      <c r="A76" s="6" t="s">
        <v>3</v>
      </c>
      <c r="B76" s="25" t="s">
        <v>8</v>
      </c>
      <c r="C76" s="27" t="s">
        <v>28</v>
      </c>
      <c r="D76" s="27"/>
      <c r="E76" s="27"/>
      <c r="F76" s="27"/>
      <c r="G76" s="27"/>
    </row>
    <row r="77" spans="1:13" ht="16.5" hidden="1" customHeight="1" x14ac:dyDescent="0.3">
      <c r="A77" s="6" t="s">
        <v>20</v>
      </c>
      <c r="B77" s="25"/>
      <c r="C77" s="3">
        <v>1</v>
      </c>
      <c r="D77" s="3">
        <v>2</v>
      </c>
      <c r="E77" s="3">
        <v>3</v>
      </c>
      <c r="F77" s="3">
        <v>4</v>
      </c>
      <c r="G77" s="3" t="s">
        <v>23</v>
      </c>
    </row>
    <row r="78" spans="1:13" ht="33" x14ac:dyDescent="0.3">
      <c r="A78" s="6" t="s">
        <v>21</v>
      </c>
      <c r="B78" s="25">
        <v>1</v>
      </c>
      <c r="C78" s="7">
        <v>2041</v>
      </c>
      <c r="D78" s="7">
        <v>2774</v>
      </c>
      <c r="E78" s="7">
        <v>3147</v>
      </c>
      <c r="F78" s="7">
        <v>3303</v>
      </c>
      <c r="G78" s="7">
        <v>11265</v>
      </c>
      <c r="I78" s="8" t="str">
        <f>TEXT(C78,"#,##0")&amp;" ("&amp;TEXT(C81,"0.00")&amp;")"</f>
        <v>2,041 (13.20)</v>
      </c>
      <c r="J78" s="8" t="str">
        <f t="shared" ref="J78" si="23">TEXT(D78,"#,##0")&amp;" ("&amp;TEXT(D81,"0.00")&amp;")"</f>
        <v>2,774 (16.01)</v>
      </c>
      <c r="K78" s="8" t="str">
        <f t="shared" ref="K78" si="24">TEXT(E78,"#,##0")&amp;" ("&amp;TEXT(E81,"0.00")&amp;")"</f>
        <v>3,147 (17.65)</v>
      </c>
      <c r="L78" s="8" t="str">
        <f t="shared" ref="L78" si="25">TEXT(F78,"#,##0")&amp;" ("&amp;TEXT(F81,"0.00")&amp;")"</f>
        <v>3,303 (18.32)</v>
      </c>
      <c r="M78" t="s">
        <v>24</v>
      </c>
    </row>
    <row r="79" spans="1:13" x14ac:dyDescent="0.3">
      <c r="A79" s="2"/>
      <c r="B79" s="25"/>
      <c r="C79" s="7">
        <v>2.97</v>
      </c>
      <c r="D79" s="7">
        <v>4.04</v>
      </c>
      <c r="E79" s="7">
        <v>4.59</v>
      </c>
      <c r="F79" s="7">
        <v>4.8099999999999996</v>
      </c>
      <c r="G79" s="7">
        <v>16.41</v>
      </c>
      <c r="I79" s="8" t="str">
        <f>TEXT(C82,"#,##0")&amp;" ("&amp;TEXT(C85,"0.00")&amp;")"</f>
        <v>3,496 (22.62)</v>
      </c>
      <c r="J79" s="8" t="str">
        <f t="shared" ref="J79" si="26">TEXT(D82,"#,##0")&amp;" ("&amp;TEXT(D85,"0.00")&amp;")"</f>
        <v>4,127 (23.83)</v>
      </c>
      <c r="K79" s="8" t="str">
        <f t="shared" ref="K79" si="27">TEXT(E82,"#,##0")&amp;" ("&amp;TEXT(E85,"0.00")&amp;")"</f>
        <v>4,556 (25.56)</v>
      </c>
      <c r="L79" s="8" t="str">
        <f t="shared" ref="L79" si="28">TEXT(F82,"#,##0")&amp;" ("&amp;TEXT(F85,"0.00")&amp;")"</f>
        <v>4,655 (25.82)</v>
      </c>
      <c r="M79" t="s">
        <v>24</v>
      </c>
    </row>
    <row r="80" spans="1:13" x14ac:dyDescent="0.3">
      <c r="A80" s="2"/>
      <c r="B80" s="25"/>
      <c r="C80" s="7">
        <v>18.12</v>
      </c>
      <c r="D80" s="7">
        <v>24.62</v>
      </c>
      <c r="E80" s="7">
        <v>27.94</v>
      </c>
      <c r="F80" s="7">
        <v>29.32</v>
      </c>
      <c r="G80" s="7"/>
      <c r="I80" s="8" t="str">
        <f>TEXT(C86,"#,##0")&amp;" ("&amp;TEXT(C89,"0.00")&amp;")"</f>
        <v>4,591 (29.70)</v>
      </c>
      <c r="J80" s="8" t="str">
        <f t="shared" ref="J80" si="29">TEXT(D86,"#,##0")&amp;" ("&amp;TEXT(D89,"0.00")&amp;")"</f>
        <v>5,005 (28.89)</v>
      </c>
      <c r="K80" s="8" t="str">
        <f t="shared" ref="K80" si="30">TEXT(E86,"#,##0")&amp;" ("&amp;TEXT(E89,"0.00")&amp;")"</f>
        <v>4,916 (27.57)</v>
      </c>
      <c r="L80" s="8" t="str">
        <f t="shared" ref="L80" si="31">TEXT(F86,"#,##0")&amp;" ("&amp;TEXT(F89,"0.00")&amp;")"</f>
        <v>5,074 (28.15)</v>
      </c>
      <c r="M80" t="s">
        <v>24</v>
      </c>
    </row>
    <row r="81" spans="1:13" x14ac:dyDescent="0.3">
      <c r="A81" s="2"/>
      <c r="B81" s="25"/>
      <c r="C81" s="7">
        <v>13.2</v>
      </c>
      <c r="D81" s="7">
        <v>16.010000000000002</v>
      </c>
      <c r="E81" s="7">
        <v>17.649999999999999</v>
      </c>
      <c r="F81" s="7">
        <v>18.32</v>
      </c>
      <c r="G81" s="7"/>
      <c r="I81" s="8" t="str">
        <f>TEXT(C90,"#,##0")&amp;" ("&amp;TEXT(C93,"0.00")&amp;")"</f>
        <v>5,329 (34.48)</v>
      </c>
      <c r="J81" s="8" t="str">
        <f t="shared" ref="J81" si="32">TEXT(D90,"#,##0")&amp;" ("&amp;TEXT(D93,"0.00")&amp;")"</f>
        <v>5,416 (31.27)</v>
      </c>
      <c r="K81" s="8" t="str">
        <f t="shared" ref="K81" si="33">TEXT(E90,"#,##0")&amp;" ("&amp;TEXT(E93,"0.00")&amp;")"</f>
        <v>5,209 (29.22)</v>
      </c>
      <c r="L81" s="8" t="str">
        <f t="shared" ref="L81" si="34">TEXT(F90,"#,##0")&amp;" ("&amp;TEXT(F93,"0.00")&amp;")"</f>
        <v>4,996 (27.71)</v>
      </c>
      <c r="M81" t="s">
        <v>24</v>
      </c>
    </row>
    <row r="82" spans="1:13" ht="16.5" customHeight="1" x14ac:dyDescent="0.3">
      <c r="A82" s="2"/>
      <c r="B82" s="25">
        <v>2</v>
      </c>
      <c r="C82" s="7">
        <v>3496</v>
      </c>
      <c r="D82" s="7">
        <v>4127</v>
      </c>
      <c r="E82" s="7">
        <v>4556</v>
      </c>
      <c r="F82" s="7">
        <v>4655</v>
      </c>
      <c r="G82" s="7">
        <v>16834</v>
      </c>
      <c r="I82" s="8"/>
      <c r="M82" t="s">
        <v>24</v>
      </c>
    </row>
    <row r="83" spans="1:13" ht="16.5" hidden="1" customHeight="1" x14ac:dyDescent="0.3">
      <c r="A83" s="2"/>
      <c r="B83" s="25"/>
      <c r="C83" s="7">
        <v>5.09</v>
      </c>
      <c r="D83" s="7">
        <v>6.01</v>
      </c>
      <c r="E83" s="7">
        <v>6.64</v>
      </c>
      <c r="F83" s="7">
        <v>6.78</v>
      </c>
      <c r="G83" s="7">
        <v>24.53</v>
      </c>
    </row>
    <row r="84" spans="1:13" ht="16.5" hidden="1" customHeight="1" x14ac:dyDescent="0.3">
      <c r="A84" s="2"/>
      <c r="B84" s="25"/>
      <c r="C84" s="7">
        <v>20.77</v>
      </c>
      <c r="D84" s="7">
        <v>24.52</v>
      </c>
      <c r="E84" s="7">
        <v>27.06</v>
      </c>
      <c r="F84" s="7">
        <v>27.65</v>
      </c>
      <c r="G84" s="7"/>
    </row>
    <row r="85" spans="1:13" ht="16.5" hidden="1" customHeight="1" x14ac:dyDescent="0.3">
      <c r="A85" s="2"/>
      <c r="B85" s="25"/>
      <c r="C85" s="7">
        <v>22.62</v>
      </c>
      <c r="D85" s="7">
        <v>23.83</v>
      </c>
      <c r="E85" s="7">
        <v>25.56</v>
      </c>
      <c r="F85" s="7">
        <v>25.82</v>
      </c>
      <c r="G85" s="7"/>
    </row>
    <row r="86" spans="1:13" ht="16.5" hidden="1" customHeight="1" x14ac:dyDescent="0.3">
      <c r="A86" s="2"/>
      <c r="B86" s="25">
        <v>3</v>
      </c>
      <c r="C86" s="7">
        <v>4591</v>
      </c>
      <c r="D86" s="7">
        <v>5005</v>
      </c>
      <c r="E86" s="7">
        <v>4916</v>
      </c>
      <c r="F86" s="7">
        <v>5074</v>
      </c>
      <c r="G86" s="7">
        <v>19586</v>
      </c>
    </row>
    <row r="87" spans="1:13" ht="16.5" hidden="1" customHeight="1" x14ac:dyDescent="0.3">
      <c r="A87" s="2"/>
      <c r="B87" s="25"/>
      <c r="C87" s="7">
        <v>6.69</v>
      </c>
      <c r="D87" s="7">
        <v>7.29</v>
      </c>
      <c r="E87" s="7">
        <v>7.16</v>
      </c>
      <c r="F87" s="7">
        <v>7.39</v>
      </c>
      <c r="G87" s="7">
        <v>28.54</v>
      </c>
    </row>
    <row r="88" spans="1:13" ht="16.5" hidden="1" customHeight="1" x14ac:dyDescent="0.3">
      <c r="A88" s="2"/>
      <c r="B88" s="25"/>
      <c r="C88" s="7">
        <v>23.44</v>
      </c>
      <c r="D88" s="7">
        <v>25.55</v>
      </c>
      <c r="E88" s="7">
        <v>25.1</v>
      </c>
      <c r="F88" s="7">
        <v>25.91</v>
      </c>
      <c r="G88" s="7"/>
    </row>
    <row r="89" spans="1:13" ht="16.5" hidden="1" customHeight="1" x14ac:dyDescent="0.3">
      <c r="A89" s="2"/>
      <c r="B89" s="25"/>
      <c r="C89" s="7">
        <v>29.7</v>
      </c>
      <c r="D89" s="7">
        <v>28.89</v>
      </c>
      <c r="E89" s="7">
        <v>27.57</v>
      </c>
      <c r="F89" s="7">
        <v>28.15</v>
      </c>
      <c r="G89" s="7"/>
    </row>
    <row r="90" spans="1:13" ht="16.5" hidden="1" customHeight="1" x14ac:dyDescent="0.3">
      <c r="A90" s="2"/>
      <c r="B90" s="25">
        <v>4</v>
      </c>
      <c r="C90" s="7">
        <v>5329</v>
      </c>
      <c r="D90" s="7">
        <v>5416</v>
      </c>
      <c r="E90" s="7">
        <v>5209</v>
      </c>
      <c r="F90" s="7">
        <v>4996</v>
      </c>
      <c r="G90" s="7">
        <v>20950</v>
      </c>
    </row>
    <row r="91" spans="1:13" ht="16.5" hidden="1" customHeight="1" x14ac:dyDescent="0.3">
      <c r="A91" s="2"/>
      <c r="B91" s="25"/>
      <c r="C91" s="7">
        <v>7.76</v>
      </c>
      <c r="D91" s="7">
        <v>7.89</v>
      </c>
      <c r="E91" s="7">
        <v>7.59</v>
      </c>
      <c r="F91" s="7">
        <v>7.28</v>
      </c>
      <c r="G91" s="7">
        <v>30.52</v>
      </c>
    </row>
    <row r="92" spans="1:13" ht="16.5" hidden="1" customHeight="1" x14ac:dyDescent="0.3">
      <c r="A92" s="2"/>
      <c r="B92" s="25"/>
      <c r="C92" s="7">
        <v>25.44</v>
      </c>
      <c r="D92" s="7">
        <v>25.85</v>
      </c>
      <c r="E92" s="7">
        <v>24.86</v>
      </c>
      <c r="F92" s="7">
        <v>23.85</v>
      </c>
      <c r="G92" s="7"/>
    </row>
    <row r="93" spans="1:13" ht="16.5" hidden="1" customHeight="1" x14ac:dyDescent="0.3">
      <c r="A93" s="2"/>
      <c r="B93" s="25"/>
      <c r="C93" s="7">
        <v>34.479999999999997</v>
      </c>
      <c r="D93" s="7">
        <v>31.27</v>
      </c>
      <c r="E93" s="7">
        <v>29.22</v>
      </c>
      <c r="F93" s="7">
        <v>27.71</v>
      </c>
      <c r="G93" s="7"/>
    </row>
    <row r="94" spans="1:13" ht="16.5" hidden="1" customHeight="1" x14ac:dyDescent="0.3">
      <c r="A94" s="2"/>
      <c r="B94" s="25" t="s">
        <v>23</v>
      </c>
      <c r="C94" s="7">
        <v>15457</v>
      </c>
      <c r="D94" s="7">
        <v>17322</v>
      </c>
      <c r="E94" s="7">
        <v>17828</v>
      </c>
      <c r="F94" s="7">
        <v>18028</v>
      </c>
      <c r="G94" s="7">
        <v>68635</v>
      </c>
    </row>
    <row r="95" spans="1:13" ht="16.5" hidden="1" customHeight="1" x14ac:dyDescent="0.3">
      <c r="A95" s="2"/>
      <c r="B95" s="25"/>
      <c r="C95" s="7">
        <v>22.52</v>
      </c>
      <c r="D95" s="7">
        <v>25.24</v>
      </c>
      <c r="E95" s="7">
        <v>25.98</v>
      </c>
      <c r="F95" s="7">
        <v>26.27</v>
      </c>
      <c r="G95" s="7">
        <v>100</v>
      </c>
    </row>
    <row r="96" spans="1:13" ht="16.5" hidden="1" customHeight="1" x14ac:dyDescent="0.3">
      <c r="A96" s="2"/>
      <c r="B96" s="28"/>
      <c r="C96" s="28"/>
      <c r="D96" s="28"/>
      <c r="E96" s="28"/>
      <c r="F96" s="28"/>
      <c r="G96" s="28"/>
    </row>
    <row r="97" spans="1:13" ht="16.5" hidden="1" customHeight="1" x14ac:dyDescent="0.3"/>
    <row r="98" spans="1:13" ht="16.5" hidden="1" customHeight="1" x14ac:dyDescent="0.3">
      <c r="A98" s="4" t="s">
        <v>2</v>
      </c>
      <c r="B98" s="24" t="s">
        <v>33</v>
      </c>
      <c r="C98" s="26"/>
      <c r="D98" s="26"/>
      <c r="E98" s="26"/>
      <c r="F98" s="26"/>
      <c r="G98" s="26"/>
    </row>
    <row r="99" spans="1:13" ht="16.5" hidden="1" customHeight="1" x14ac:dyDescent="0.3">
      <c r="A99" s="6" t="s">
        <v>3</v>
      </c>
      <c r="B99" s="25" t="s">
        <v>9</v>
      </c>
      <c r="C99" s="27" t="s">
        <v>28</v>
      </c>
      <c r="D99" s="27"/>
      <c r="E99" s="27"/>
      <c r="F99" s="27"/>
      <c r="G99" s="27"/>
    </row>
    <row r="100" spans="1:13" ht="16.5" hidden="1" customHeight="1" x14ac:dyDescent="0.3">
      <c r="A100" s="6" t="s">
        <v>20</v>
      </c>
      <c r="B100" s="25"/>
      <c r="C100" s="3">
        <v>1</v>
      </c>
      <c r="D100" s="3">
        <v>2</v>
      </c>
      <c r="E100" s="3">
        <v>3</v>
      </c>
      <c r="F100" s="3">
        <v>4</v>
      </c>
      <c r="G100" s="3" t="s">
        <v>23</v>
      </c>
    </row>
    <row r="101" spans="1:13" ht="33" x14ac:dyDescent="0.3">
      <c r="A101" s="6" t="s">
        <v>21</v>
      </c>
      <c r="B101" s="25">
        <v>1</v>
      </c>
      <c r="C101" s="7">
        <v>2740</v>
      </c>
      <c r="D101" s="7">
        <v>36</v>
      </c>
      <c r="E101" s="7">
        <v>1</v>
      </c>
      <c r="F101" s="7">
        <v>0</v>
      </c>
      <c r="G101" s="7">
        <v>2777</v>
      </c>
      <c r="I101" s="8" t="str">
        <f>TEXT(C101,"#,##0")&amp;" ("&amp;TEXT(C104,"0.00")&amp;")"</f>
        <v>2,740 (17.73)</v>
      </c>
      <c r="J101" s="8" t="str">
        <f t="shared" ref="J101" si="35">TEXT(D101,"#,##0")&amp;" ("&amp;TEXT(D104,"0.00")&amp;")"</f>
        <v>36 (0.21)</v>
      </c>
      <c r="K101" s="8" t="str">
        <f t="shared" ref="K101" si="36">TEXT(E101,"#,##0")&amp;" ("&amp;TEXT(E104,"0.00")&amp;")"</f>
        <v>1 (0.01)</v>
      </c>
      <c r="L101" s="8" t="str">
        <f t="shared" ref="L101" si="37">TEXT(F101,"#,##0")&amp;" ("&amp;TEXT(F104,"0.00")&amp;")"</f>
        <v>0 (0.00)</v>
      </c>
      <c r="M101" t="s">
        <v>24</v>
      </c>
    </row>
    <row r="102" spans="1:13" x14ac:dyDescent="0.3">
      <c r="A102" s="2"/>
      <c r="B102" s="25"/>
      <c r="C102" s="7">
        <v>3.99</v>
      </c>
      <c r="D102" s="7">
        <v>0.05</v>
      </c>
      <c r="E102" s="7">
        <v>0</v>
      </c>
      <c r="F102" s="7">
        <v>0</v>
      </c>
      <c r="G102" s="7">
        <v>4.05</v>
      </c>
      <c r="I102" s="8" t="str">
        <f>TEXT(C105,"#,##0")&amp;" ("&amp;TEXT(C108,"0.00")&amp;")"</f>
        <v>12,464 (80.64)</v>
      </c>
      <c r="J102" s="8" t="str">
        <f t="shared" ref="J102" si="38">TEXT(D105,"#,##0")&amp;" ("&amp;TEXT(D108,"0.00")&amp;")"</f>
        <v>10,749 (62.05)</v>
      </c>
      <c r="K102" s="8" t="str">
        <f t="shared" ref="K102" si="39">TEXT(E105,"#,##0")&amp;" ("&amp;TEXT(E108,"0.00")&amp;")"</f>
        <v>2,911 (16.33)</v>
      </c>
      <c r="L102" s="8" t="str">
        <f t="shared" ref="L102" si="40">TEXT(F105,"#,##0")&amp;" ("&amp;TEXT(F108,"0.00")&amp;")"</f>
        <v>311 (1.73)</v>
      </c>
      <c r="M102" t="s">
        <v>24</v>
      </c>
    </row>
    <row r="103" spans="1:13" x14ac:dyDescent="0.3">
      <c r="A103" s="2"/>
      <c r="B103" s="25"/>
      <c r="C103" s="7">
        <v>98.67</v>
      </c>
      <c r="D103" s="7">
        <v>1.3</v>
      </c>
      <c r="E103" s="7">
        <v>0.04</v>
      </c>
      <c r="F103" s="7">
        <v>0</v>
      </c>
      <c r="G103" s="7"/>
      <c r="I103" s="8" t="str">
        <f>TEXT(C109,"#,##0")&amp;" ("&amp;TEXT(C112,"0.00")&amp;")"</f>
        <v>253 (1.64)</v>
      </c>
      <c r="J103" s="8" t="str">
        <f t="shared" ref="J103" si="41">TEXT(D109,"#,##0")&amp;" ("&amp;TEXT(D112,"0.00")&amp;")"</f>
        <v>5,728 (33.07)</v>
      </c>
      <c r="K103" s="8" t="str">
        <f t="shared" ref="K103" si="42">TEXT(E109,"#,##0")&amp;" ("&amp;TEXT(E112,"0.00")&amp;")"</f>
        <v>8,016 (44.96)</v>
      </c>
      <c r="L103" s="8" t="str">
        <f t="shared" ref="L103" si="43">TEXT(F109,"#,##0")&amp;" ("&amp;TEXT(F112,"0.00")&amp;")"</f>
        <v>2,268 (12.58)</v>
      </c>
      <c r="M103" t="s">
        <v>24</v>
      </c>
    </row>
    <row r="104" spans="1:13" x14ac:dyDescent="0.3">
      <c r="A104" s="2"/>
      <c r="B104" s="25"/>
      <c r="C104" s="7">
        <v>17.73</v>
      </c>
      <c r="D104" s="7">
        <v>0.21</v>
      </c>
      <c r="E104" s="7">
        <v>0.01</v>
      </c>
      <c r="F104" s="7">
        <v>0</v>
      </c>
      <c r="G104" s="7"/>
      <c r="I104" s="8" t="str">
        <f>TEXT(C113,"#,##0")&amp;" ("&amp;TEXT(C116,"0.00")&amp;")"</f>
        <v>0 (0.00)</v>
      </c>
      <c r="J104" s="8" t="str">
        <f t="shared" ref="J104" si="44">TEXT(D113,"#,##0")&amp;" ("&amp;TEXT(D116,"0.00")&amp;")"</f>
        <v>809 (4.67)</v>
      </c>
      <c r="K104" s="8" t="str">
        <f t="shared" ref="K104" si="45">TEXT(E113,"#,##0")&amp;" ("&amp;TEXT(E116,"0.00")&amp;")"</f>
        <v>6,900 (38.70)</v>
      </c>
      <c r="L104" s="8" t="str">
        <f t="shared" ref="L104" si="46">TEXT(F113,"#,##0")&amp;" ("&amp;TEXT(F116,"0.00")&amp;")"</f>
        <v>15,449 (85.69)</v>
      </c>
      <c r="M104" t="s">
        <v>24</v>
      </c>
    </row>
    <row r="105" spans="1:13" ht="16.5" customHeight="1" x14ac:dyDescent="0.3">
      <c r="A105" s="2"/>
      <c r="B105" s="25">
        <v>2</v>
      </c>
      <c r="C105" s="7">
        <v>12464</v>
      </c>
      <c r="D105" s="7">
        <v>10749</v>
      </c>
      <c r="E105" s="7">
        <v>2911</v>
      </c>
      <c r="F105" s="7">
        <v>311</v>
      </c>
      <c r="G105" s="7">
        <v>26435</v>
      </c>
      <c r="I105" s="8"/>
      <c r="M105" t="s">
        <v>24</v>
      </c>
    </row>
    <row r="106" spans="1:13" ht="16.5" hidden="1" customHeight="1" x14ac:dyDescent="0.3">
      <c r="A106" s="2"/>
      <c r="B106" s="25"/>
      <c r="C106" s="7">
        <v>18.16</v>
      </c>
      <c r="D106" s="7">
        <v>15.66</v>
      </c>
      <c r="E106" s="7">
        <v>4.24</v>
      </c>
      <c r="F106" s="7">
        <v>0.45</v>
      </c>
      <c r="G106" s="7">
        <v>38.520000000000003</v>
      </c>
    </row>
    <row r="107" spans="1:13" ht="16.5" hidden="1" customHeight="1" x14ac:dyDescent="0.3">
      <c r="A107" s="2"/>
      <c r="B107" s="25"/>
      <c r="C107" s="7">
        <v>47.15</v>
      </c>
      <c r="D107" s="7">
        <v>40.659999999999997</v>
      </c>
      <c r="E107" s="7">
        <v>11.01</v>
      </c>
      <c r="F107" s="7">
        <v>1.18</v>
      </c>
      <c r="G107" s="7"/>
    </row>
    <row r="108" spans="1:13" ht="16.5" hidden="1" customHeight="1" x14ac:dyDescent="0.3">
      <c r="A108" s="2"/>
      <c r="B108" s="25"/>
      <c r="C108" s="7">
        <v>80.64</v>
      </c>
      <c r="D108" s="7">
        <v>62.05</v>
      </c>
      <c r="E108" s="7">
        <v>16.329999999999998</v>
      </c>
      <c r="F108" s="7">
        <v>1.73</v>
      </c>
      <c r="G108" s="7"/>
    </row>
    <row r="109" spans="1:13" ht="16.5" hidden="1" customHeight="1" x14ac:dyDescent="0.3">
      <c r="A109" s="2"/>
      <c r="B109" s="25">
        <v>3</v>
      </c>
      <c r="C109" s="7">
        <v>253</v>
      </c>
      <c r="D109" s="7">
        <v>5728</v>
      </c>
      <c r="E109" s="7">
        <v>8016</v>
      </c>
      <c r="F109" s="7">
        <v>2268</v>
      </c>
      <c r="G109" s="7">
        <v>16265</v>
      </c>
    </row>
    <row r="110" spans="1:13" ht="16.5" hidden="1" customHeight="1" x14ac:dyDescent="0.3">
      <c r="A110" s="2"/>
      <c r="B110" s="25"/>
      <c r="C110" s="7">
        <v>0.37</v>
      </c>
      <c r="D110" s="7">
        <v>8.35</v>
      </c>
      <c r="E110" s="7">
        <v>11.68</v>
      </c>
      <c r="F110" s="7">
        <v>3.3</v>
      </c>
      <c r="G110" s="7">
        <v>23.7</v>
      </c>
    </row>
    <row r="111" spans="1:13" ht="16.5" hidden="1" customHeight="1" x14ac:dyDescent="0.3">
      <c r="A111" s="2"/>
      <c r="B111" s="25"/>
      <c r="C111" s="7">
        <v>1.56</v>
      </c>
      <c r="D111" s="7">
        <v>35.22</v>
      </c>
      <c r="E111" s="7">
        <v>49.28</v>
      </c>
      <c r="F111" s="7">
        <v>13.94</v>
      </c>
      <c r="G111" s="7"/>
    </row>
    <row r="112" spans="1:13" ht="16.5" hidden="1" customHeight="1" x14ac:dyDescent="0.3">
      <c r="A112" s="2"/>
      <c r="B112" s="25"/>
      <c r="C112" s="7">
        <v>1.64</v>
      </c>
      <c r="D112" s="7">
        <v>33.07</v>
      </c>
      <c r="E112" s="7">
        <v>44.96</v>
      </c>
      <c r="F112" s="7">
        <v>12.58</v>
      </c>
      <c r="G112" s="7"/>
    </row>
    <row r="113" spans="1:13" ht="16.5" hidden="1" customHeight="1" x14ac:dyDescent="0.3">
      <c r="A113" s="2"/>
      <c r="B113" s="25">
        <v>4</v>
      </c>
      <c r="C113" s="7">
        <v>0</v>
      </c>
      <c r="D113" s="7">
        <v>809</v>
      </c>
      <c r="E113" s="7">
        <v>6900</v>
      </c>
      <c r="F113" s="7">
        <v>15449</v>
      </c>
      <c r="G113" s="7">
        <v>23158</v>
      </c>
    </row>
    <row r="114" spans="1:13" ht="16.5" hidden="1" customHeight="1" x14ac:dyDescent="0.3">
      <c r="A114" s="2"/>
      <c r="B114" s="25"/>
      <c r="C114" s="7">
        <v>0</v>
      </c>
      <c r="D114" s="7">
        <v>1.18</v>
      </c>
      <c r="E114" s="7">
        <v>10.050000000000001</v>
      </c>
      <c r="F114" s="7">
        <v>22.51</v>
      </c>
      <c r="G114" s="7">
        <v>33.74</v>
      </c>
    </row>
    <row r="115" spans="1:13" ht="16.5" hidden="1" customHeight="1" x14ac:dyDescent="0.3">
      <c r="A115" s="2"/>
      <c r="B115" s="25"/>
      <c r="C115" s="7">
        <v>0</v>
      </c>
      <c r="D115" s="7">
        <v>3.49</v>
      </c>
      <c r="E115" s="7">
        <v>29.8</v>
      </c>
      <c r="F115" s="7">
        <v>66.709999999999994</v>
      </c>
      <c r="G115" s="7"/>
    </row>
    <row r="116" spans="1:13" ht="16.5" hidden="1" customHeight="1" x14ac:dyDescent="0.3">
      <c r="A116" s="2"/>
      <c r="B116" s="25"/>
      <c r="C116" s="7">
        <v>0</v>
      </c>
      <c r="D116" s="7">
        <v>4.67</v>
      </c>
      <c r="E116" s="7">
        <v>38.700000000000003</v>
      </c>
      <c r="F116" s="7">
        <v>85.69</v>
      </c>
      <c r="G116" s="7"/>
    </row>
    <row r="117" spans="1:13" ht="16.5" hidden="1" customHeight="1" x14ac:dyDescent="0.3">
      <c r="A117" s="2"/>
      <c r="B117" s="25" t="s">
        <v>23</v>
      </c>
      <c r="C117" s="7">
        <v>15457</v>
      </c>
      <c r="D117" s="7">
        <v>17322</v>
      </c>
      <c r="E117" s="7">
        <v>17828</v>
      </c>
      <c r="F117" s="7">
        <v>18028</v>
      </c>
      <c r="G117" s="7">
        <v>68635</v>
      </c>
    </row>
    <row r="118" spans="1:13" ht="16.5" hidden="1" customHeight="1" x14ac:dyDescent="0.3">
      <c r="A118" s="2"/>
      <c r="B118" s="25"/>
      <c r="C118" s="7">
        <v>22.52</v>
      </c>
      <c r="D118" s="7">
        <v>25.24</v>
      </c>
      <c r="E118" s="7">
        <v>25.98</v>
      </c>
      <c r="F118" s="7">
        <v>26.27</v>
      </c>
      <c r="G118" s="7">
        <v>100</v>
      </c>
    </row>
    <row r="119" spans="1:13" ht="16.5" hidden="1" customHeight="1" x14ac:dyDescent="0.3">
      <c r="A119" s="2"/>
      <c r="B119" s="28"/>
      <c r="C119" s="28"/>
      <c r="D119" s="28"/>
      <c r="E119" s="28"/>
      <c r="F119" s="28"/>
      <c r="G119" s="28"/>
    </row>
    <row r="120" spans="1:13" ht="16.5" hidden="1" customHeight="1" x14ac:dyDescent="0.3"/>
    <row r="121" spans="1:13" ht="16.5" hidden="1" customHeight="1" x14ac:dyDescent="0.3">
      <c r="A121" s="4" t="s">
        <v>2</v>
      </c>
      <c r="B121" s="24" t="s">
        <v>34</v>
      </c>
      <c r="C121" s="26"/>
      <c r="D121" s="26"/>
      <c r="E121" s="26"/>
      <c r="F121" s="26"/>
      <c r="G121" s="26"/>
    </row>
    <row r="122" spans="1:13" ht="16.5" hidden="1" customHeight="1" x14ac:dyDescent="0.3">
      <c r="A122" s="6" t="s">
        <v>3</v>
      </c>
      <c r="B122" s="25" t="s">
        <v>10</v>
      </c>
      <c r="C122" s="27" t="s">
        <v>28</v>
      </c>
      <c r="D122" s="27"/>
      <c r="E122" s="27"/>
      <c r="F122" s="27"/>
      <c r="G122" s="27"/>
    </row>
    <row r="123" spans="1:13" ht="16.5" hidden="1" customHeight="1" x14ac:dyDescent="0.3">
      <c r="A123" s="6" t="s">
        <v>20</v>
      </c>
      <c r="B123" s="25"/>
      <c r="C123" s="3">
        <v>1</v>
      </c>
      <c r="D123" s="3">
        <v>2</v>
      </c>
      <c r="E123" s="3">
        <v>3</v>
      </c>
      <c r="F123" s="3">
        <v>4</v>
      </c>
      <c r="G123" s="3" t="s">
        <v>23</v>
      </c>
    </row>
    <row r="124" spans="1:13" ht="33" x14ac:dyDescent="0.3">
      <c r="A124" s="6" t="s">
        <v>21</v>
      </c>
      <c r="B124" s="25">
        <v>1</v>
      </c>
      <c r="C124" s="7">
        <v>10963</v>
      </c>
      <c r="D124" s="7">
        <v>14447</v>
      </c>
      <c r="E124" s="7">
        <v>15695</v>
      </c>
      <c r="F124" s="7">
        <v>15709</v>
      </c>
      <c r="G124" s="7">
        <v>56814</v>
      </c>
      <c r="I124" s="8" t="str">
        <f>TEXT(C124,"#,##0")&amp;" ("&amp;TEXT(C127,"0.00")&amp;")"</f>
        <v>10,963 (70.93)</v>
      </c>
      <c r="J124" s="8" t="str">
        <f t="shared" ref="J124" si="47">TEXT(D124,"#,##0")&amp;" ("&amp;TEXT(D127,"0.00")&amp;")"</f>
        <v>14,447 (83.40)</v>
      </c>
      <c r="K124" s="8" t="str">
        <f t="shared" ref="K124" si="48">TEXT(E124,"#,##0")&amp;" ("&amp;TEXT(E127,"0.00")&amp;")"</f>
        <v>15,695 (88.04)</v>
      </c>
      <c r="L124" s="8" t="str">
        <f t="shared" ref="L124" si="49">TEXT(F124,"#,##0")&amp;" ("&amp;TEXT(F127,"0.00")&amp;")"</f>
        <v>15,709 (87.14)</v>
      </c>
      <c r="M124" t="s">
        <v>24</v>
      </c>
    </row>
    <row r="125" spans="1:13" x14ac:dyDescent="0.3">
      <c r="A125" s="2"/>
      <c r="B125" s="25"/>
      <c r="C125" s="7">
        <v>15.97</v>
      </c>
      <c r="D125" s="7">
        <v>21.05</v>
      </c>
      <c r="E125" s="7">
        <v>22.87</v>
      </c>
      <c r="F125" s="7">
        <v>22.89</v>
      </c>
      <c r="G125" s="7">
        <v>82.78</v>
      </c>
      <c r="I125" s="8" t="str">
        <f>TEXT(C128,"#,##0")&amp;" ("&amp;TEXT(C131,"0.00")&amp;")"</f>
        <v>4,494 (29.07)</v>
      </c>
      <c r="J125" s="8" t="str">
        <f t="shared" ref="J125" si="50">TEXT(D128,"#,##0")&amp;" ("&amp;TEXT(D131,"0.00")&amp;")"</f>
        <v>2,875 (16.60)</v>
      </c>
      <c r="K125" s="8" t="str">
        <f t="shared" ref="K125" si="51">TEXT(E128,"#,##0")&amp;" ("&amp;TEXT(E131,"0.00")&amp;")"</f>
        <v>2,133 (11.96)</v>
      </c>
      <c r="L125" s="8" t="str">
        <f t="shared" ref="L125" si="52">TEXT(F128,"#,##0")&amp;" ("&amp;TEXT(F131,"0.00")&amp;")"</f>
        <v>2,319 (12.86)</v>
      </c>
      <c r="M125" t="s">
        <v>24</v>
      </c>
    </row>
    <row r="126" spans="1:13" x14ac:dyDescent="0.3">
      <c r="A126" s="2"/>
      <c r="B126" s="25"/>
      <c r="C126" s="7">
        <v>19.3</v>
      </c>
      <c r="D126" s="7">
        <v>25.43</v>
      </c>
      <c r="E126" s="7">
        <v>27.63</v>
      </c>
      <c r="F126" s="7">
        <v>27.65</v>
      </c>
      <c r="G126" s="7"/>
      <c r="I126" s="8"/>
      <c r="J126" s="8"/>
      <c r="K126" s="8"/>
      <c r="L126" s="8"/>
      <c r="M126" t="s">
        <v>24</v>
      </c>
    </row>
    <row r="127" spans="1:13" ht="16.5" hidden="1" customHeight="1" x14ac:dyDescent="0.3">
      <c r="A127" s="2"/>
      <c r="B127" s="25"/>
      <c r="C127" s="7">
        <v>70.930000000000007</v>
      </c>
      <c r="D127" s="7">
        <v>83.4</v>
      </c>
      <c r="E127" s="7">
        <v>88.04</v>
      </c>
      <c r="F127" s="7">
        <v>87.14</v>
      </c>
      <c r="G127" s="7"/>
      <c r="I127" s="8"/>
      <c r="J127" s="8"/>
      <c r="K127" s="8"/>
      <c r="L127" s="8"/>
    </row>
    <row r="128" spans="1:13" ht="16.5" hidden="1" customHeight="1" x14ac:dyDescent="0.3">
      <c r="A128" s="2"/>
      <c r="B128" s="25">
        <v>2</v>
      </c>
      <c r="C128" s="7">
        <v>4494</v>
      </c>
      <c r="D128" s="7">
        <v>2875</v>
      </c>
      <c r="E128" s="7">
        <v>2133</v>
      </c>
      <c r="F128" s="7">
        <v>2319</v>
      </c>
      <c r="G128" s="7">
        <v>11821</v>
      </c>
    </row>
    <row r="129" spans="1:13" ht="16.5" hidden="1" customHeight="1" x14ac:dyDescent="0.3">
      <c r="A129" s="2"/>
      <c r="B129" s="25"/>
      <c r="C129" s="7">
        <v>6.55</v>
      </c>
      <c r="D129" s="7">
        <v>4.1900000000000004</v>
      </c>
      <c r="E129" s="7">
        <v>3.11</v>
      </c>
      <c r="F129" s="7">
        <v>3.38</v>
      </c>
      <c r="G129" s="7">
        <v>17.22</v>
      </c>
    </row>
    <row r="130" spans="1:13" ht="16.5" hidden="1" customHeight="1" x14ac:dyDescent="0.3">
      <c r="A130" s="2"/>
      <c r="B130" s="25"/>
      <c r="C130" s="7">
        <v>38.020000000000003</v>
      </c>
      <c r="D130" s="7">
        <v>24.32</v>
      </c>
      <c r="E130" s="7">
        <v>18.04</v>
      </c>
      <c r="F130" s="7">
        <v>19.62</v>
      </c>
      <c r="G130" s="7"/>
    </row>
    <row r="131" spans="1:13" ht="16.5" hidden="1" customHeight="1" x14ac:dyDescent="0.3">
      <c r="A131" s="2"/>
      <c r="B131" s="25"/>
      <c r="C131" s="7">
        <v>29.07</v>
      </c>
      <c r="D131" s="7">
        <v>16.600000000000001</v>
      </c>
      <c r="E131" s="7">
        <v>11.96</v>
      </c>
      <c r="F131" s="7">
        <v>12.86</v>
      </c>
      <c r="G131" s="7"/>
    </row>
    <row r="132" spans="1:13" ht="16.5" hidden="1" customHeight="1" x14ac:dyDescent="0.3">
      <c r="A132" s="2"/>
      <c r="B132" s="25" t="s">
        <v>23</v>
      </c>
      <c r="C132" s="7">
        <v>15457</v>
      </c>
      <c r="D132" s="7">
        <v>17322</v>
      </c>
      <c r="E132" s="7">
        <v>17828</v>
      </c>
      <c r="F132" s="7">
        <v>18028</v>
      </c>
      <c r="G132" s="7">
        <v>68635</v>
      </c>
    </row>
    <row r="133" spans="1:13" ht="16.5" hidden="1" customHeight="1" x14ac:dyDescent="0.3">
      <c r="A133" s="2"/>
      <c r="B133" s="25"/>
      <c r="C133" s="7">
        <v>22.52</v>
      </c>
      <c r="D133" s="7">
        <v>25.24</v>
      </c>
      <c r="E133" s="7">
        <v>25.98</v>
      </c>
      <c r="F133" s="7">
        <v>26.27</v>
      </c>
      <c r="G133" s="7">
        <v>100</v>
      </c>
    </row>
    <row r="134" spans="1:13" ht="16.5" hidden="1" customHeight="1" x14ac:dyDescent="0.3">
      <c r="A134" s="2"/>
      <c r="B134" s="28"/>
      <c r="C134" s="28"/>
      <c r="D134" s="28"/>
      <c r="E134" s="28"/>
      <c r="F134" s="28"/>
      <c r="G134" s="28"/>
    </row>
    <row r="135" spans="1:13" ht="16.5" hidden="1" customHeight="1" x14ac:dyDescent="0.3"/>
    <row r="136" spans="1:13" ht="16.5" hidden="1" customHeight="1" x14ac:dyDescent="0.3">
      <c r="A136" s="4" t="s">
        <v>2</v>
      </c>
      <c r="B136" s="24" t="s">
        <v>35</v>
      </c>
      <c r="C136" s="26"/>
      <c r="D136" s="26"/>
      <c r="E136" s="26"/>
      <c r="F136" s="26"/>
      <c r="G136" s="26"/>
    </row>
    <row r="137" spans="1:13" ht="16.5" hidden="1" customHeight="1" x14ac:dyDescent="0.3">
      <c r="A137" s="6" t="s">
        <v>3</v>
      </c>
      <c r="B137" s="25" t="s">
        <v>11</v>
      </c>
      <c r="C137" s="27" t="s">
        <v>28</v>
      </c>
      <c r="D137" s="27"/>
      <c r="E137" s="27"/>
      <c r="F137" s="27"/>
      <c r="G137" s="27"/>
    </row>
    <row r="138" spans="1:13" ht="16.5" hidden="1" customHeight="1" x14ac:dyDescent="0.3">
      <c r="A138" s="6" t="s">
        <v>20</v>
      </c>
      <c r="B138" s="25"/>
      <c r="C138" s="3">
        <v>1</v>
      </c>
      <c r="D138" s="3">
        <v>2</v>
      </c>
      <c r="E138" s="3">
        <v>3</v>
      </c>
      <c r="F138" s="3">
        <v>4</v>
      </c>
      <c r="G138" s="3" t="s">
        <v>23</v>
      </c>
    </row>
    <row r="139" spans="1:13" ht="33" x14ac:dyDescent="0.3">
      <c r="A139" s="6" t="s">
        <v>21</v>
      </c>
      <c r="B139" s="25">
        <v>1</v>
      </c>
      <c r="C139" s="7">
        <v>5526</v>
      </c>
      <c r="D139" s="7">
        <v>6338</v>
      </c>
      <c r="E139" s="7">
        <v>5954</v>
      </c>
      <c r="F139" s="7">
        <v>5058</v>
      </c>
      <c r="G139" s="7">
        <v>22876</v>
      </c>
      <c r="I139" s="8" t="str">
        <f>TEXT(C139,"#,##0")&amp;" ("&amp;TEXT(C142,"0.00")&amp;")"</f>
        <v>5,526 (35.75)</v>
      </c>
      <c r="J139" s="8" t="str">
        <f t="shared" ref="J139" si="53">TEXT(D139,"#,##0")&amp;" ("&amp;TEXT(D142,"0.00")&amp;")"</f>
        <v>6,338 (36.59)</v>
      </c>
      <c r="K139" s="8" t="str">
        <f t="shared" ref="K139" si="54">TEXT(E139,"#,##0")&amp;" ("&amp;TEXT(E142,"0.00")&amp;")"</f>
        <v>5,954 (33.40)</v>
      </c>
      <c r="L139" s="8" t="str">
        <f t="shared" ref="L139" si="55">TEXT(F139,"#,##0")&amp;" ("&amp;TEXT(F142,"0.00")&amp;")"</f>
        <v>5,058 (28.06)</v>
      </c>
      <c r="M139" t="s">
        <v>24</v>
      </c>
    </row>
    <row r="140" spans="1:13" x14ac:dyDescent="0.3">
      <c r="A140" s="2"/>
      <c r="B140" s="25"/>
      <c r="C140" s="7">
        <v>8.0500000000000007</v>
      </c>
      <c r="D140" s="7">
        <v>9.23</v>
      </c>
      <c r="E140" s="7">
        <v>8.67</v>
      </c>
      <c r="F140" s="7">
        <v>7.37</v>
      </c>
      <c r="G140" s="7">
        <v>33.33</v>
      </c>
      <c r="I140" s="8" t="str">
        <f>TEXT(C143,"#,##0")&amp;" ("&amp;TEXT(C146,"0.00")&amp;")"</f>
        <v>7,556 (48.88)</v>
      </c>
      <c r="J140" s="8" t="str">
        <f t="shared" ref="J140" si="56">TEXT(D143,"#,##0")&amp;" ("&amp;TEXT(D146,"0.00")&amp;")"</f>
        <v>8,180 (47.22)</v>
      </c>
      <c r="K140" s="8" t="str">
        <f t="shared" ref="K140" si="57">TEXT(E143,"#,##0")&amp;" ("&amp;TEXT(E146,"0.00")&amp;")"</f>
        <v>8,627 (48.39)</v>
      </c>
      <c r="L140" s="8" t="str">
        <f t="shared" ref="L140" si="58">TEXT(F143,"#,##0")&amp;" ("&amp;TEXT(F146,"0.00")&amp;")"</f>
        <v>8,847 (49.07)</v>
      </c>
      <c r="M140" t="s">
        <v>24</v>
      </c>
    </row>
    <row r="141" spans="1:13" x14ac:dyDescent="0.3">
      <c r="A141" s="2"/>
      <c r="B141" s="25"/>
      <c r="C141" s="7">
        <v>24.16</v>
      </c>
      <c r="D141" s="7">
        <v>27.71</v>
      </c>
      <c r="E141" s="7">
        <v>26.03</v>
      </c>
      <c r="F141" s="7">
        <v>22.11</v>
      </c>
      <c r="G141" s="7"/>
      <c r="I141" s="8" t="str">
        <f>TEXT(C147,"#,##0")&amp;" ("&amp;TEXT(C150,"0.00")&amp;")"</f>
        <v>2,375 (15.37)</v>
      </c>
      <c r="J141" s="8" t="str">
        <f t="shared" ref="J141" si="59">TEXT(D147,"#,##0")&amp;" ("&amp;TEXT(D150,"0.00")&amp;")"</f>
        <v>2,804 (16.19)</v>
      </c>
      <c r="K141" s="8" t="str">
        <f t="shared" ref="K141" si="60">TEXT(E147,"#,##0")&amp;" ("&amp;TEXT(E150,"0.00")&amp;")"</f>
        <v>3,247 (18.21)</v>
      </c>
      <c r="L141" s="8" t="str">
        <f t="shared" ref="L141" si="61">TEXT(F147,"#,##0")&amp;" ("&amp;TEXT(F150,"0.00")&amp;")"</f>
        <v>4,123 (22.87)</v>
      </c>
      <c r="M141" t="s">
        <v>24</v>
      </c>
    </row>
    <row r="142" spans="1:13" x14ac:dyDescent="0.3">
      <c r="A142" s="2"/>
      <c r="B142" s="25"/>
      <c r="C142" s="7">
        <v>35.75</v>
      </c>
      <c r="D142" s="7">
        <v>36.590000000000003</v>
      </c>
      <c r="E142" s="7">
        <v>33.4</v>
      </c>
      <c r="F142" s="7">
        <v>28.06</v>
      </c>
      <c r="G142" s="7"/>
      <c r="I142" s="8"/>
      <c r="J142" s="8"/>
      <c r="K142" s="8"/>
      <c r="L142" s="8"/>
      <c r="M142" t="s">
        <v>24</v>
      </c>
    </row>
    <row r="143" spans="1:13" ht="16.5" hidden="1" customHeight="1" x14ac:dyDescent="0.3">
      <c r="A143" s="2"/>
      <c r="B143" s="25">
        <v>2</v>
      </c>
      <c r="C143" s="7">
        <v>7556</v>
      </c>
      <c r="D143" s="7">
        <v>8180</v>
      </c>
      <c r="E143" s="7">
        <v>8627</v>
      </c>
      <c r="F143" s="7">
        <v>8847</v>
      </c>
      <c r="G143" s="7">
        <v>33210</v>
      </c>
    </row>
    <row r="144" spans="1:13" ht="16.5" hidden="1" customHeight="1" x14ac:dyDescent="0.3">
      <c r="A144" s="2"/>
      <c r="B144" s="25"/>
      <c r="C144" s="7">
        <v>11.01</v>
      </c>
      <c r="D144" s="7">
        <v>11.92</v>
      </c>
      <c r="E144" s="7">
        <v>12.57</v>
      </c>
      <c r="F144" s="7">
        <v>12.89</v>
      </c>
      <c r="G144" s="7">
        <v>48.39</v>
      </c>
    </row>
    <row r="145" spans="1:13" ht="16.5" hidden="1" customHeight="1" x14ac:dyDescent="0.3">
      <c r="A145" s="2"/>
      <c r="B145" s="25"/>
      <c r="C145" s="7">
        <v>22.75</v>
      </c>
      <c r="D145" s="7">
        <v>24.63</v>
      </c>
      <c r="E145" s="7">
        <v>25.98</v>
      </c>
      <c r="F145" s="7">
        <v>26.64</v>
      </c>
      <c r="G145" s="7"/>
    </row>
    <row r="146" spans="1:13" ht="16.5" hidden="1" customHeight="1" x14ac:dyDescent="0.3">
      <c r="A146" s="2"/>
      <c r="B146" s="25"/>
      <c r="C146" s="7">
        <v>48.88</v>
      </c>
      <c r="D146" s="7">
        <v>47.22</v>
      </c>
      <c r="E146" s="7">
        <v>48.39</v>
      </c>
      <c r="F146" s="7">
        <v>49.07</v>
      </c>
      <c r="G146" s="7"/>
    </row>
    <row r="147" spans="1:13" ht="16.5" hidden="1" customHeight="1" x14ac:dyDescent="0.3">
      <c r="A147" s="2"/>
      <c r="B147" s="25">
        <v>3</v>
      </c>
      <c r="C147" s="7">
        <v>2375</v>
      </c>
      <c r="D147" s="7">
        <v>2804</v>
      </c>
      <c r="E147" s="7">
        <v>3247</v>
      </c>
      <c r="F147" s="7">
        <v>4123</v>
      </c>
      <c r="G147" s="7">
        <v>12549</v>
      </c>
    </row>
    <row r="148" spans="1:13" ht="16.5" hidden="1" customHeight="1" x14ac:dyDescent="0.3">
      <c r="A148" s="2"/>
      <c r="B148" s="25"/>
      <c r="C148" s="7">
        <v>3.46</v>
      </c>
      <c r="D148" s="7">
        <v>4.09</v>
      </c>
      <c r="E148" s="7">
        <v>4.7300000000000004</v>
      </c>
      <c r="F148" s="7">
        <v>6.01</v>
      </c>
      <c r="G148" s="7">
        <v>18.28</v>
      </c>
    </row>
    <row r="149" spans="1:13" ht="16.5" hidden="1" customHeight="1" x14ac:dyDescent="0.3">
      <c r="A149" s="2"/>
      <c r="B149" s="25"/>
      <c r="C149" s="7">
        <v>18.93</v>
      </c>
      <c r="D149" s="7">
        <v>22.34</v>
      </c>
      <c r="E149" s="7">
        <v>25.87</v>
      </c>
      <c r="F149" s="7">
        <v>32.86</v>
      </c>
      <c r="G149" s="7"/>
    </row>
    <row r="150" spans="1:13" ht="16.5" hidden="1" customHeight="1" x14ac:dyDescent="0.3">
      <c r="A150" s="2"/>
      <c r="B150" s="25"/>
      <c r="C150" s="7">
        <v>15.37</v>
      </c>
      <c r="D150" s="7">
        <v>16.190000000000001</v>
      </c>
      <c r="E150" s="7">
        <v>18.21</v>
      </c>
      <c r="F150" s="7">
        <v>22.87</v>
      </c>
      <c r="G150" s="7"/>
    </row>
    <row r="151" spans="1:13" ht="16.5" hidden="1" customHeight="1" x14ac:dyDescent="0.3">
      <c r="A151" s="2"/>
      <c r="B151" s="25" t="s">
        <v>23</v>
      </c>
      <c r="C151" s="7">
        <v>15457</v>
      </c>
      <c r="D151" s="7">
        <v>17322</v>
      </c>
      <c r="E151" s="7">
        <v>17828</v>
      </c>
      <c r="F151" s="7">
        <v>18028</v>
      </c>
      <c r="G151" s="7">
        <v>68635</v>
      </c>
    </row>
    <row r="152" spans="1:13" ht="16.5" hidden="1" customHeight="1" x14ac:dyDescent="0.3">
      <c r="A152" s="2"/>
      <c r="B152" s="25"/>
      <c r="C152" s="7">
        <v>22.52</v>
      </c>
      <c r="D152" s="7">
        <v>25.24</v>
      </c>
      <c r="E152" s="7">
        <v>25.98</v>
      </c>
      <c r="F152" s="7">
        <v>26.27</v>
      </c>
      <c r="G152" s="7">
        <v>100</v>
      </c>
    </row>
    <row r="153" spans="1:13" ht="16.5" hidden="1" customHeight="1" x14ac:dyDescent="0.3">
      <c r="A153" s="2"/>
      <c r="B153" s="28"/>
      <c r="C153" s="28"/>
      <c r="D153" s="28"/>
      <c r="E153" s="28"/>
      <c r="F153" s="28"/>
      <c r="G153" s="28"/>
    </row>
    <row r="154" spans="1:13" ht="16.5" hidden="1" customHeight="1" x14ac:dyDescent="0.3"/>
    <row r="155" spans="1:13" ht="16.5" hidden="1" customHeight="1" x14ac:dyDescent="0.3">
      <c r="A155" s="4" t="s">
        <v>2</v>
      </c>
      <c r="B155" s="24" t="s">
        <v>36</v>
      </c>
      <c r="C155" s="26"/>
      <c r="D155" s="26"/>
      <c r="E155" s="26"/>
      <c r="F155" s="26"/>
      <c r="G155" s="26"/>
    </row>
    <row r="156" spans="1:13" ht="16.5" hidden="1" customHeight="1" x14ac:dyDescent="0.3">
      <c r="A156" s="6" t="s">
        <v>3</v>
      </c>
      <c r="B156" s="25" t="s">
        <v>12</v>
      </c>
      <c r="C156" s="27" t="s">
        <v>28</v>
      </c>
      <c r="D156" s="27"/>
      <c r="E156" s="27"/>
      <c r="F156" s="27"/>
      <c r="G156" s="27"/>
    </row>
    <row r="157" spans="1:13" ht="16.5" hidden="1" customHeight="1" x14ac:dyDescent="0.3">
      <c r="A157" s="6" t="s">
        <v>20</v>
      </c>
      <c r="B157" s="25"/>
      <c r="C157" s="3">
        <v>1</v>
      </c>
      <c r="D157" s="3">
        <v>2</v>
      </c>
      <c r="E157" s="3">
        <v>3</v>
      </c>
      <c r="F157" s="3">
        <v>4</v>
      </c>
      <c r="G157" s="3" t="s">
        <v>23</v>
      </c>
    </row>
    <row r="158" spans="1:13" ht="33" x14ac:dyDescent="0.3">
      <c r="A158" s="6" t="s">
        <v>21</v>
      </c>
      <c r="B158" s="25">
        <v>1</v>
      </c>
      <c r="C158" s="7">
        <v>4412</v>
      </c>
      <c r="D158" s="7">
        <v>4459</v>
      </c>
      <c r="E158" s="7">
        <v>4344</v>
      </c>
      <c r="F158" s="7">
        <v>5042</v>
      </c>
      <c r="G158" s="7">
        <v>18257</v>
      </c>
      <c r="I158" s="8" t="str">
        <f>TEXT(C158,"#,##0")&amp;" ("&amp;TEXT(C161,"0.00")&amp;")"</f>
        <v>4,412 (28.54)</v>
      </c>
      <c r="J158" s="8" t="str">
        <f t="shared" ref="J158" si="62">TEXT(D158,"#,##0")&amp;" ("&amp;TEXT(D161,"0.00")&amp;")"</f>
        <v>4,459 (25.74)</v>
      </c>
      <c r="K158" s="8" t="str">
        <f t="shared" ref="K158" si="63">TEXT(E158,"#,##0")&amp;" ("&amp;TEXT(E161,"0.00")&amp;")"</f>
        <v>4,344 (24.37)</v>
      </c>
      <c r="L158" s="8" t="str">
        <f t="shared" ref="L158" si="64">TEXT(F158,"#,##0")&amp;" ("&amp;TEXT(F161,"0.00")&amp;")"</f>
        <v>5,042 (27.97)</v>
      </c>
      <c r="M158" t="s">
        <v>24</v>
      </c>
    </row>
    <row r="159" spans="1:13" x14ac:dyDescent="0.3">
      <c r="A159" s="2"/>
      <c r="B159" s="25"/>
      <c r="C159" s="7">
        <v>6.43</v>
      </c>
      <c r="D159" s="7">
        <v>6.5</v>
      </c>
      <c r="E159" s="7">
        <v>6.33</v>
      </c>
      <c r="F159" s="7">
        <v>7.35</v>
      </c>
      <c r="G159" s="7">
        <v>26.6</v>
      </c>
      <c r="I159" s="8" t="str">
        <f>TEXT(C162,"#,##0")&amp;" ("&amp;TEXT(C165,"0.00")&amp;")"</f>
        <v>9,059 (58.61)</v>
      </c>
      <c r="J159" s="8" t="str">
        <f t="shared" ref="J159" si="65">TEXT(D162,"#,##0")&amp;" ("&amp;TEXT(D165,"0.00")&amp;")"</f>
        <v>10,158 (58.64)</v>
      </c>
      <c r="K159" s="8" t="str">
        <f t="shared" ref="K159" si="66">TEXT(E162,"#,##0")&amp;" ("&amp;TEXT(E165,"0.00")&amp;")"</f>
        <v>10,322 (57.90)</v>
      </c>
      <c r="L159" s="8" t="str">
        <f t="shared" ref="L159" si="67">TEXT(F162,"#,##0")&amp;" ("&amp;TEXT(F165,"0.00")&amp;")"</f>
        <v>10,012 (55.54)</v>
      </c>
      <c r="M159" t="s">
        <v>24</v>
      </c>
    </row>
    <row r="160" spans="1:13" x14ac:dyDescent="0.3">
      <c r="A160" s="2"/>
      <c r="B160" s="25"/>
      <c r="C160" s="7">
        <v>24.17</v>
      </c>
      <c r="D160" s="7">
        <v>24.42</v>
      </c>
      <c r="E160" s="7">
        <v>23.79</v>
      </c>
      <c r="F160" s="7">
        <v>27.62</v>
      </c>
      <c r="G160" s="7"/>
      <c r="I160" s="8" t="str">
        <f>TEXT(C166,"#,##0")&amp;" ("&amp;TEXT(C169,"0.00")&amp;")"</f>
        <v>1,986 (12.85)</v>
      </c>
      <c r="J160" s="8" t="str">
        <f t="shared" ref="J160" si="68">TEXT(D166,"#,##0")&amp;" ("&amp;TEXT(D169,"0.00")&amp;")"</f>
        <v>2,705 (15.62)</v>
      </c>
      <c r="K160" s="8" t="str">
        <f t="shared" ref="K160" si="69">TEXT(E166,"#,##0")&amp;" ("&amp;TEXT(E169,"0.00")&amp;")"</f>
        <v>3,162 (17.74)</v>
      </c>
      <c r="L160" s="8" t="str">
        <f t="shared" ref="L160" si="70">TEXT(F166,"#,##0")&amp;" ("&amp;TEXT(F169,"0.00")&amp;")"</f>
        <v>2,974 (16.50)</v>
      </c>
      <c r="M160" t="s">
        <v>24</v>
      </c>
    </row>
    <row r="161" spans="1:13" x14ac:dyDescent="0.3">
      <c r="A161" s="2"/>
      <c r="B161" s="25"/>
      <c r="C161" s="7">
        <v>28.54</v>
      </c>
      <c r="D161" s="7">
        <v>25.74</v>
      </c>
      <c r="E161" s="7">
        <v>24.37</v>
      </c>
      <c r="F161" s="7">
        <v>27.97</v>
      </c>
      <c r="G161" s="7"/>
      <c r="I161" s="8"/>
      <c r="J161" s="8"/>
      <c r="K161" s="8"/>
      <c r="L161" s="8"/>
      <c r="M161" t="s">
        <v>24</v>
      </c>
    </row>
    <row r="162" spans="1:13" ht="16.5" hidden="1" customHeight="1" x14ac:dyDescent="0.3">
      <c r="A162" s="2"/>
      <c r="B162" s="25">
        <v>2</v>
      </c>
      <c r="C162" s="7">
        <v>9059</v>
      </c>
      <c r="D162" s="7">
        <v>10158</v>
      </c>
      <c r="E162" s="7">
        <v>10322</v>
      </c>
      <c r="F162" s="7">
        <v>10012</v>
      </c>
      <c r="G162" s="7">
        <v>39551</v>
      </c>
    </row>
    <row r="163" spans="1:13" ht="16.5" hidden="1" customHeight="1" x14ac:dyDescent="0.3">
      <c r="A163" s="2"/>
      <c r="B163" s="25"/>
      <c r="C163" s="7">
        <v>13.2</v>
      </c>
      <c r="D163" s="7">
        <v>14.8</v>
      </c>
      <c r="E163" s="7">
        <v>15.04</v>
      </c>
      <c r="F163" s="7">
        <v>14.59</v>
      </c>
      <c r="G163" s="7">
        <v>57.63</v>
      </c>
    </row>
    <row r="164" spans="1:13" ht="16.5" hidden="1" customHeight="1" x14ac:dyDescent="0.3">
      <c r="A164" s="2"/>
      <c r="B164" s="25"/>
      <c r="C164" s="7">
        <v>22.9</v>
      </c>
      <c r="D164" s="7">
        <v>25.68</v>
      </c>
      <c r="E164" s="7">
        <v>26.1</v>
      </c>
      <c r="F164" s="7">
        <v>25.31</v>
      </c>
      <c r="G164" s="7"/>
    </row>
    <row r="165" spans="1:13" ht="16.5" hidden="1" customHeight="1" x14ac:dyDescent="0.3">
      <c r="A165" s="2"/>
      <c r="B165" s="25"/>
      <c r="C165" s="7">
        <v>58.61</v>
      </c>
      <c r="D165" s="7">
        <v>58.64</v>
      </c>
      <c r="E165" s="7">
        <v>57.9</v>
      </c>
      <c r="F165" s="7">
        <v>55.54</v>
      </c>
      <c r="G165" s="7"/>
    </row>
    <row r="166" spans="1:13" ht="16.5" hidden="1" customHeight="1" x14ac:dyDescent="0.3">
      <c r="A166" s="2"/>
      <c r="B166" s="25">
        <v>3</v>
      </c>
      <c r="C166" s="7">
        <v>1986</v>
      </c>
      <c r="D166" s="7">
        <v>2705</v>
      </c>
      <c r="E166" s="7">
        <v>3162</v>
      </c>
      <c r="F166" s="7">
        <v>2974</v>
      </c>
      <c r="G166" s="7">
        <v>10827</v>
      </c>
    </row>
    <row r="167" spans="1:13" ht="16.5" hidden="1" customHeight="1" x14ac:dyDescent="0.3">
      <c r="A167" s="2"/>
      <c r="B167" s="25"/>
      <c r="C167" s="7">
        <v>2.89</v>
      </c>
      <c r="D167" s="7">
        <v>3.94</v>
      </c>
      <c r="E167" s="7">
        <v>4.6100000000000003</v>
      </c>
      <c r="F167" s="7">
        <v>4.33</v>
      </c>
      <c r="G167" s="7">
        <v>15.77</v>
      </c>
    </row>
    <row r="168" spans="1:13" ht="16.5" hidden="1" customHeight="1" x14ac:dyDescent="0.3">
      <c r="A168" s="2"/>
      <c r="B168" s="25"/>
      <c r="C168" s="7">
        <v>18.34</v>
      </c>
      <c r="D168" s="7">
        <v>24.98</v>
      </c>
      <c r="E168" s="7">
        <v>29.2</v>
      </c>
      <c r="F168" s="7">
        <v>27.47</v>
      </c>
      <c r="G168" s="7"/>
    </row>
    <row r="169" spans="1:13" ht="16.5" hidden="1" customHeight="1" x14ac:dyDescent="0.3">
      <c r="A169" s="2"/>
      <c r="B169" s="25"/>
      <c r="C169" s="7">
        <v>12.85</v>
      </c>
      <c r="D169" s="7">
        <v>15.62</v>
      </c>
      <c r="E169" s="7">
        <v>17.739999999999998</v>
      </c>
      <c r="F169" s="7">
        <v>16.5</v>
      </c>
      <c r="G169" s="7"/>
    </row>
    <row r="170" spans="1:13" ht="16.5" hidden="1" customHeight="1" x14ac:dyDescent="0.3">
      <c r="A170" s="2"/>
      <c r="B170" s="25" t="s">
        <v>23</v>
      </c>
      <c r="C170" s="7">
        <v>15457</v>
      </c>
      <c r="D170" s="7">
        <v>17322</v>
      </c>
      <c r="E170" s="7">
        <v>17828</v>
      </c>
      <c r="F170" s="7">
        <v>18028</v>
      </c>
      <c r="G170" s="7">
        <v>68635</v>
      </c>
    </row>
    <row r="171" spans="1:13" ht="16.5" hidden="1" customHeight="1" x14ac:dyDescent="0.3">
      <c r="A171" s="2"/>
      <c r="B171" s="25"/>
      <c r="C171" s="7">
        <v>22.52</v>
      </c>
      <c r="D171" s="7">
        <v>25.24</v>
      </c>
      <c r="E171" s="7">
        <v>25.98</v>
      </c>
      <c r="F171" s="7">
        <v>26.27</v>
      </c>
      <c r="G171" s="7">
        <v>100</v>
      </c>
    </row>
    <row r="172" spans="1:13" ht="16.5" hidden="1" customHeight="1" x14ac:dyDescent="0.3">
      <c r="A172" s="2"/>
      <c r="B172" s="28"/>
      <c r="C172" s="28"/>
      <c r="D172" s="28"/>
      <c r="E172" s="28"/>
      <c r="F172" s="28"/>
      <c r="G172" s="28"/>
    </row>
    <row r="173" spans="1:13" ht="16.5" hidden="1" customHeight="1" x14ac:dyDescent="0.3"/>
    <row r="174" spans="1:13" ht="16.5" hidden="1" customHeight="1" x14ac:dyDescent="0.3">
      <c r="A174" s="4" t="s">
        <v>2</v>
      </c>
      <c r="B174" s="24" t="s">
        <v>37</v>
      </c>
      <c r="C174" s="26"/>
      <c r="D174" s="26"/>
      <c r="E174" s="26"/>
      <c r="F174" s="26"/>
      <c r="G174" s="26"/>
    </row>
    <row r="175" spans="1:13" ht="16.5" hidden="1" customHeight="1" x14ac:dyDescent="0.3">
      <c r="A175" s="6" t="s">
        <v>3</v>
      </c>
      <c r="B175" s="25" t="s">
        <v>13</v>
      </c>
      <c r="C175" s="27" t="s">
        <v>28</v>
      </c>
      <c r="D175" s="27"/>
      <c r="E175" s="27"/>
      <c r="F175" s="27"/>
      <c r="G175" s="27"/>
    </row>
    <row r="176" spans="1:13" ht="16.5" hidden="1" customHeight="1" x14ac:dyDescent="0.3">
      <c r="A176" s="6" t="s">
        <v>20</v>
      </c>
      <c r="B176" s="25"/>
      <c r="C176" s="3">
        <v>1</v>
      </c>
      <c r="D176" s="3">
        <v>2</v>
      </c>
      <c r="E176" s="3">
        <v>3</v>
      </c>
      <c r="F176" s="3">
        <v>4</v>
      </c>
      <c r="G176" s="3" t="s">
        <v>23</v>
      </c>
    </row>
    <row r="177" spans="1:13" ht="33" x14ac:dyDescent="0.3">
      <c r="A177" s="6" t="s">
        <v>21</v>
      </c>
      <c r="B177" s="25">
        <v>1</v>
      </c>
      <c r="C177" s="7">
        <v>6223</v>
      </c>
      <c r="D177" s="7">
        <v>6905</v>
      </c>
      <c r="E177" s="7">
        <v>6912</v>
      </c>
      <c r="F177" s="7">
        <v>6868</v>
      </c>
      <c r="G177" s="7">
        <v>26908</v>
      </c>
      <c r="I177" s="8" t="str">
        <f>TEXT(C177,"#,##0")&amp;" ("&amp;TEXT(C180,"0.00")&amp;")"</f>
        <v>6,223 (40.26)</v>
      </c>
      <c r="J177" s="8" t="str">
        <f t="shared" ref="J177" si="71">TEXT(D177,"#,##0")&amp;" ("&amp;TEXT(D180,"0.00")&amp;")"</f>
        <v>6,905 (39.86)</v>
      </c>
      <c r="K177" s="8" t="str">
        <f t="shared" ref="K177" si="72">TEXT(E177,"#,##0")&amp;" ("&amp;TEXT(E180,"0.00")&amp;")"</f>
        <v>6,912 (38.77)</v>
      </c>
      <c r="L177" s="8" t="str">
        <f t="shared" ref="L177" si="73">TEXT(F177,"#,##0")&amp;" ("&amp;TEXT(F180,"0.00")&amp;")"</f>
        <v>6,868 (38.10)</v>
      </c>
      <c r="M177" t="s">
        <v>24</v>
      </c>
    </row>
    <row r="178" spans="1:13" x14ac:dyDescent="0.3">
      <c r="A178" s="2"/>
      <c r="B178" s="25"/>
      <c r="C178" s="7">
        <v>9.07</v>
      </c>
      <c r="D178" s="7">
        <v>10.06</v>
      </c>
      <c r="E178" s="7">
        <v>10.07</v>
      </c>
      <c r="F178" s="7">
        <v>10.01</v>
      </c>
      <c r="G178" s="7">
        <v>39.200000000000003</v>
      </c>
      <c r="I178" s="8" t="str">
        <f>TEXT(C181,"#,##0")&amp;" ("&amp;TEXT(C184,"0.00")&amp;")"</f>
        <v>6,025 (38.98)</v>
      </c>
      <c r="J178" s="8" t="str">
        <f t="shared" ref="J178" si="74">TEXT(D181,"#,##0")&amp;" ("&amp;TEXT(D184,"0.00")&amp;")"</f>
        <v>6,428 (37.11)</v>
      </c>
      <c r="K178" s="8" t="str">
        <f t="shared" ref="K178" si="75">TEXT(E181,"#,##0")&amp;" ("&amp;TEXT(E184,"0.00")&amp;")"</f>
        <v>6,293 (35.30)</v>
      </c>
      <c r="L178" s="8" t="str">
        <f t="shared" ref="L178" si="76">TEXT(F181,"#,##0")&amp;" ("&amp;TEXT(F184,"0.00")&amp;")"</f>
        <v>6,253 (34.68)</v>
      </c>
      <c r="M178" t="s">
        <v>24</v>
      </c>
    </row>
    <row r="179" spans="1:13" x14ac:dyDescent="0.3">
      <c r="A179" s="2"/>
      <c r="B179" s="25"/>
      <c r="C179" s="7">
        <v>23.13</v>
      </c>
      <c r="D179" s="7">
        <v>25.66</v>
      </c>
      <c r="E179" s="7">
        <v>25.69</v>
      </c>
      <c r="F179" s="7">
        <v>25.52</v>
      </c>
      <c r="G179" s="7"/>
      <c r="I179" s="8" t="str">
        <f>TEXT(C185,"#,##0")&amp;" ("&amp;TEXT(C188,"0.00")&amp;")"</f>
        <v>3,209 (20.76)</v>
      </c>
      <c r="J179" s="8" t="str">
        <f t="shared" ref="J179" si="77">TEXT(D185,"#,##0")&amp;" ("&amp;TEXT(D188,"0.00")&amp;")"</f>
        <v>3,989 (23.03)</v>
      </c>
      <c r="K179" s="8" t="str">
        <f t="shared" ref="K179" si="78">TEXT(E185,"#,##0")&amp;" ("&amp;TEXT(E188,"0.00")&amp;")"</f>
        <v>4,623 (25.93)</v>
      </c>
      <c r="L179" s="8" t="str">
        <f t="shared" ref="L179" si="79">TEXT(F185,"#,##0")&amp;" ("&amp;TEXT(F188,"0.00")&amp;")"</f>
        <v>4,907 (27.22)</v>
      </c>
      <c r="M179" t="s">
        <v>24</v>
      </c>
    </row>
    <row r="180" spans="1:13" x14ac:dyDescent="0.3">
      <c r="A180" s="2"/>
      <c r="B180" s="25"/>
      <c r="C180" s="7">
        <v>40.26</v>
      </c>
      <c r="D180" s="7">
        <v>39.86</v>
      </c>
      <c r="E180" s="7">
        <v>38.770000000000003</v>
      </c>
      <c r="F180" s="7">
        <v>38.1</v>
      </c>
      <c r="G180" s="7"/>
      <c r="I180" s="8"/>
      <c r="J180" s="8"/>
      <c r="K180" s="8"/>
      <c r="L180" s="8"/>
      <c r="M180" t="s">
        <v>24</v>
      </c>
    </row>
    <row r="181" spans="1:13" ht="16.5" hidden="1" customHeight="1" x14ac:dyDescent="0.3">
      <c r="A181" s="2"/>
      <c r="B181" s="25">
        <v>2</v>
      </c>
      <c r="C181" s="7">
        <v>6025</v>
      </c>
      <c r="D181" s="7">
        <v>6428</v>
      </c>
      <c r="E181" s="7">
        <v>6293</v>
      </c>
      <c r="F181" s="7">
        <v>6253</v>
      </c>
      <c r="G181" s="7">
        <v>24999</v>
      </c>
    </row>
    <row r="182" spans="1:13" ht="16.5" hidden="1" customHeight="1" x14ac:dyDescent="0.3">
      <c r="A182" s="2"/>
      <c r="B182" s="25"/>
      <c r="C182" s="7">
        <v>8.7799999999999994</v>
      </c>
      <c r="D182" s="7">
        <v>9.3699999999999992</v>
      </c>
      <c r="E182" s="7">
        <v>9.17</v>
      </c>
      <c r="F182" s="7">
        <v>9.11</v>
      </c>
      <c r="G182" s="7">
        <v>36.42</v>
      </c>
    </row>
    <row r="183" spans="1:13" ht="16.5" hidden="1" customHeight="1" x14ac:dyDescent="0.3">
      <c r="A183" s="2"/>
      <c r="B183" s="25"/>
      <c r="C183" s="7">
        <v>24.1</v>
      </c>
      <c r="D183" s="7">
        <v>25.71</v>
      </c>
      <c r="E183" s="7">
        <v>25.17</v>
      </c>
      <c r="F183" s="7">
        <v>25.01</v>
      </c>
      <c r="G183" s="7"/>
    </row>
    <row r="184" spans="1:13" ht="16.5" hidden="1" customHeight="1" x14ac:dyDescent="0.3">
      <c r="A184" s="2"/>
      <c r="B184" s="25"/>
      <c r="C184" s="7">
        <v>38.979999999999997</v>
      </c>
      <c r="D184" s="7">
        <v>37.11</v>
      </c>
      <c r="E184" s="7">
        <v>35.299999999999997</v>
      </c>
      <c r="F184" s="7">
        <v>34.68</v>
      </c>
      <c r="G184" s="7"/>
    </row>
    <row r="185" spans="1:13" ht="16.5" hidden="1" customHeight="1" x14ac:dyDescent="0.3">
      <c r="A185" s="2"/>
      <c r="B185" s="25">
        <v>3</v>
      </c>
      <c r="C185" s="7">
        <v>3209</v>
      </c>
      <c r="D185" s="7">
        <v>3989</v>
      </c>
      <c r="E185" s="7">
        <v>4623</v>
      </c>
      <c r="F185" s="7">
        <v>4907</v>
      </c>
      <c r="G185" s="7">
        <v>16728</v>
      </c>
    </row>
    <row r="186" spans="1:13" ht="16.5" hidden="1" customHeight="1" x14ac:dyDescent="0.3">
      <c r="A186" s="2"/>
      <c r="B186" s="25"/>
      <c r="C186" s="7">
        <v>4.68</v>
      </c>
      <c r="D186" s="7">
        <v>5.81</v>
      </c>
      <c r="E186" s="7">
        <v>6.74</v>
      </c>
      <c r="F186" s="7">
        <v>7.15</v>
      </c>
      <c r="G186" s="7">
        <v>24.37</v>
      </c>
    </row>
    <row r="187" spans="1:13" ht="16.5" hidden="1" customHeight="1" x14ac:dyDescent="0.3">
      <c r="A187" s="2"/>
      <c r="B187" s="25"/>
      <c r="C187" s="7">
        <v>19.18</v>
      </c>
      <c r="D187" s="7">
        <v>23.85</v>
      </c>
      <c r="E187" s="7">
        <v>27.64</v>
      </c>
      <c r="F187" s="7">
        <v>29.33</v>
      </c>
      <c r="G187" s="7"/>
    </row>
    <row r="188" spans="1:13" ht="16.5" hidden="1" customHeight="1" x14ac:dyDescent="0.3">
      <c r="A188" s="2"/>
      <c r="B188" s="25"/>
      <c r="C188" s="7">
        <v>20.76</v>
      </c>
      <c r="D188" s="7">
        <v>23.03</v>
      </c>
      <c r="E188" s="7">
        <v>25.93</v>
      </c>
      <c r="F188" s="7">
        <v>27.22</v>
      </c>
      <c r="G188" s="7"/>
    </row>
    <row r="189" spans="1:13" ht="16.5" hidden="1" customHeight="1" x14ac:dyDescent="0.3">
      <c r="A189" s="2"/>
      <c r="B189" s="25" t="s">
        <v>23</v>
      </c>
      <c r="C189" s="7">
        <v>15457</v>
      </c>
      <c r="D189" s="7">
        <v>17322</v>
      </c>
      <c r="E189" s="7">
        <v>17828</v>
      </c>
      <c r="F189" s="7">
        <v>18028</v>
      </c>
      <c r="G189" s="7">
        <v>68635</v>
      </c>
    </row>
    <row r="190" spans="1:13" ht="16.5" hidden="1" customHeight="1" x14ac:dyDescent="0.3">
      <c r="A190" s="2"/>
      <c r="B190" s="25"/>
      <c r="C190" s="7">
        <v>22.52</v>
      </c>
      <c r="D190" s="7">
        <v>25.24</v>
      </c>
      <c r="E190" s="7">
        <v>25.98</v>
      </c>
      <c r="F190" s="7">
        <v>26.27</v>
      </c>
      <c r="G190" s="7">
        <v>100</v>
      </c>
    </row>
    <row r="191" spans="1:13" ht="16.5" hidden="1" customHeight="1" x14ac:dyDescent="0.3">
      <c r="A191" s="2"/>
      <c r="B191" s="28"/>
      <c r="C191" s="28"/>
      <c r="D191" s="28"/>
      <c r="E191" s="28"/>
      <c r="F191" s="28"/>
      <c r="G191" s="28"/>
    </row>
    <row r="192" spans="1:13" ht="16.5" hidden="1" customHeight="1" x14ac:dyDescent="0.3"/>
    <row r="193" spans="1:13" ht="16.5" hidden="1" customHeight="1" x14ac:dyDescent="0.3">
      <c r="A193" s="4" t="s">
        <v>2</v>
      </c>
      <c r="B193" s="24" t="s">
        <v>38</v>
      </c>
      <c r="C193" s="26"/>
      <c r="D193" s="26"/>
      <c r="E193" s="26"/>
      <c r="F193" s="26"/>
      <c r="G193" s="26"/>
    </row>
    <row r="194" spans="1:13" ht="16.5" hidden="1" customHeight="1" x14ac:dyDescent="0.3">
      <c r="A194" s="6" t="s">
        <v>3</v>
      </c>
      <c r="B194" s="25" t="s">
        <v>14</v>
      </c>
      <c r="C194" s="27" t="s">
        <v>28</v>
      </c>
      <c r="D194" s="27"/>
      <c r="E194" s="27"/>
      <c r="F194" s="27"/>
      <c r="G194" s="27"/>
    </row>
    <row r="195" spans="1:13" ht="16.5" hidden="1" customHeight="1" x14ac:dyDescent="0.3">
      <c r="A195" s="6" t="s">
        <v>20</v>
      </c>
      <c r="B195" s="25"/>
      <c r="C195" s="3">
        <v>1</v>
      </c>
      <c r="D195" s="3">
        <v>2</v>
      </c>
      <c r="E195" s="3">
        <v>3</v>
      </c>
      <c r="F195" s="3">
        <v>4</v>
      </c>
      <c r="G195" s="3" t="s">
        <v>23</v>
      </c>
    </row>
    <row r="196" spans="1:13" ht="33" x14ac:dyDescent="0.3">
      <c r="A196" s="6" t="s">
        <v>21</v>
      </c>
      <c r="B196" s="25">
        <v>0</v>
      </c>
      <c r="C196" s="7">
        <v>12778</v>
      </c>
      <c r="D196" s="7">
        <v>13608</v>
      </c>
      <c r="E196" s="7">
        <v>13315</v>
      </c>
      <c r="F196" s="7">
        <v>12363</v>
      </c>
      <c r="G196" s="7">
        <v>52064</v>
      </c>
      <c r="I196" s="8" t="str">
        <f>TEXT(C196,"#,##0")&amp;" ("&amp;TEXT(C199,"0.00")&amp;")"</f>
        <v>12,778 (82.67)</v>
      </c>
      <c r="J196" s="8" t="str">
        <f t="shared" ref="J196" si="80">TEXT(D196,"#,##0")&amp;" ("&amp;TEXT(D199,"0.00")&amp;")"</f>
        <v>13,608 (78.56)</v>
      </c>
      <c r="K196" s="8" t="str">
        <f t="shared" ref="K196" si="81">TEXT(E196,"#,##0")&amp;" ("&amp;TEXT(E199,"0.00")&amp;")"</f>
        <v>13,315 (74.69)</v>
      </c>
      <c r="L196" s="8" t="str">
        <f t="shared" ref="L196" si="82">TEXT(F196,"#,##0")&amp;" ("&amp;TEXT(F199,"0.00")&amp;")"</f>
        <v>12,363 (68.58)</v>
      </c>
      <c r="M196" t="s">
        <v>24</v>
      </c>
    </row>
    <row r="197" spans="1:13" x14ac:dyDescent="0.3">
      <c r="A197" s="2"/>
      <c r="B197" s="25"/>
      <c r="C197" s="7">
        <v>18.62</v>
      </c>
      <c r="D197" s="7">
        <v>19.829999999999998</v>
      </c>
      <c r="E197" s="7">
        <v>19.399999999999999</v>
      </c>
      <c r="F197" s="7">
        <v>18.010000000000002</v>
      </c>
      <c r="G197" s="7">
        <v>75.86</v>
      </c>
      <c r="I197" s="8" t="str">
        <f>TEXT(C200,"#,##0")&amp;" ("&amp;TEXT(C203,"0.00")&amp;")"</f>
        <v>2,679 (17.33)</v>
      </c>
      <c r="J197" s="8" t="str">
        <f t="shared" ref="J197" si="83">TEXT(D200,"#,##0")&amp;" ("&amp;TEXT(D203,"0.00")&amp;")"</f>
        <v>3,714 (21.44)</v>
      </c>
      <c r="K197" s="8" t="str">
        <f t="shared" ref="K197" si="84">TEXT(E200,"#,##0")&amp;" ("&amp;TEXT(E203,"0.00")&amp;")"</f>
        <v>4,513 (25.31)</v>
      </c>
      <c r="L197" s="8" t="str">
        <f t="shared" ref="L197" si="85">TEXT(F200,"#,##0")&amp;" ("&amp;TEXT(F203,"0.00")&amp;")"</f>
        <v>5,665 (31.42)</v>
      </c>
      <c r="M197" t="s">
        <v>24</v>
      </c>
    </row>
    <row r="198" spans="1:13" x14ac:dyDescent="0.3">
      <c r="A198" s="2"/>
      <c r="B198" s="25"/>
      <c r="C198" s="7">
        <v>24.54</v>
      </c>
      <c r="D198" s="7">
        <v>26.14</v>
      </c>
      <c r="E198" s="7">
        <v>25.57</v>
      </c>
      <c r="F198" s="7">
        <v>23.75</v>
      </c>
      <c r="G198" s="7"/>
      <c r="I198" s="8"/>
      <c r="J198" s="8"/>
      <c r="K198" s="8"/>
      <c r="L198" s="8"/>
      <c r="M198" t="s">
        <v>24</v>
      </c>
    </row>
    <row r="199" spans="1:13" ht="16.5" hidden="1" customHeight="1" x14ac:dyDescent="0.3">
      <c r="A199" s="2"/>
      <c r="B199" s="25"/>
      <c r="C199" s="7">
        <v>82.67</v>
      </c>
      <c r="D199" s="7">
        <v>78.56</v>
      </c>
      <c r="E199" s="7">
        <v>74.69</v>
      </c>
      <c r="F199" s="7">
        <v>68.58</v>
      </c>
      <c r="G199" s="7"/>
      <c r="I199" s="8"/>
      <c r="J199" s="8"/>
      <c r="K199" s="8"/>
      <c r="L199" s="8"/>
    </row>
    <row r="200" spans="1:13" ht="16.5" hidden="1" customHeight="1" x14ac:dyDescent="0.3">
      <c r="A200" s="2"/>
      <c r="B200" s="25">
        <v>1</v>
      </c>
      <c r="C200" s="7">
        <v>2679</v>
      </c>
      <c r="D200" s="7">
        <v>3714</v>
      </c>
      <c r="E200" s="7">
        <v>4513</v>
      </c>
      <c r="F200" s="7">
        <v>5665</v>
      </c>
      <c r="G200" s="7">
        <v>16571</v>
      </c>
    </row>
    <row r="201" spans="1:13" ht="16.5" hidden="1" customHeight="1" x14ac:dyDescent="0.3">
      <c r="A201" s="2"/>
      <c r="B201" s="25"/>
      <c r="C201" s="7">
        <v>3.9</v>
      </c>
      <c r="D201" s="7">
        <v>5.41</v>
      </c>
      <c r="E201" s="7">
        <v>6.58</v>
      </c>
      <c r="F201" s="7">
        <v>8.25</v>
      </c>
      <c r="G201" s="7">
        <v>24.14</v>
      </c>
    </row>
    <row r="202" spans="1:13" ht="16.5" hidden="1" customHeight="1" x14ac:dyDescent="0.3">
      <c r="A202" s="2"/>
      <c r="B202" s="25"/>
      <c r="C202" s="7">
        <v>16.170000000000002</v>
      </c>
      <c r="D202" s="7">
        <v>22.41</v>
      </c>
      <c r="E202" s="7">
        <v>27.23</v>
      </c>
      <c r="F202" s="7">
        <v>34.19</v>
      </c>
      <c r="G202" s="7"/>
    </row>
    <row r="203" spans="1:13" ht="16.5" hidden="1" customHeight="1" x14ac:dyDescent="0.3">
      <c r="A203" s="2"/>
      <c r="B203" s="25"/>
      <c r="C203" s="7">
        <v>17.329999999999998</v>
      </c>
      <c r="D203" s="7">
        <v>21.44</v>
      </c>
      <c r="E203" s="7">
        <v>25.31</v>
      </c>
      <c r="F203" s="7">
        <v>31.42</v>
      </c>
      <c r="G203" s="7"/>
    </row>
    <row r="204" spans="1:13" ht="16.5" hidden="1" customHeight="1" x14ac:dyDescent="0.3">
      <c r="A204" s="2"/>
      <c r="B204" s="25" t="s">
        <v>23</v>
      </c>
      <c r="C204" s="7">
        <v>15457</v>
      </c>
      <c r="D204" s="7">
        <v>17322</v>
      </c>
      <c r="E204" s="7">
        <v>17828</v>
      </c>
      <c r="F204" s="7">
        <v>18028</v>
      </c>
      <c r="G204" s="7">
        <v>68635</v>
      </c>
    </row>
    <row r="205" spans="1:13" ht="16.5" hidden="1" customHeight="1" x14ac:dyDescent="0.3">
      <c r="A205" s="2"/>
      <c r="B205" s="25"/>
      <c r="C205" s="7">
        <v>22.52</v>
      </c>
      <c r="D205" s="7">
        <v>25.24</v>
      </c>
      <c r="E205" s="7">
        <v>25.98</v>
      </c>
      <c r="F205" s="7">
        <v>26.27</v>
      </c>
      <c r="G205" s="7">
        <v>100</v>
      </c>
    </row>
    <row r="206" spans="1:13" ht="16.5" hidden="1" customHeight="1" x14ac:dyDescent="0.3">
      <c r="A206" s="2"/>
      <c r="B206" s="28"/>
      <c r="C206" s="28"/>
      <c r="D206" s="28"/>
      <c r="E206" s="28"/>
      <c r="F206" s="28"/>
      <c r="G206" s="28"/>
    </row>
    <row r="207" spans="1:13" ht="16.5" hidden="1" customHeight="1" x14ac:dyDescent="0.3"/>
    <row r="208" spans="1:13" ht="16.5" hidden="1" customHeight="1" x14ac:dyDescent="0.3">
      <c r="A208" s="4" t="s">
        <v>2</v>
      </c>
      <c r="B208" s="24" t="s">
        <v>39</v>
      </c>
      <c r="C208" s="26"/>
      <c r="D208" s="26"/>
      <c r="E208" s="26"/>
      <c r="F208" s="26"/>
      <c r="G208" s="26"/>
    </row>
    <row r="209" spans="1:13" ht="16.5" hidden="1" customHeight="1" x14ac:dyDescent="0.3">
      <c r="A209" s="6" t="s">
        <v>3</v>
      </c>
      <c r="B209" s="25" t="s">
        <v>15</v>
      </c>
      <c r="C209" s="27" t="s">
        <v>28</v>
      </c>
      <c r="D209" s="27"/>
      <c r="E209" s="27"/>
      <c r="F209" s="27"/>
      <c r="G209" s="27"/>
    </row>
    <row r="210" spans="1:13" ht="16.5" hidden="1" customHeight="1" x14ac:dyDescent="0.3">
      <c r="A210" s="6" t="s">
        <v>20</v>
      </c>
      <c r="B210" s="25"/>
      <c r="C210" s="3">
        <v>1</v>
      </c>
      <c r="D210" s="3">
        <v>2</v>
      </c>
      <c r="E210" s="3">
        <v>3</v>
      </c>
      <c r="F210" s="3">
        <v>4</v>
      </c>
      <c r="G210" s="3" t="s">
        <v>23</v>
      </c>
    </row>
    <row r="211" spans="1:13" ht="33" x14ac:dyDescent="0.3">
      <c r="A211" s="6" t="s">
        <v>21</v>
      </c>
      <c r="B211" s="25">
        <v>0</v>
      </c>
      <c r="C211" s="7">
        <v>14270</v>
      </c>
      <c r="D211" s="7">
        <v>14562</v>
      </c>
      <c r="E211" s="7">
        <v>13159</v>
      </c>
      <c r="F211" s="7">
        <v>11919</v>
      </c>
      <c r="G211" s="7">
        <v>53910</v>
      </c>
      <c r="I211" s="8" t="str">
        <f>TEXT(C211,"#,##0")&amp;" ("&amp;TEXT(C214,"0.00")&amp;")"</f>
        <v>14,270 (92.32)</v>
      </c>
      <c r="J211" s="8" t="str">
        <f t="shared" ref="J211" si="86">TEXT(D211,"#,##0")&amp;" ("&amp;TEXT(D214,"0.00")&amp;")"</f>
        <v>14,562 (84.07)</v>
      </c>
      <c r="K211" s="8" t="str">
        <f t="shared" ref="K211" si="87">TEXT(E211,"#,##0")&amp;" ("&amp;TEXT(E214,"0.00")&amp;")"</f>
        <v>13,159 (73.81)</v>
      </c>
      <c r="L211" s="8" t="str">
        <f t="shared" ref="L211" si="88">TEXT(F211,"#,##0")&amp;" ("&amp;TEXT(F214,"0.00")&amp;")"</f>
        <v>11,919 (66.11)</v>
      </c>
      <c r="M211" t="s">
        <v>24</v>
      </c>
    </row>
    <row r="212" spans="1:13" x14ac:dyDescent="0.3">
      <c r="A212" s="2"/>
      <c r="B212" s="25"/>
      <c r="C212" s="7">
        <v>20.79</v>
      </c>
      <c r="D212" s="7">
        <v>21.22</v>
      </c>
      <c r="E212" s="7">
        <v>19.170000000000002</v>
      </c>
      <c r="F212" s="7">
        <v>17.37</v>
      </c>
      <c r="G212" s="7">
        <v>78.55</v>
      </c>
      <c r="I212" s="8" t="str">
        <f>TEXT(C215,"#,##0")&amp;" ("&amp;TEXT(C218,"0.00")&amp;")"</f>
        <v>1,187 (7.68)</v>
      </c>
      <c r="J212" s="8" t="str">
        <f t="shared" ref="J212" si="89">TEXT(D215,"#,##0")&amp;" ("&amp;TEXT(D218,"0.00")&amp;")"</f>
        <v>2,760 (15.93)</v>
      </c>
      <c r="K212" s="8" t="str">
        <f t="shared" ref="K212" si="90">TEXT(E215,"#,##0")&amp;" ("&amp;TEXT(E218,"0.00")&amp;")"</f>
        <v>4,669 (26.19)</v>
      </c>
      <c r="L212" s="8" t="str">
        <f t="shared" ref="L212" si="91">TEXT(F215,"#,##0")&amp;" ("&amp;TEXT(F218,"0.00")&amp;")"</f>
        <v>6,109 (33.89)</v>
      </c>
      <c r="M212" t="s">
        <v>24</v>
      </c>
    </row>
    <row r="213" spans="1:13" x14ac:dyDescent="0.3">
      <c r="A213" s="2"/>
      <c r="B213" s="25"/>
      <c r="C213" s="7">
        <v>26.47</v>
      </c>
      <c r="D213" s="7">
        <v>27.01</v>
      </c>
      <c r="E213" s="7">
        <v>24.41</v>
      </c>
      <c r="F213" s="7">
        <v>22.11</v>
      </c>
      <c r="G213" s="7"/>
      <c r="I213" s="8"/>
      <c r="J213" s="8"/>
      <c r="K213" s="8"/>
      <c r="L213" s="8"/>
      <c r="M213" t="s">
        <v>24</v>
      </c>
    </row>
    <row r="214" spans="1:13" ht="16.5" hidden="1" customHeight="1" x14ac:dyDescent="0.3">
      <c r="A214" s="2"/>
      <c r="B214" s="25"/>
      <c r="C214" s="7">
        <v>92.32</v>
      </c>
      <c r="D214" s="7">
        <v>84.07</v>
      </c>
      <c r="E214" s="7">
        <v>73.81</v>
      </c>
      <c r="F214" s="7">
        <v>66.11</v>
      </c>
      <c r="G214" s="7"/>
      <c r="I214" s="8"/>
      <c r="J214" s="8"/>
      <c r="K214" s="8"/>
      <c r="L214" s="8"/>
    </row>
    <row r="215" spans="1:13" ht="16.5" hidden="1" customHeight="1" x14ac:dyDescent="0.3">
      <c r="A215" s="2"/>
      <c r="B215" s="25">
        <v>1</v>
      </c>
      <c r="C215" s="7">
        <v>1187</v>
      </c>
      <c r="D215" s="7">
        <v>2760</v>
      </c>
      <c r="E215" s="7">
        <v>4669</v>
      </c>
      <c r="F215" s="7">
        <v>6109</v>
      </c>
      <c r="G215" s="7">
        <v>14725</v>
      </c>
    </row>
    <row r="216" spans="1:13" ht="16.5" hidden="1" customHeight="1" x14ac:dyDescent="0.3">
      <c r="A216" s="2"/>
      <c r="B216" s="25"/>
      <c r="C216" s="7">
        <v>1.73</v>
      </c>
      <c r="D216" s="7">
        <v>4.0199999999999996</v>
      </c>
      <c r="E216" s="7">
        <v>6.8</v>
      </c>
      <c r="F216" s="7">
        <v>8.9</v>
      </c>
      <c r="G216" s="7">
        <v>21.45</v>
      </c>
    </row>
    <row r="217" spans="1:13" ht="16.5" hidden="1" customHeight="1" x14ac:dyDescent="0.3">
      <c r="A217" s="2"/>
      <c r="B217" s="25"/>
      <c r="C217" s="7">
        <v>8.06</v>
      </c>
      <c r="D217" s="7">
        <v>18.739999999999998</v>
      </c>
      <c r="E217" s="7">
        <v>31.71</v>
      </c>
      <c r="F217" s="7">
        <v>41.49</v>
      </c>
      <c r="G217" s="7"/>
    </row>
    <row r="218" spans="1:13" ht="16.5" hidden="1" customHeight="1" x14ac:dyDescent="0.3">
      <c r="A218" s="2"/>
      <c r="B218" s="25"/>
      <c r="C218" s="7">
        <v>7.68</v>
      </c>
      <c r="D218" s="7">
        <v>15.93</v>
      </c>
      <c r="E218" s="7">
        <v>26.19</v>
      </c>
      <c r="F218" s="7">
        <v>33.89</v>
      </c>
      <c r="G218" s="7"/>
    </row>
    <row r="219" spans="1:13" ht="16.5" hidden="1" customHeight="1" x14ac:dyDescent="0.3">
      <c r="A219" s="2"/>
      <c r="B219" s="25" t="s">
        <v>23</v>
      </c>
      <c r="C219" s="7">
        <v>15457</v>
      </c>
      <c r="D219" s="7">
        <v>17322</v>
      </c>
      <c r="E219" s="7">
        <v>17828</v>
      </c>
      <c r="F219" s="7">
        <v>18028</v>
      </c>
      <c r="G219" s="7">
        <v>68635</v>
      </c>
    </row>
    <row r="220" spans="1:13" ht="16.5" hidden="1" customHeight="1" x14ac:dyDescent="0.3">
      <c r="A220" s="2"/>
      <c r="B220" s="25"/>
      <c r="C220" s="7">
        <v>22.52</v>
      </c>
      <c r="D220" s="7">
        <v>25.24</v>
      </c>
      <c r="E220" s="7">
        <v>25.98</v>
      </c>
      <c r="F220" s="7">
        <v>26.27</v>
      </c>
      <c r="G220" s="7">
        <v>100</v>
      </c>
    </row>
    <row r="221" spans="1:13" ht="16.5" hidden="1" customHeight="1" x14ac:dyDescent="0.3">
      <c r="A221" s="2"/>
      <c r="B221" s="28"/>
      <c r="C221" s="28"/>
      <c r="D221" s="28"/>
      <c r="E221" s="28"/>
      <c r="F221" s="28"/>
      <c r="G221" s="28"/>
    </row>
    <row r="222" spans="1:13" ht="16.5" hidden="1" customHeight="1" x14ac:dyDescent="0.3"/>
    <row r="223" spans="1:13" ht="16.5" hidden="1" customHeight="1" x14ac:dyDescent="0.3">
      <c r="A223" s="4" t="s">
        <v>2</v>
      </c>
      <c r="B223" s="24" t="s">
        <v>40</v>
      </c>
      <c r="C223" s="26"/>
      <c r="D223" s="26"/>
      <c r="E223" s="26"/>
      <c r="F223" s="26"/>
      <c r="G223" s="26"/>
    </row>
    <row r="224" spans="1:13" ht="16.5" hidden="1" customHeight="1" x14ac:dyDescent="0.3">
      <c r="A224" s="6" t="s">
        <v>3</v>
      </c>
      <c r="B224" s="25" t="s">
        <v>16</v>
      </c>
      <c r="C224" s="27" t="s">
        <v>28</v>
      </c>
      <c r="D224" s="27"/>
      <c r="E224" s="27"/>
      <c r="F224" s="27"/>
      <c r="G224" s="27"/>
    </row>
    <row r="225" spans="1:13" ht="16.5" hidden="1" customHeight="1" x14ac:dyDescent="0.3">
      <c r="A225" s="6" t="s">
        <v>20</v>
      </c>
      <c r="B225" s="25"/>
      <c r="C225" s="3">
        <v>1</v>
      </c>
      <c r="D225" s="3">
        <v>2</v>
      </c>
      <c r="E225" s="3">
        <v>3</v>
      </c>
      <c r="F225" s="3">
        <v>4</v>
      </c>
      <c r="G225" s="3" t="s">
        <v>23</v>
      </c>
    </row>
    <row r="226" spans="1:13" ht="33" x14ac:dyDescent="0.3">
      <c r="A226" s="6" t="s">
        <v>21</v>
      </c>
      <c r="B226" s="25">
        <v>0</v>
      </c>
      <c r="C226" s="7">
        <v>14498</v>
      </c>
      <c r="D226" s="7">
        <v>15173</v>
      </c>
      <c r="E226" s="7">
        <v>14601</v>
      </c>
      <c r="F226" s="7">
        <v>14195</v>
      </c>
      <c r="G226" s="7">
        <v>58467</v>
      </c>
      <c r="I226" s="8" t="str">
        <f>TEXT(C226,"#,##0")&amp;" ("&amp;TEXT(C229,"0.00")&amp;")"</f>
        <v>14,498 (93.80)</v>
      </c>
      <c r="J226" s="8" t="str">
        <f t="shared" ref="J226" si="92">TEXT(D226,"#,##0")&amp;" ("&amp;TEXT(D229,"0.00")&amp;")"</f>
        <v>15,173 (87.59)</v>
      </c>
      <c r="K226" s="8" t="str">
        <f t="shared" ref="K226" si="93">TEXT(E226,"#,##0")&amp;" ("&amp;TEXT(E229,"0.00")&amp;")"</f>
        <v>14,601 (81.90)</v>
      </c>
      <c r="L226" s="8" t="str">
        <f t="shared" ref="L226" si="94">TEXT(F226,"#,##0")&amp;" ("&amp;TEXT(F229,"0.00")&amp;")"</f>
        <v>14,195 (78.74)</v>
      </c>
      <c r="M226" t="s">
        <v>24</v>
      </c>
    </row>
    <row r="227" spans="1:13" x14ac:dyDescent="0.3">
      <c r="A227" s="2"/>
      <c r="B227" s="25"/>
      <c r="C227" s="7">
        <v>21.12</v>
      </c>
      <c r="D227" s="7">
        <v>22.11</v>
      </c>
      <c r="E227" s="7">
        <v>21.27</v>
      </c>
      <c r="F227" s="7">
        <v>20.68</v>
      </c>
      <c r="G227" s="7">
        <v>85.19</v>
      </c>
      <c r="I227" s="8" t="str">
        <f>TEXT(C230,"#,##0")&amp;" ("&amp;TEXT(C233,"0.00")&amp;")"</f>
        <v>959 (6.20)</v>
      </c>
      <c r="J227" s="8" t="str">
        <f t="shared" ref="J227" si="95">TEXT(D230,"#,##0")&amp;" ("&amp;TEXT(D233,"0.00")&amp;")"</f>
        <v>2,149 (12.41)</v>
      </c>
      <c r="K227" s="8" t="str">
        <f t="shared" ref="K227" si="96">TEXT(E230,"#,##0")&amp;" ("&amp;TEXT(E233,"0.00")&amp;")"</f>
        <v>3,227 (18.10)</v>
      </c>
      <c r="L227" s="8" t="str">
        <f t="shared" ref="L227" si="97">TEXT(F230,"#,##0")&amp;" ("&amp;TEXT(F233,"0.00")&amp;")"</f>
        <v>3,833 (21.26)</v>
      </c>
      <c r="M227" t="s">
        <v>24</v>
      </c>
    </row>
    <row r="228" spans="1:13" x14ac:dyDescent="0.3">
      <c r="A228" s="2"/>
      <c r="B228" s="25"/>
      <c r="C228" s="7">
        <v>24.8</v>
      </c>
      <c r="D228" s="7">
        <v>25.95</v>
      </c>
      <c r="E228" s="7">
        <v>24.97</v>
      </c>
      <c r="F228" s="7">
        <v>24.28</v>
      </c>
      <c r="G228" s="7"/>
      <c r="I228" s="8"/>
      <c r="J228" s="8"/>
      <c r="K228" s="8"/>
      <c r="L228" s="8"/>
      <c r="M228" t="s">
        <v>24</v>
      </c>
    </row>
    <row r="229" spans="1:13" ht="16.5" hidden="1" customHeight="1" x14ac:dyDescent="0.3">
      <c r="A229" s="2"/>
      <c r="B229" s="25"/>
      <c r="C229" s="7">
        <v>93.8</v>
      </c>
      <c r="D229" s="7">
        <v>87.59</v>
      </c>
      <c r="E229" s="7">
        <v>81.900000000000006</v>
      </c>
      <c r="F229" s="7">
        <v>78.739999999999995</v>
      </c>
      <c r="G229" s="7"/>
      <c r="I229" s="8"/>
      <c r="J229" s="8"/>
      <c r="K229" s="8"/>
      <c r="L229" s="8"/>
    </row>
    <row r="230" spans="1:13" ht="16.5" hidden="1" customHeight="1" x14ac:dyDescent="0.3">
      <c r="A230" s="2"/>
      <c r="B230" s="25">
        <v>1</v>
      </c>
      <c r="C230" s="7">
        <v>959</v>
      </c>
      <c r="D230" s="7">
        <v>2149</v>
      </c>
      <c r="E230" s="7">
        <v>3227</v>
      </c>
      <c r="F230" s="7">
        <v>3833</v>
      </c>
      <c r="G230" s="7">
        <v>10168</v>
      </c>
    </row>
    <row r="231" spans="1:13" ht="16.5" hidden="1" customHeight="1" x14ac:dyDescent="0.3">
      <c r="A231" s="2"/>
      <c r="B231" s="25"/>
      <c r="C231" s="7">
        <v>1.4</v>
      </c>
      <c r="D231" s="7">
        <v>3.13</v>
      </c>
      <c r="E231" s="7">
        <v>4.7</v>
      </c>
      <c r="F231" s="7">
        <v>5.58</v>
      </c>
      <c r="G231" s="7">
        <v>14.81</v>
      </c>
    </row>
    <row r="232" spans="1:13" ht="16.5" hidden="1" customHeight="1" x14ac:dyDescent="0.3">
      <c r="A232" s="2"/>
      <c r="B232" s="25"/>
      <c r="C232" s="7">
        <v>9.43</v>
      </c>
      <c r="D232" s="7">
        <v>21.13</v>
      </c>
      <c r="E232" s="7">
        <v>31.74</v>
      </c>
      <c r="F232" s="7">
        <v>37.700000000000003</v>
      </c>
      <c r="G232" s="7"/>
    </row>
    <row r="233" spans="1:13" ht="16.5" hidden="1" customHeight="1" x14ac:dyDescent="0.3">
      <c r="A233" s="2"/>
      <c r="B233" s="25"/>
      <c r="C233" s="7">
        <v>6.2</v>
      </c>
      <c r="D233" s="7">
        <v>12.41</v>
      </c>
      <c r="E233" s="7">
        <v>18.100000000000001</v>
      </c>
      <c r="F233" s="7">
        <v>21.26</v>
      </c>
      <c r="G233" s="7"/>
    </row>
    <row r="234" spans="1:13" ht="16.5" hidden="1" customHeight="1" x14ac:dyDescent="0.3">
      <c r="A234" s="2"/>
      <c r="B234" s="25" t="s">
        <v>23</v>
      </c>
      <c r="C234" s="7">
        <v>15457</v>
      </c>
      <c r="D234" s="7">
        <v>17322</v>
      </c>
      <c r="E234" s="7">
        <v>17828</v>
      </c>
      <c r="F234" s="7">
        <v>18028</v>
      </c>
      <c r="G234" s="7">
        <v>68635</v>
      </c>
    </row>
    <row r="235" spans="1:13" ht="16.5" hidden="1" customHeight="1" x14ac:dyDescent="0.3">
      <c r="A235" s="2"/>
      <c r="B235" s="25"/>
      <c r="C235" s="7">
        <v>22.52</v>
      </c>
      <c r="D235" s="7">
        <v>25.24</v>
      </c>
      <c r="E235" s="7">
        <v>25.98</v>
      </c>
      <c r="F235" s="7">
        <v>26.27</v>
      </c>
      <c r="G235" s="7">
        <v>100</v>
      </c>
    </row>
    <row r="236" spans="1:13" ht="16.5" hidden="1" customHeight="1" x14ac:dyDescent="0.3">
      <c r="A236" s="2"/>
      <c r="B236" s="28"/>
      <c r="C236" s="28"/>
      <c r="D236" s="28"/>
      <c r="E236" s="28"/>
      <c r="F236" s="28"/>
      <c r="G236" s="28"/>
    </row>
    <row r="237" spans="1:13" ht="16.5" hidden="1" customHeight="1" x14ac:dyDescent="0.3"/>
    <row r="238" spans="1:13" ht="16.5" hidden="1" customHeight="1" x14ac:dyDescent="0.3">
      <c r="A238" s="4" t="s">
        <v>2</v>
      </c>
      <c r="B238" s="24" t="s">
        <v>41</v>
      </c>
      <c r="C238" s="26"/>
      <c r="D238" s="26"/>
      <c r="E238" s="26"/>
      <c r="F238" s="26"/>
      <c r="G238" s="26"/>
    </row>
    <row r="239" spans="1:13" ht="16.5" hidden="1" customHeight="1" x14ac:dyDescent="0.3">
      <c r="A239" s="6" t="s">
        <v>3</v>
      </c>
      <c r="B239" s="25" t="s">
        <v>17</v>
      </c>
      <c r="C239" s="27" t="s">
        <v>28</v>
      </c>
      <c r="D239" s="27"/>
      <c r="E239" s="27"/>
      <c r="F239" s="27"/>
      <c r="G239" s="27"/>
    </row>
    <row r="240" spans="1:13" ht="16.5" hidden="1" customHeight="1" x14ac:dyDescent="0.3">
      <c r="A240" s="6" t="s">
        <v>20</v>
      </c>
      <c r="B240" s="25"/>
      <c r="C240" s="3">
        <v>1</v>
      </c>
      <c r="D240" s="3">
        <v>2</v>
      </c>
      <c r="E240" s="3">
        <v>3</v>
      </c>
      <c r="F240" s="3">
        <v>4</v>
      </c>
      <c r="G240" s="3" t="s">
        <v>23</v>
      </c>
    </row>
    <row r="241" spans="1:13" ht="33" x14ac:dyDescent="0.3">
      <c r="A241" s="6" t="s">
        <v>21</v>
      </c>
      <c r="B241" s="25">
        <v>0</v>
      </c>
      <c r="C241" s="7">
        <v>15343</v>
      </c>
      <c r="D241" s="7">
        <v>17044</v>
      </c>
      <c r="E241" s="7">
        <v>17391</v>
      </c>
      <c r="F241" s="7">
        <v>17566</v>
      </c>
      <c r="G241" s="7">
        <v>67344</v>
      </c>
      <c r="I241" s="8" t="str">
        <f>TEXT(C241,"#,##0")&amp;" ("&amp;TEXT(C244,"0.00")&amp;")"</f>
        <v>15,343 (99.26)</v>
      </c>
      <c r="J241" s="8" t="str">
        <f t="shared" ref="J241" si="98">TEXT(D241,"#,##0")&amp;" ("&amp;TEXT(D244,"0.00")&amp;")"</f>
        <v>17,044 (98.40)</v>
      </c>
      <c r="K241" s="8" t="str">
        <f t="shared" ref="K241" si="99">TEXT(E241,"#,##0")&amp;" ("&amp;TEXT(E244,"0.00")&amp;")"</f>
        <v>17,391 (97.55)</v>
      </c>
      <c r="L241" s="8" t="str">
        <f t="shared" ref="L241" si="100">TEXT(F241,"#,##0")&amp;" ("&amp;TEXT(F244,"0.00")&amp;")"</f>
        <v>17,566 (97.44)</v>
      </c>
      <c r="M241" t="s">
        <v>24</v>
      </c>
    </row>
    <row r="242" spans="1:13" x14ac:dyDescent="0.3">
      <c r="A242" s="2"/>
      <c r="B242" s="25"/>
      <c r="C242" s="7">
        <v>22.35</v>
      </c>
      <c r="D242" s="7">
        <v>24.83</v>
      </c>
      <c r="E242" s="7">
        <v>25.34</v>
      </c>
      <c r="F242" s="7">
        <v>25.59</v>
      </c>
      <c r="G242" s="7">
        <v>98.12</v>
      </c>
      <c r="I242" s="8" t="str">
        <f>TEXT(C245,"#,##0")&amp;" ("&amp;TEXT(C248,"0.00")&amp;")"</f>
        <v>114 (0.74)</v>
      </c>
      <c r="J242" s="8" t="str">
        <f t="shared" ref="J242" si="101">TEXT(D245,"#,##0")&amp;" ("&amp;TEXT(D248,"0.00")&amp;")"</f>
        <v>278 (1.60)</v>
      </c>
      <c r="K242" s="8" t="str">
        <f t="shared" ref="K242" si="102">TEXT(E245,"#,##0")&amp;" ("&amp;TEXT(E248,"0.00")&amp;")"</f>
        <v>437 (2.45)</v>
      </c>
      <c r="L242" s="8" t="str">
        <f t="shared" ref="L242" si="103">TEXT(F245,"#,##0")&amp;" ("&amp;TEXT(F248,"0.00")&amp;")"</f>
        <v>462 (2.56)</v>
      </c>
      <c r="M242" t="s">
        <v>24</v>
      </c>
    </row>
    <row r="243" spans="1:13" x14ac:dyDescent="0.3">
      <c r="A243" s="2"/>
      <c r="B243" s="25"/>
      <c r="C243" s="7">
        <v>22.78</v>
      </c>
      <c r="D243" s="7">
        <v>25.31</v>
      </c>
      <c r="E243" s="7">
        <v>25.82</v>
      </c>
      <c r="F243" s="7">
        <v>26.08</v>
      </c>
      <c r="G243" s="7"/>
      <c r="I243" s="8"/>
      <c r="J243" s="8"/>
      <c r="K243" s="8"/>
      <c r="L243" s="8"/>
      <c r="M243" t="s">
        <v>24</v>
      </c>
    </row>
    <row r="244" spans="1:13" ht="16.5" hidden="1" customHeight="1" x14ac:dyDescent="0.3">
      <c r="A244" s="2"/>
      <c r="B244" s="25"/>
      <c r="C244" s="7">
        <v>99.26</v>
      </c>
      <c r="D244" s="7">
        <v>98.4</v>
      </c>
      <c r="E244" s="7">
        <v>97.55</v>
      </c>
      <c r="F244" s="7">
        <v>97.44</v>
      </c>
      <c r="G244" s="7"/>
      <c r="I244" s="8"/>
      <c r="J244" s="8"/>
      <c r="K244" s="8"/>
      <c r="L244" s="8"/>
    </row>
    <row r="245" spans="1:13" ht="16.5" hidden="1" customHeight="1" x14ac:dyDescent="0.3">
      <c r="A245" s="2"/>
      <c r="B245" s="25">
        <v>1</v>
      </c>
      <c r="C245" s="7">
        <v>114</v>
      </c>
      <c r="D245" s="7">
        <v>278</v>
      </c>
      <c r="E245" s="7">
        <v>437</v>
      </c>
      <c r="F245" s="7">
        <v>462</v>
      </c>
      <c r="G245" s="7">
        <v>1291</v>
      </c>
    </row>
    <row r="246" spans="1:13" ht="16.5" hidden="1" customHeight="1" x14ac:dyDescent="0.3">
      <c r="A246" s="2"/>
      <c r="B246" s="25"/>
      <c r="C246" s="7">
        <v>0.17</v>
      </c>
      <c r="D246" s="7">
        <v>0.41</v>
      </c>
      <c r="E246" s="7">
        <v>0.64</v>
      </c>
      <c r="F246" s="7">
        <v>0.67</v>
      </c>
      <c r="G246" s="7">
        <v>1.88</v>
      </c>
    </row>
    <row r="247" spans="1:13" ht="16.5" hidden="1" customHeight="1" x14ac:dyDescent="0.3">
      <c r="A247" s="2"/>
      <c r="B247" s="25"/>
      <c r="C247" s="7">
        <v>8.83</v>
      </c>
      <c r="D247" s="7">
        <v>21.53</v>
      </c>
      <c r="E247" s="7">
        <v>33.85</v>
      </c>
      <c r="F247" s="7">
        <v>35.79</v>
      </c>
      <c r="G247" s="7"/>
    </row>
    <row r="248" spans="1:13" ht="16.5" hidden="1" customHeight="1" x14ac:dyDescent="0.3">
      <c r="A248" s="2"/>
      <c r="B248" s="25"/>
      <c r="C248" s="7">
        <v>0.74</v>
      </c>
      <c r="D248" s="7">
        <v>1.6</v>
      </c>
      <c r="E248" s="7">
        <v>2.4500000000000002</v>
      </c>
      <c r="F248" s="7">
        <v>2.56</v>
      </c>
      <c r="G248" s="7"/>
    </row>
    <row r="249" spans="1:13" ht="16.5" hidden="1" customHeight="1" x14ac:dyDescent="0.3">
      <c r="A249" s="2"/>
      <c r="B249" s="25" t="s">
        <v>23</v>
      </c>
      <c r="C249" s="7">
        <v>15457</v>
      </c>
      <c r="D249" s="7">
        <v>17322</v>
      </c>
      <c r="E249" s="7">
        <v>17828</v>
      </c>
      <c r="F249" s="7">
        <v>18028</v>
      </c>
      <c r="G249" s="7">
        <v>68635</v>
      </c>
    </row>
    <row r="250" spans="1:13" ht="16.5" hidden="1" customHeight="1" x14ac:dyDescent="0.3">
      <c r="A250" s="2"/>
      <c r="B250" s="25"/>
      <c r="C250" s="7">
        <v>22.52</v>
      </c>
      <c r="D250" s="7">
        <v>25.24</v>
      </c>
      <c r="E250" s="7">
        <v>25.98</v>
      </c>
      <c r="F250" s="7">
        <v>26.27</v>
      </c>
      <c r="G250" s="7">
        <v>100</v>
      </c>
    </row>
    <row r="251" spans="1:13" ht="16.5" hidden="1" customHeight="1" x14ac:dyDescent="0.3">
      <c r="A251" s="2"/>
      <c r="B251" s="28"/>
      <c r="C251" s="28"/>
      <c r="D251" s="28"/>
      <c r="E251" s="28"/>
      <c r="F251" s="28"/>
      <c r="G251" s="28"/>
    </row>
    <row r="252" spans="1:13" ht="16.5" hidden="1" customHeight="1" x14ac:dyDescent="0.3"/>
    <row r="253" spans="1:13" ht="16.5" hidden="1" customHeight="1" x14ac:dyDescent="0.3">
      <c r="A253" s="4" t="s">
        <v>2</v>
      </c>
      <c r="B253" s="24" t="s">
        <v>42</v>
      </c>
      <c r="C253" s="26"/>
      <c r="D253" s="26"/>
      <c r="E253" s="26"/>
      <c r="F253" s="26"/>
      <c r="G253" s="26"/>
    </row>
    <row r="254" spans="1:13" ht="16.5" hidden="1" customHeight="1" x14ac:dyDescent="0.3">
      <c r="A254" s="6" t="s">
        <v>3</v>
      </c>
      <c r="B254" s="25" t="s">
        <v>18</v>
      </c>
      <c r="C254" s="27" t="s">
        <v>28</v>
      </c>
      <c r="D254" s="27"/>
      <c r="E254" s="27"/>
      <c r="F254" s="27"/>
      <c r="G254" s="27"/>
    </row>
    <row r="255" spans="1:13" ht="16.5" hidden="1" customHeight="1" x14ac:dyDescent="0.3">
      <c r="A255" s="6" t="s">
        <v>20</v>
      </c>
      <c r="B255" s="25"/>
      <c r="C255" s="3">
        <v>1</v>
      </c>
      <c r="D255" s="3">
        <v>2</v>
      </c>
      <c r="E255" s="3">
        <v>3</v>
      </c>
      <c r="F255" s="3">
        <v>4</v>
      </c>
      <c r="G255" s="3" t="s">
        <v>23</v>
      </c>
    </row>
    <row r="256" spans="1:13" ht="33" x14ac:dyDescent="0.3">
      <c r="A256" s="6" t="s">
        <v>21</v>
      </c>
      <c r="B256" s="25">
        <v>0</v>
      </c>
      <c r="C256" s="7">
        <v>15410</v>
      </c>
      <c r="D256" s="7">
        <v>17190</v>
      </c>
      <c r="E256" s="7">
        <v>17619</v>
      </c>
      <c r="F256" s="7">
        <v>17779</v>
      </c>
      <c r="G256" s="7">
        <v>67998</v>
      </c>
      <c r="I256" s="8" t="str">
        <f>TEXT(C256,"#,##0")&amp;" ("&amp;TEXT(C259,"0.00")&amp;")"</f>
        <v>15,410 (99.70)</v>
      </c>
      <c r="J256" s="8" t="str">
        <f t="shared" ref="J256" si="104">TEXT(D256,"#,##0")&amp;" ("&amp;TEXT(D259,"0.00")&amp;")"</f>
        <v>17,190 (99.24)</v>
      </c>
      <c r="K256" s="8" t="str">
        <f t="shared" ref="K256" si="105">TEXT(E256,"#,##0")&amp;" ("&amp;TEXT(E259,"0.00")&amp;")"</f>
        <v>17,619 (98.83)</v>
      </c>
      <c r="L256" s="8" t="str">
        <f t="shared" ref="L256" si="106">TEXT(F256,"#,##0")&amp;" ("&amp;TEXT(F259,"0.00")&amp;")"</f>
        <v>17,779 (98.62)</v>
      </c>
      <c r="M256" t="s">
        <v>24</v>
      </c>
    </row>
    <row r="257" spans="1:13" x14ac:dyDescent="0.3">
      <c r="A257" s="2"/>
      <c r="B257" s="25"/>
      <c r="C257" s="7">
        <v>22.45</v>
      </c>
      <c r="D257" s="7">
        <v>25.05</v>
      </c>
      <c r="E257" s="7">
        <v>25.67</v>
      </c>
      <c r="F257" s="7">
        <v>25.9</v>
      </c>
      <c r="G257" s="7">
        <v>99.07</v>
      </c>
      <c r="I257" s="8" t="str">
        <f>TEXT(C260,"#,##0")&amp;" ("&amp;TEXT(C263,"0.00")&amp;")"</f>
        <v>47 (0.30)</v>
      </c>
      <c r="J257" s="8" t="str">
        <f t="shared" ref="J257" si="107">TEXT(D260,"#,##0")&amp;" ("&amp;TEXT(D263,"0.00")&amp;")"</f>
        <v>132 (0.76)</v>
      </c>
      <c r="K257" s="8" t="str">
        <f t="shared" ref="K257" si="108">TEXT(E260,"#,##0")&amp;" ("&amp;TEXT(E263,"0.00")&amp;")"</f>
        <v>209 (1.17)</v>
      </c>
      <c r="L257" s="8" t="str">
        <f t="shared" ref="L257" si="109">TEXT(F260,"#,##0")&amp;" ("&amp;TEXT(F263,"0.00")&amp;")"</f>
        <v>249 (1.38)</v>
      </c>
      <c r="M257" t="s">
        <v>24</v>
      </c>
    </row>
    <row r="258" spans="1:13" x14ac:dyDescent="0.3">
      <c r="A258" s="2"/>
      <c r="B258" s="25"/>
      <c r="C258" s="7">
        <v>22.66</v>
      </c>
      <c r="D258" s="7">
        <v>25.28</v>
      </c>
      <c r="E258" s="7">
        <v>25.91</v>
      </c>
      <c r="F258" s="7">
        <v>26.15</v>
      </c>
      <c r="G258" s="7"/>
      <c r="I258" s="8"/>
      <c r="J258" s="8"/>
      <c r="K258" s="8"/>
      <c r="L258" s="8"/>
      <c r="M258" t="s">
        <v>24</v>
      </c>
    </row>
    <row r="259" spans="1:13" ht="16.5" hidden="1" customHeight="1" x14ac:dyDescent="0.3">
      <c r="A259" s="2"/>
      <c r="B259" s="25"/>
      <c r="C259" s="7">
        <v>99.7</v>
      </c>
      <c r="D259" s="7">
        <v>99.24</v>
      </c>
      <c r="E259" s="7">
        <v>98.83</v>
      </c>
      <c r="F259" s="7">
        <v>98.62</v>
      </c>
      <c r="G259" s="7"/>
      <c r="I259" s="8"/>
      <c r="J259" s="8"/>
      <c r="K259" s="8"/>
      <c r="L259" s="8"/>
    </row>
    <row r="260" spans="1:13" ht="16.5" hidden="1" customHeight="1" x14ac:dyDescent="0.3">
      <c r="A260" s="2"/>
      <c r="B260" s="25">
        <v>1</v>
      </c>
      <c r="C260" s="7">
        <v>47</v>
      </c>
      <c r="D260" s="7">
        <v>132</v>
      </c>
      <c r="E260" s="7">
        <v>209</v>
      </c>
      <c r="F260" s="7">
        <v>249</v>
      </c>
      <c r="G260" s="7">
        <v>637</v>
      </c>
    </row>
    <row r="261" spans="1:13" ht="16.5" hidden="1" customHeight="1" x14ac:dyDescent="0.3">
      <c r="A261" s="2"/>
      <c r="B261" s="25"/>
      <c r="C261" s="7">
        <v>7.0000000000000007E-2</v>
      </c>
      <c r="D261" s="7">
        <v>0.19</v>
      </c>
      <c r="E261" s="7">
        <v>0.3</v>
      </c>
      <c r="F261" s="7">
        <v>0.36</v>
      </c>
      <c r="G261" s="7">
        <v>0.93</v>
      </c>
    </row>
    <row r="262" spans="1:13" ht="16.5" hidden="1" customHeight="1" x14ac:dyDescent="0.3">
      <c r="A262" s="2"/>
      <c r="B262" s="25"/>
      <c r="C262" s="7">
        <v>7.38</v>
      </c>
      <c r="D262" s="7">
        <v>20.72</v>
      </c>
      <c r="E262" s="7">
        <v>32.81</v>
      </c>
      <c r="F262" s="7">
        <v>39.090000000000003</v>
      </c>
      <c r="G262" s="7"/>
    </row>
    <row r="263" spans="1:13" ht="16.5" hidden="1" customHeight="1" x14ac:dyDescent="0.3">
      <c r="A263" s="2"/>
      <c r="B263" s="25"/>
      <c r="C263" s="7">
        <v>0.3</v>
      </c>
      <c r="D263" s="7">
        <v>0.76</v>
      </c>
      <c r="E263" s="7">
        <v>1.17</v>
      </c>
      <c r="F263" s="7">
        <v>1.38</v>
      </c>
      <c r="G263" s="7"/>
    </row>
    <row r="264" spans="1:13" ht="16.5" hidden="1" customHeight="1" x14ac:dyDescent="0.3">
      <c r="A264" s="2"/>
      <c r="B264" s="25" t="s">
        <v>23</v>
      </c>
      <c r="C264" s="7">
        <v>15457</v>
      </c>
      <c r="D264" s="7">
        <v>17322</v>
      </c>
      <c r="E264" s="7">
        <v>17828</v>
      </c>
      <c r="F264" s="7">
        <v>18028</v>
      </c>
      <c r="G264" s="7">
        <v>68635</v>
      </c>
    </row>
    <row r="265" spans="1:13" ht="16.5" hidden="1" customHeight="1" x14ac:dyDescent="0.3">
      <c r="A265" s="2"/>
      <c r="B265" s="25"/>
      <c r="C265" s="7">
        <v>22.52</v>
      </c>
      <c r="D265" s="7">
        <v>25.24</v>
      </c>
      <c r="E265" s="7">
        <v>25.98</v>
      </c>
      <c r="F265" s="7">
        <v>26.27</v>
      </c>
      <c r="G265" s="7">
        <v>100</v>
      </c>
    </row>
    <row r="266" spans="1:13" ht="16.5" hidden="1" customHeight="1" x14ac:dyDescent="0.3">
      <c r="A266" s="2"/>
      <c r="B266" s="28"/>
      <c r="C266" s="28"/>
      <c r="D266" s="28"/>
      <c r="E266" s="28"/>
      <c r="F266" s="28"/>
      <c r="G266" s="28"/>
    </row>
    <row r="267" spans="1:13" ht="16.5" hidden="1" customHeight="1" x14ac:dyDescent="0.3"/>
    <row r="268" spans="1:13" ht="16.5" hidden="1" customHeight="1" x14ac:dyDescent="0.3">
      <c r="A268" s="4" t="s">
        <v>2</v>
      </c>
      <c r="B268" s="24" t="s">
        <v>43</v>
      </c>
      <c r="C268" s="26"/>
      <c r="D268" s="26"/>
      <c r="E268" s="26"/>
      <c r="F268" s="26"/>
      <c r="G268" s="26"/>
    </row>
    <row r="269" spans="1:13" ht="16.5" hidden="1" customHeight="1" x14ac:dyDescent="0.3">
      <c r="A269" s="6" t="s">
        <v>3</v>
      </c>
      <c r="B269" s="25" t="s">
        <v>19</v>
      </c>
      <c r="C269" s="27" t="s">
        <v>28</v>
      </c>
      <c r="D269" s="27"/>
      <c r="E269" s="27"/>
      <c r="F269" s="27"/>
      <c r="G269" s="27"/>
    </row>
    <row r="270" spans="1:13" ht="16.5" hidden="1" customHeight="1" x14ac:dyDescent="0.3">
      <c r="A270" s="6" t="s">
        <v>20</v>
      </c>
      <c r="B270" s="25"/>
      <c r="C270" s="3">
        <v>1</v>
      </c>
      <c r="D270" s="3">
        <v>2</v>
      </c>
      <c r="E270" s="3">
        <v>3</v>
      </c>
      <c r="F270" s="3">
        <v>4</v>
      </c>
      <c r="G270" s="3" t="s">
        <v>23</v>
      </c>
    </row>
    <row r="271" spans="1:13" ht="33" x14ac:dyDescent="0.3">
      <c r="A271" s="6" t="s">
        <v>21</v>
      </c>
      <c r="B271" s="25">
        <v>0</v>
      </c>
      <c r="C271" s="7">
        <v>15347</v>
      </c>
      <c r="D271" s="7">
        <v>17058</v>
      </c>
      <c r="E271" s="7">
        <v>17446</v>
      </c>
      <c r="F271" s="7">
        <v>17583</v>
      </c>
      <c r="G271" s="7">
        <v>67434</v>
      </c>
      <c r="I271" s="8" t="str">
        <f>TEXT(C271,"#,##0")&amp;" ("&amp;TEXT(C274,"0.00")&amp;")"</f>
        <v>15,347 (99.29)</v>
      </c>
      <c r="J271" s="8" t="str">
        <f t="shared" ref="J271" si="110">TEXT(D271,"#,##0")&amp;" ("&amp;TEXT(D274,"0.00")&amp;")"</f>
        <v>17,058 (98.48)</v>
      </c>
      <c r="K271" s="8" t="str">
        <f t="shared" ref="K271" si="111">TEXT(E271,"#,##0")&amp;" ("&amp;TEXT(E274,"0.00")&amp;")"</f>
        <v>17,446 (97.86)</v>
      </c>
      <c r="L271" s="8" t="str">
        <f t="shared" ref="L271" si="112">TEXT(F271,"#,##0")&amp;" ("&amp;TEXT(F274,"0.00")&amp;")"</f>
        <v>17,583 (97.53)</v>
      </c>
      <c r="M271" t="s">
        <v>24</v>
      </c>
    </row>
    <row r="272" spans="1:13" x14ac:dyDescent="0.3">
      <c r="A272" s="2"/>
      <c r="B272" s="25"/>
      <c r="C272" s="7">
        <v>22.36</v>
      </c>
      <c r="D272" s="7">
        <v>24.85</v>
      </c>
      <c r="E272" s="7">
        <v>25.42</v>
      </c>
      <c r="F272" s="7">
        <v>25.62</v>
      </c>
      <c r="G272" s="7">
        <v>98.25</v>
      </c>
      <c r="I272" s="8" t="str">
        <f>TEXT(C275,"#,##0")&amp;" ("&amp;TEXT(C278,"0.00")&amp;")"</f>
        <v>110 (0.71)</v>
      </c>
      <c r="J272" s="8" t="str">
        <f t="shared" ref="J272" si="113">TEXT(D275,"#,##0")&amp;" ("&amp;TEXT(D278,"0.00")&amp;")"</f>
        <v>264 (1.52)</v>
      </c>
      <c r="K272" s="8" t="str">
        <f t="shared" ref="K272" si="114">TEXT(E275,"#,##0")&amp;" ("&amp;TEXT(E278,"0.00")&amp;")"</f>
        <v>382 (2.14)</v>
      </c>
      <c r="L272" s="8" t="str">
        <f t="shared" ref="L272" si="115">TEXT(F275,"#,##0")&amp;" ("&amp;TEXT(F278,"0.00")&amp;")"</f>
        <v>445 (2.47)</v>
      </c>
      <c r="M272" t="s">
        <v>24</v>
      </c>
    </row>
    <row r="273" spans="1:13" x14ac:dyDescent="0.3">
      <c r="A273" s="2"/>
      <c r="B273" s="25"/>
      <c r="C273" s="7">
        <v>22.76</v>
      </c>
      <c r="D273" s="7">
        <v>25.3</v>
      </c>
      <c r="E273" s="7">
        <v>25.87</v>
      </c>
      <c r="F273" s="7">
        <v>26.07</v>
      </c>
      <c r="G273" s="7"/>
      <c r="I273" s="8"/>
      <c r="J273" s="8"/>
      <c r="K273" s="8"/>
      <c r="L273" s="8"/>
      <c r="M273" t="s">
        <v>24</v>
      </c>
    </row>
    <row r="274" spans="1:13" ht="16.5" hidden="1" customHeight="1" x14ac:dyDescent="0.3">
      <c r="A274" s="2"/>
      <c r="B274" s="25"/>
      <c r="C274" s="7">
        <v>99.29</v>
      </c>
      <c r="D274" s="7">
        <v>98.48</v>
      </c>
      <c r="E274" s="7">
        <v>97.86</v>
      </c>
      <c r="F274" s="7">
        <v>97.53</v>
      </c>
      <c r="G274" s="7"/>
      <c r="I274" s="8"/>
      <c r="J274" s="8"/>
      <c r="K274" s="8"/>
      <c r="L274" s="8"/>
    </row>
    <row r="275" spans="1:13" ht="16.5" hidden="1" customHeight="1" x14ac:dyDescent="0.3">
      <c r="A275" s="2"/>
      <c r="B275" s="25">
        <v>1</v>
      </c>
      <c r="C275" s="7">
        <v>110</v>
      </c>
      <c r="D275" s="7">
        <v>264</v>
      </c>
      <c r="E275" s="7">
        <v>382</v>
      </c>
      <c r="F275" s="7">
        <v>445</v>
      </c>
      <c r="G275" s="7">
        <v>1201</v>
      </c>
    </row>
    <row r="276" spans="1:13" ht="16.5" hidden="1" customHeight="1" x14ac:dyDescent="0.3">
      <c r="A276" s="2"/>
      <c r="B276" s="25"/>
      <c r="C276" s="7">
        <v>0.16</v>
      </c>
      <c r="D276" s="7">
        <v>0.38</v>
      </c>
      <c r="E276" s="7">
        <v>0.56000000000000005</v>
      </c>
      <c r="F276" s="7">
        <v>0.65</v>
      </c>
      <c r="G276" s="7">
        <v>1.75</v>
      </c>
    </row>
    <row r="277" spans="1:13" ht="16.5" hidden="1" customHeight="1" x14ac:dyDescent="0.3">
      <c r="A277" s="2"/>
      <c r="B277" s="25"/>
      <c r="C277" s="7">
        <v>9.16</v>
      </c>
      <c r="D277" s="7">
        <v>21.98</v>
      </c>
      <c r="E277" s="7">
        <v>31.81</v>
      </c>
      <c r="F277" s="7">
        <v>37.049999999999997</v>
      </c>
      <c r="G277" s="7"/>
    </row>
    <row r="278" spans="1:13" ht="16.5" hidden="1" customHeight="1" x14ac:dyDescent="0.3">
      <c r="A278" s="2"/>
      <c r="B278" s="25"/>
      <c r="C278" s="7">
        <v>0.71</v>
      </c>
      <c r="D278" s="7">
        <v>1.52</v>
      </c>
      <c r="E278" s="7">
        <v>2.14</v>
      </c>
      <c r="F278" s="7">
        <v>2.4700000000000002</v>
      </c>
      <c r="G278" s="7"/>
    </row>
    <row r="279" spans="1:13" ht="16.5" hidden="1" customHeight="1" x14ac:dyDescent="0.3">
      <c r="A279" s="2"/>
      <c r="B279" s="25" t="s">
        <v>23</v>
      </c>
      <c r="C279" s="7">
        <v>15457</v>
      </c>
      <c r="D279" s="7">
        <v>17322</v>
      </c>
      <c r="E279" s="7">
        <v>17828</v>
      </c>
      <c r="F279" s="7">
        <v>18028</v>
      </c>
      <c r="G279" s="7">
        <v>68635</v>
      </c>
    </row>
    <row r="280" spans="1:13" ht="16.5" hidden="1" customHeight="1" x14ac:dyDescent="0.3">
      <c r="A280" s="2"/>
      <c r="B280" s="25"/>
      <c r="C280" s="7">
        <v>22.52</v>
      </c>
      <c r="D280" s="7">
        <v>25.24</v>
      </c>
      <c r="E280" s="7">
        <v>25.98</v>
      </c>
      <c r="F280" s="7">
        <v>26.27</v>
      </c>
      <c r="G280" s="7">
        <v>100</v>
      </c>
    </row>
    <row r="281" spans="1:13" ht="16.5" hidden="1" customHeight="1" x14ac:dyDescent="0.3">
      <c r="A281" s="2"/>
      <c r="B281" s="28"/>
      <c r="C281" s="28"/>
      <c r="D281" s="28"/>
      <c r="E281" s="28"/>
      <c r="F281" s="28"/>
      <c r="G281" s="28"/>
    </row>
  </sheetData>
  <autoFilter ref="M1:M281" xr:uid="{1785F2DA-7931-467C-8114-B9054540CB65}">
    <filterColumn colId="0">
      <customFilters>
        <customFilter operator="notEqual" val=" "/>
      </customFilters>
    </filterColumn>
  </autoFilter>
  <mergeCells count="122">
    <mergeCell ref="B18:B19"/>
    <mergeCell ref="B20:G20"/>
    <mergeCell ref="B22:G22"/>
    <mergeCell ref="B23:B24"/>
    <mergeCell ref="C23:G23"/>
    <mergeCell ref="B25:B28"/>
    <mergeCell ref="B3:G3"/>
    <mergeCell ref="B4:B5"/>
    <mergeCell ref="C4:G4"/>
    <mergeCell ref="B6:B9"/>
    <mergeCell ref="B10:B13"/>
    <mergeCell ref="B14:B17"/>
    <mergeCell ref="B40:B43"/>
    <mergeCell ref="B44:B47"/>
    <mergeCell ref="B48:B49"/>
    <mergeCell ref="B50:G50"/>
    <mergeCell ref="B52:G52"/>
    <mergeCell ref="B53:B54"/>
    <mergeCell ref="C53:G53"/>
    <mergeCell ref="B29:B32"/>
    <mergeCell ref="B33:B34"/>
    <mergeCell ref="B35:G35"/>
    <mergeCell ref="B37:G37"/>
    <mergeCell ref="B38:B39"/>
    <mergeCell ref="C38:G38"/>
    <mergeCell ref="B75:G75"/>
    <mergeCell ref="B76:B77"/>
    <mergeCell ref="C76:G76"/>
    <mergeCell ref="B78:B81"/>
    <mergeCell ref="B82:B85"/>
    <mergeCell ref="B86:B89"/>
    <mergeCell ref="B55:B58"/>
    <mergeCell ref="B59:B62"/>
    <mergeCell ref="B63:B66"/>
    <mergeCell ref="B67:B70"/>
    <mergeCell ref="B71:B72"/>
    <mergeCell ref="B73:G73"/>
    <mergeCell ref="B101:B104"/>
    <mergeCell ref="B105:B108"/>
    <mergeCell ref="B109:B112"/>
    <mergeCell ref="B113:B116"/>
    <mergeCell ref="B117:B118"/>
    <mergeCell ref="B119:G119"/>
    <mergeCell ref="B90:B93"/>
    <mergeCell ref="B94:B95"/>
    <mergeCell ref="B96:G96"/>
    <mergeCell ref="B98:G98"/>
    <mergeCell ref="B99:B100"/>
    <mergeCell ref="C99:G99"/>
    <mergeCell ref="B134:G134"/>
    <mergeCell ref="B136:G136"/>
    <mergeCell ref="B137:B138"/>
    <mergeCell ref="C137:G137"/>
    <mergeCell ref="B139:B142"/>
    <mergeCell ref="B143:B146"/>
    <mergeCell ref="B121:G121"/>
    <mergeCell ref="B122:B123"/>
    <mergeCell ref="C122:G122"/>
    <mergeCell ref="B124:B127"/>
    <mergeCell ref="B128:B131"/>
    <mergeCell ref="B132:B133"/>
    <mergeCell ref="B158:B161"/>
    <mergeCell ref="B162:B165"/>
    <mergeCell ref="B166:B169"/>
    <mergeCell ref="B170:B171"/>
    <mergeCell ref="B172:G172"/>
    <mergeCell ref="B174:G174"/>
    <mergeCell ref="B147:B150"/>
    <mergeCell ref="B151:B152"/>
    <mergeCell ref="B153:G153"/>
    <mergeCell ref="B155:G155"/>
    <mergeCell ref="B156:B157"/>
    <mergeCell ref="C156:G156"/>
    <mergeCell ref="B191:G191"/>
    <mergeCell ref="B193:G193"/>
    <mergeCell ref="B194:B195"/>
    <mergeCell ref="C194:G194"/>
    <mergeCell ref="B196:B199"/>
    <mergeCell ref="B200:B203"/>
    <mergeCell ref="B175:B176"/>
    <mergeCell ref="C175:G175"/>
    <mergeCell ref="B177:B180"/>
    <mergeCell ref="B181:B184"/>
    <mergeCell ref="B185:B188"/>
    <mergeCell ref="B189:B190"/>
    <mergeCell ref="B215:B218"/>
    <mergeCell ref="B219:B220"/>
    <mergeCell ref="B221:G221"/>
    <mergeCell ref="B223:G223"/>
    <mergeCell ref="B224:B225"/>
    <mergeCell ref="C224:G224"/>
    <mergeCell ref="B204:B205"/>
    <mergeCell ref="B206:G206"/>
    <mergeCell ref="B208:G208"/>
    <mergeCell ref="B209:B210"/>
    <mergeCell ref="C209:G209"/>
    <mergeCell ref="B211:B214"/>
    <mergeCell ref="B241:B244"/>
    <mergeCell ref="B245:B248"/>
    <mergeCell ref="B249:B250"/>
    <mergeCell ref="B251:G251"/>
    <mergeCell ref="B253:G253"/>
    <mergeCell ref="B254:B255"/>
    <mergeCell ref="C254:G254"/>
    <mergeCell ref="B226:B229"/>
    <mergeCell ref="B230:B233"/>
    <mergeCell ref="B234:B235"/>
    <mergeCell ref="B236:G236"/>
    <mergeCell ref="B238:G238"/>
    <mergeCell ref="B239:B240"/>
    <mergeCell ref="C239:G239"/>
    <mergeCell ref="B271:B274"/>
    <mergeCell ref="B275:B278"/>
    <mergeCell ref="B279:B280"/>
    <mergeCell ref="B281:G281"/>
    <mergeCell ref="B256:B259"/>
    <mergeCell ref="B260:B263"/>
    <mergeCell ref="B264:B265"/>
    <mergeCell ref="B266:G266"/>
    <mergeCell ref="B268:G268"/>
    <mergeCell ref="B269:B270"/>
    <mergeCell ref="C269:G26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97FD-27CC-4F00-BFF8-FA010892B283}">
  <dimension ref="A1:H22"/>
  <sheetViews>
    <sheetView workbookViewId="0">
      <selection activeCell="I5" sqref="I5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44</v>
      </c>
    </row>
    <row r="2" spans="1:8" ht="17.25" thickBot="1" x14ac:dyDescent="0.35"/>
    <row r="3" spans="1:8" x14ac:dyDescent="0.3">
      <c r="A3" s="4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</row>
    <row r="4" spans="1:8" x14ac:dyDescent="0.3">
      <c r="A4" s="11" t="s">
        <v>51</v>
      </c>
      <c r="B4" s="9">
        <v>68635</v>
      </c>
      <c r="C4" s="9">
        <v>49.345173699999997</v>
      </c>
      <c r="D4" s="9">
        <v>16.063307900000002</v>
      </c>
      <c r="E4" s="9">
        <v>19</v>
      </c>
      <c r="F4" s="9">
        <v>80</v>
      </c>
      <c r="H4" s="8" t="str">
        <f>TEXT(C4,"0.00")&amp;" ("&amp;TEXT(D4,"0.00")&amp;")"</f>
        <v>49.35 (16.06)</v>
      </c>
    </row>
    <row r="5" spans="1:8" x14ac:dyDescent="0.3">
      <c r="A5" s="11" t="s">
        <v>52</v>
      </c>
      <c r="B5" s="9">
        <v>68635</v>
      </c>
      <c r="C5" s="9">
        <v>23.867210400000001</v>
      </c>
      <c r="D5" s="9">
        <v>3.4832602000000001</v>
      </c>
      <c r="E5" s="9">
        <v>13.1339583</v>
      </c>
      <c r="F5" s="9">
        <v>62.640542099999998</v>
      </c>
      <c r="H5" s="8" t="str">
        <f t="shared" ref="H5:H22" si="0">TEXT(C5,"0.00")&amp;" ("&amp;TEXT(D5,"0.00")&amp;")"</f>
        <v>23.87 (3.48)</v>
      </c>
    </row>
    <row r="6" spans="1:8" x14ac:dyDescent="0.3">
      <c r="A6" s="11" t="s">
        <v>53</v>
      </c>
      <c r="B6" s="9">
        <v>68635</v>
      </c>
      <c r="C6" s="9">
        <v>82.355279400000001</v>
      </c>
      <c r="D6" s="9">
        <v>10.2202018</v>
      </c>
      <c r="E6" s="9">
        <v>36.200000000000003</v>
      </c>
      <c r="F6" s="9">
        <v>166.1</v>
      </c>
      <c r="H6" s="8" t="str">
        <f t="shared" si="0"/>
        <v>82.36 (10.22)</v>
      </c>
    </row>
    <row r="7" spans="1:8" x14ac:dyDescent="0.3">
      <c r="A7" s="11" t="s">
        <v>54</v>
      </c>
      <c r="B7" s="9">
        <v>68635</v>
      </c>
      <c r="C7" s="9">
        <v>7.7756500000000006E-2</v>
      </c>
      <c r="D7" s="9">
        <v>4.6376999999999998E-3</v>
      </c>
      <c r="E7" s="9">
        <v>4.5616799999999999E-2</v>
      </c>
      <c r="F7" s="9">
        <v>0.15107219999999999</v>
      </c>
      <c r="H7" s="8" t="str">
        <f t="shared" si="0"/>
        <v>0.08 (0.00)</v>
      </c>
    </row>
    <row r="8" spans="1:8" x14ac:dyDescent="0.3">
      <c r="A8" s="11" t="s">
        <v>55</v>
      </c>
      <c r="B8" s="9">
        <v>68635</v>
      </c>
      <c r="C8" s="9">
        <v>118.5017192</v>
      </c>
      <c r="D8" s="9">
        <v>16.5546787</v>
      </c>
      <c r="E8" s="9">
        <v>70</v>
      </c>
      <c r="F8" s="9">
        <v>243</v>
      </c>
      <c r="H8" s="8" t="str">
        <f t="shared" si="0"/>
        <v>118.50 (16.55)</v>
      </c>
    </row>
    <row r="9" spans="1:8" x14ac:dyDescent="0.3">
      <c r="A9" s="11" t="s">
        <v>56</v>
      </c>
      <c r="B9" s="9">
        <v>68635</v>
      </c>
      <c r="C9" s="9">
        <v>99.444117399999996</v>
      </c>
      <c r="D9" s="9">
        <v>22.159756699999999</v>
      </c>
      <c r="E9" s="9">
        <v>40</v>
      </c>
      <c r="F9" s="9">
        <v>553</v>
      </c>
      <c r="H9" s="8" t="str">
        <f t="shared" si="0"/>
        <v>99.44 (22.16)</v>
      </c>
    </row>
    <row r="10" spans="1:8" x14ac:dyDescent="0.3">
      <c r="A10" s="11" t="s">
        <v>57</v>
      </c>
      <c r="B10" s="9">
        <v>68635</v>
      </c>
      <c r="C10" s="9">
        <v>189.8298681</v>
      </c>
      <c r="D10" s="9">
        <v>37.001587000000001</v>
      </c>
      <c r="E10" s="9">
        <v>66</v>
      </c>
      <c r="F10" s="9">
        <v>554</v>
      </c>
      <c r="H10" s="8" t="str">
        <f t="shared" si="0"/>
        <v>189.83 (37.00)</v>
      </c>
    </row>
    <row r="11" spans="1:8" ht="25.5" x14ac:dyDescent="0.3">
      <c r="A11" s="11" t="s">
        <v>58</v>
      </c>
      <c r="B11" s="9">
        <v>68635</v>
      </c>
      <c r="C11" s="9">
        <v>51.164030500000003</v>
      </c>
      <c r="D11" s="9">
        <v>12.7718588</v>
      </c>
      <c r="E11" s="9">
        <v>8</v>
      </c>
      <c r="F11" s="9">
        <v>145.298</v>
      </c>
      <c r="H11" s="8" t="str">
        <f t="shared" si="0"/>
        <v>51.16 (12.77)</v>
      </c>
    </row>
    <row r="12" spans="1:8" x14ac:dyDescent="0.3">
      <c r="A12" s="11" t="s">
        <v>59</v>
      </c>
      <c r="B12" s="9">
        <v>68635</v>
      </c>
      <c r="C12" s="9">
        <v>133.23160200000001</v>
      </c>
      <c r="D12" s="9">
        <v>108.1042686</v>
      </c>
      <c r="E12" s="9">
        <v>14</v>
      </c>
      <c r="F12" s="9">
        <v>2774</v>
      </c>
      <c r="H12" s="8" t="str">
        <f t="shared" si="0"/>
        <v>133.23 (108.10)</v>
      </c>
    </row>
    <row r="13" spans="1:8" x14ac:dyDescent="0.3">
      <c r="A13" s="11" t="s">
        <v>60</v>
      </c>
      <c r="B13" s="9">
        <v>68635</v>
      </c>
      <c r="C13" s="9">
        <v>23.276768400000002</v>
      </c>
      <c r="D13" s="9">
        <v>13.9185897</v>
      </c>
      <c r="E13" s="9">
        <v>6</v>
      </c>
      <c r="F13" s="9">
        <v>927</v>
      </c>
      <c r="H13" s="8" t="str">
        <f t="shared" si="0"/>
        <v>23.28 (13.92)</v>
      </c>
    </row>
    <row r="14" spans="1:8" x14ac:dyDescent="0.3">
      <c r="A14" s="11" t="s">
        <v>61</v>
      </c>
      <c r="B14" s="9">
        <v>68635</v>
      </c>
      <c r="C14" s="9">
        <v>22.5703067</v>
      </c>
      <c r="D14" s="9">
        <v>18.894632399999999</v>
      </c>
      <c r="E14" s="9">
        <v>1</v>
      </c>
      <c r="F14" s="9">
        <v>893</v>
      </c>
      <c r="H14" s="8" t="str">
        <f t="shared" si="0"/>
        <v>22.57 (18.89)</v>
      </c>
    </row>
    <row r="15" spans="1:8" x14ac:dyDescent="0.3">
      <c r="A15" s="11" t="s">
        <v>62</v>
      </c>
      <c r="B15" s="9">
        <v>68635</v>
      </c>
      <c r="C15" s="9">
        <v>14.085683700000001</v>
      </c>
      <c r="D15" s="9">
        <v>1.5735372999999999</v>
      </c>
      <c r="E15" s="9">
        <v>3.9</v>
      </c>
      <c r="F15" s="9">
        <v>21.3</v>
      </c>
      <c r="H15" s="8" t="str">
        <f t="shared" si="0"/>
        <v>14.09 (1.57)</v>
      </c>
    </row>
    <row r="16" spans="1:8" x14ac:dyDescent="0.3">
      <c r="A16" s="11" t="s">
        <v>63</v>
      </c>
      <c r="B16" s="9">
        <v>68635</v>
      </c>
      <c r="C16" s="9">
        <v>14.545540900000001</v>
      </c>
      <c r="D16" s="9">
        <v>4.4851574999999997</v>
      </c>
      <c r="E16" s="9">
        <v>2</v>
      </c>
      <c r="F16" s="9">
        <v>140</v>
      </c>
      <c r="H16" s="8" t="str">
        <f t="shared" si="0"/>
        <v>14.55 (4.49)</v>
      </c>
    </row>
    <row r="17" spans="1:8" x14ac:dyDescent="0.3">
      <c r="A17" s="11" t="s">
        <v>64</v>
      </c>
      <c r="B17" s="9">
        <v>68635</v>
      </c>
      <c r="C17" s="9">
        <v>0.83667279999999999</v>
      </c>
      <c r="D17" s="9">
        <v>0.2371038</v>
      </c>
      <c r="E17" s="9">
        <v>0.2</v>
      </c>
      <c r="F17" s="9">
        <v>14.38</v>
      </c>
      <c r="H17" s="8" t="str">
        <f t="shared" si="0"/>
        <v>0.84 (0.24)</v>
      </c>
    </row>
    <row r="18" spans="1:8" x14ac:dyDescent="0.3">
      <c r="A18" s="11" t="s">
        <v>65</v>
      </c>
      <c r="B18" s="9">
        <v>68635</v>
      </c>
      <c r="C18" s="9">
        <v>5.7757484999999997</v>
      </c>
      <c r="D18" s="9">
        <v>0.80111399999999999</v>
      </c>
      <c r="E18" s="9">
        <v>5</v>
      </c>
      <c r="F18" s="9">
        <v>9</v>
      </c>
      <c r="H18" s="8" t="str">
        <f t="shared" si="0"/>
        <v>5.78 (0.80)</v>
      </c>
    </row>
    <row r="19" spans="1:8" x14ac:dyDescent="0.3">
      <c r="A19" s="11" t="s">
        <v>66</v>
      </c>
      <c r="B19" s="9">
        <v>68635</v>
      </c>
      <c r="C19" s="9">
        <v>8.5878429999999994</v>
      </c>
      <c r="D19" s="9">
        <v>0.6604331</v>
      </c>
      <c r="E19" s="9">
        <v>6.4441312999999996</v>
      </c>
      <c r="F19" s="9">
        <v>12.7290689</v>
      </c>
      <c r="H19" s="8" t="str">
        <f t="shared" si="0"/>
        <v>8.59 (0.66)</v>
      </c>
    </row>
    <row r="20" spans="1:8" x14ac:dyDescent="0.3">
      <c r="A20" s="11" t="s">
        <v>67</v>
      </c>
      <c r="B20" s="9">
        <v>68635</v>
      </c>
      <c r="C20" s="9">
        <v>0.66871049999999999</v>
      </c>
      <c r="D20" s="9">
        <v>7.4022900000000003E-2</v>
      </c>
      <c r="E20" s="9">
        <v>0.40120869999999997</v>
      </c>
      <c r="F20" s="9">
        <v>1.3241700999999999</v>
      </c>
      <c r="H20" s="8" t="str">
        <f t="shared" si="0"/>
        <v>0.67 (0.07)</v>
      </c>
    </row>
    <row r="21" spans="1:8" x14ac:dyDescent="0.3">
      <c r="A21" s="11" t="s">
        <v>68</v>
      </c>
      <c r="B21" s="9">
        <v>68635</v>
      </c>
      <c r="C21" s="9">
        <v>0.34481020000000001</v>
      </c>
      <c r="D21" s="9">
        <v>0.3215383</v>
      </c>
      <c r="E21" s="10">
        <v>-0.69650619999999996</v>
      </c>
      <c r="F21" s="9">
        <v>2.1147776999999999</v>
      </c>
      <c r="H21" s="8" t="str">
        <f t="shared" si="0"/>
        <v>0.34 (0.32)</v>
      </c>
    </row>
    <row r="22" spans="1:8" x14ac:dyDescent="0.3">
      <c r="A22" s="11" t="s">
        <v>69</v>
      </c>
      <c r="B22" s="9">
        <v>68635</v>
      </c>
      <c r="C22" s="9">
        <v>35.570259399999998</v>
      </c>
      <c r="D22" s="9">
        <v>7.2824150000000003</v>
      </c>
      <c r="E22" s="9">
        <v>15.6032782</v>
      </c>
      <c r="F22" s="9">
        <v>93.063441699999998</v>
      </c>
      <c r="H22" s="8" t="str">
        <f t="shared" si="0"/>
        <v>35.57 (7.28)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FD5E-862B-4244-AA99-DC74C6CD8E3D}">
  <dimension ref="A1:H93"/>
  <sheetViews>
    <sheetView topLeftCell="A68" workbookViewId="0">
      <selection activeCell="H75" sqref="H75:H93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44</v>
      </c>
    </row>
    <row r="3" spans="1:8" x14ac:dyDescent="0.3">
      <c r="A3" s="1" t="s">
        <v>70</v>
      </c>
    </row>
    <row r="4" spans="1:8" ht="17.25" thickBot="1" x14ac:dyDescent="0.35"/>
    <row r="5" spans="1:8" x14ac:dyDescent="0.3">
      <c r="A5" s="4" t="s">
        <v>45</v>
      </c>
      <c r="B5" s="5" t="s">
        <v>46</v>
      </c>
      <c r="C5" s="5" t="s">
        <v>47</v>
      </c>
      <c r="D5" s="5" t="s">
        <v>48</v>
      </c>
      <c r="E5" s="5" t="s">
        <v>49</v>
      </c>
      <c r="F5" s="5" t="s">
        <v>50</v>
      </c>
    </row>
    <row r="6" spans="1:8" x14ac:dyDescent="0.3">
      <c r="A6" s="11" t="s">
        <v>51</v>
      </c>
      <c r="B6" s="9">
        <v>15457</v>
      </c>
      <c r="C6" s="9">
        <v>42.844665800000001</v>
      </c>
      <c r="D6" s="9">
        <v>16.242744099999999</v>
      </c>
      <c r="E6" s="9">
        <v>19</v>
      </c>
      <c r="F6" s="9">
        <v>80</v>
      </c>
      <c r="H6" s="8" t="str">
        <f>TEXT(C6,"0.00")&amp;" ("&amp;TEXT(D6,"0.00")&amp;")"</f>
        <v>42.84 (16.24)</v>
      </c>
    </row>
    <row r="7" spans="1:8" x14ac:dyDescent="0.3">
      <c r="A7" s="11" t="s">
        <v>52</v>
      </c>
      <c r="B7" s="9">
        <v>15457</v>
      </c>
      <c r="C7" s="9">
        <v>19.923037399999998</v>
      </c>
      <c r="D7" s="9">
        <v>1.5501853999999999</v>
      </c>
      <c r="E7" s="9">
        <v>13.1339583</v>
      </c>
      <c r="F7" s="9">
        <v>24.831937</v>
      </c>
      <c r="H7" s="8" t="str">
        <f t="shared" ref="H7:H24" si="0">TEXT(C7,"0.00")&amp;" ("&amp;TEXT(D7,"0.00")&amp;")"</f>
        <v>19.92 (1.55)</v>
      </c>
    </row>
    <row r="8" spans="1:8" x14ac:dyDescent="0.3">
      <c r="A8" s="11" t="s">
        <v>53</v>
      </c>
      <c r="B8" s="9">
        <v>15457</v>
      </c>
      <c r="C8" s="9">
        <v>70.768150399999996</v>
      </c>
      <c r="D8" s="9">
        <v>5.6283947999999997</v>
      </c>
      <c r="E8" s="9">
        <v>36.200000000000003</v>
      </c>
      <c r="F8" s="9">
        <v>104.6</v>
      </c>
      <c r="H8" s="8" t="str">
        <f t="shared" si="0"/>
        <v>70.77 (5.63)</v>
      </c>
    </row>
    <row r="9" spans="1:8" x14ac:dyDescent="0.3">
      <c r="A9" s="11" t="s">
        <v>54</v>
      </c>
      <c r="B9" s="9">
        <v>15457</v>
      </c>
      <c r="C9" s="9">
        <v>7.5579300000000002E-2</v>
      </c>
      <c r="D9" s="9">
        <v>4.4298000000000002E-3</v>
      </c>
      <c r="E9" s="9">
        <v>4.5616799999999999E-2</v>
      </c>
      <c r="F9" s="9">
        <v>0.1121983</v>
      </c>
      <c r="H9" s="8" t="str">
        <f t="shared" si="0"/>
        <v>0.08 (0.00)</v>
      </c>
    </row>
    <row r="10" spans="1:8" x14ac:dyDescent="0.3">
      <c r="A10" s="11" t="s">
        <v>55</v>
      </c>
      <c r="B10" s="9">
        <v>15457</v>
      </c>
      <c r="C10" s="9">
        <v>110.7592676</v>
      </c>
      <c r="D10" s="9">
        <v>15.118893999999999</v>
      </c>
      <c r="E10" s="9">
        <v>75</v>
      </c>
      <c r="F10" s="9">
        <v>217</v>
      </c>
      <c r="H10" s="8" t="str">
        <f t="shared" si="0"/>
        <v>110.76 (15.12)</v>
      </c>
    </row>
    <row r="11" spans="1:8" x14ac:dyDescent="0.3">
      <c r="A11" s="11" t="s">
        <v>56</v>
      </c>
      <c r="B11" s="9">
        <v>15457</v>
      </c>
      <c r="C11" s="9">
        <v>90.242931999999996</v>
      </c>
      <c r="D11" s="9">
        <v>11.0226357</v>
      </c>
      <c r="E11" s="9">
        <v>48</v>
      </c>
      <c r="F11" s="9">
        <v>364</v>
      </c>
      <c r="H11" s="8" t="str">
        <f t="shared" si="0"/>
        <v>90.24 (11.02)</v>
      </c>
    </row>
    <row r="12" spans="1:8" x14ac:dyDescent="0.3">
      <c r="A12" s="11" t="s">
        <v>57</v>
      </c>
      <c r="B12" s="9">
        <v>15457</v>
      </c>
      <c r="C12" s="9">
        <v>184.16497380000001</v>
      </c>
      <c r="D12" s="9">
        <v>32.904589999999999</v>
      </c>
      <c r="E12" s="9">
        <v>89</v>
      </c>
      <c r="F12" s="9">
        <v>354</v>
      </c>
      <c r="H12" s="8" t="str">
        <f t="shared" si="0"/>
        <v>184.16 (32.90)</v>
      </c>
    </row>
    <row r="13" spans="1:8" ht="25.5" x14ac:dyDescent="0.3">
      <c r="A13" s="11" t="s">
        <v>58</v>
      </c>
      <c r="B13" s="9">
        <v>15457</v>
      </c>
      <c r="C13" s="9">
        <v>62.806283200000003</v>
      </c>
      <c r="D13" s="9">
        <v>12.6268051</v>
      </c>
      <c r="E13" s="9">
        <v>27.748000000000001</v>
      </c>
      <c r="F13" s="9">
        <v>145.298</v>
      </c>
      <c r="H13" s="8" t="str">
        <f t="shared" si="0"/>
        <v>62.81 (12.63)</v>
      </c>
    </row>
    <row r="14" spans="1:8" x14ac:dyDescent="0.3">
      <c r="A14" s="11" t="s">
        <v>59</v>
      </c>
      <c r="B14" s="9">
        <v>15457</v>
      </c>
      <c r="C14" s="9">
        <v>74.960018099999999</v>
      </c>
      <c r="D14" s="9">
        <v>35.210445100000001</v>
      </c>
      <c r="E14" s="9">
        <v>14</v>
      </c>
      <c r="F14" s="9">
        <v>808</v>
      </c>
      <c r="H14" s="8" t="str">
        <f t="shared" si="0"/>
        <v>74.96 (35.21)</v>
      </c>
    </row>
    <row r="15" spans="1:8" x14ac:dyDescent="0.3">
      <c r="A15" s="11" t="s">
        <v>60</v>
      </c>
      <c r="B15" s="9">
        <v>15457</v>
      </c>
      <c r="C15" s="9">
        <v>20.686873299999998</v>
      </c>
      <c r="D15" s="9">
        <v>11.9844417</v>
      </c>
      <c r="E15" s="9">
        <v>7</v>
      </c>
      <c r="F15" s="9">
        <v>621</v>
      </c>
      <c r="H15" s="8" t="str">
        <f t="shared" si="0"/>
        <v>20.69 (11.98)</v>
      </c>
    </row>
    <row r="16" spans="1:8" x14ac:dyDescent="0.3">
      <c r="A16" s="11" t="s">
        <v>61</v>
      </c>
      <c r="B16" s="9">
        <v>15457</v>
      </c>
      <c r="C16" s="9">
        <v>15.6468267</v>
      </c>
      <c r="D16" s="9">
        <v>11.3607871</v>
      </c>
      <c r="E16" s="9">
        <v>3</v>
      </c>
      <c r="F16" s="9">
        <v>395</v>
      </c>
      <c r="H16" s="8" t="str">
        <f t="shared" si="0"/>
        <v>15.65 (11.36)</v>
      </c>
    </row>
    <row r="17" spans="1:8" x14ac:dyDescent="0.3">
      <c r="A17" s="11" t="s">
        <v>62</v>
      </c>
      <c r="B17" s="9">
        <v>15457</v>
      </c>
      <c r="C17" s="9">
        <v>13.4536003</v>
      </c>
      <c r="D17" s="9">
        <v>1.4266540000000001</v>
      </c>
      <c r="E17" s="9">
        <v>5.2</v>
      </c>
      <c r="F17" s="9">
        <v>20.399999999999999</v>
      </c>
      <c r="H17" s="8" t="str">
        <f t="shared" si="0"/>
        <v>13.45 (1.43)</v>
      </c>
    </row>
    <row r="18" spans="1:8" x14ac:dyDescent="0.3">
      <c r="A18" s="11" t="s">
        <v>63</v>
      </c>
      <c r="B18" s="9">
        <v>15457</v>
      </c>
      <c r="C18" s="9">
        <v>13.537918100000001</v>
      </c>
      <c r="D18" s="9">
        <v>4.3713955999999996</v>
      </c>
      <c r="E18" s="9">
        <v>4</v>
      </c>
      <c r="F18" s="9">
        <v>115</v>
      </c>
      <c r="H18" s="8" t="str">
        <f t="shared" si="0"/>
        <v>13.54 (4.37)</v>
      </c>
    </row>
    <row r="19" spans="1:8" x14ac:dyDescent="0.3">
      <c r="A19" s="11" t="s">
        <v>64</v>
      </c>
      <c r="B19" s="9">
        <v>15457</v>
      </c>
      <c r="C19" s="9">
        <v>0.76913109999999996</v>
      </c>
      <c r="D19" s="9">
        <v>0.20410110000000001</v>
      </c>
      <c r="E19" s="9">
        <v>0.36</v>
      </c>
      <c r="F19" s="9">
        <v>11.33</v>
      </c>
      <c r="H19" s="8" t="str">
        <f t="shared" si="0"/>
        <v>0.77 (0.20)</v>
      </c>
    </row>
    <row r="20" spans="1:8" x14ac:dyDescent="0.3">
      <c r="A20" s="11" t="s">
        <v>65</v>
      </c>
      <c r="B20" s="9">
        <v>15457</v>
      </c>
      <c r="C20" s="9">
        <v>5.8361584000000004</v>
      </c>
      <c r="D20" s="9">
        <v>0.79995879999999997</v>
      </c>
      <c r="E20" s="9">
        <v>5</v>
      </c>
      <c r="F20" s="9">
        <v>9</v>
      </c>
      <c r="H20" s="8" t="str">
        <f t="shared" si="0"/>
        <v>5.84 (0.80)</v>
      </c>
    </row>
    <row r="21" spans="1:8" x14ac:dyDescent="0.3">
      <c r="A21" s="11" t="s">
        <v>66</v>
      </c>
      <c r="B21" s="9">
        <v>15457</v>
      </c>
      <c r="C21" s="9">
        <v>8.0329753000000004</v>
      </c>
      <c r="D21" s="9">
        <v>0.43708269999999999</v>
      </c>
      <c r="E21" s="9">
        <v>6.4441312999999996</v>
      </c>
      <c r="F21" s="9">
        <v>10.6442099</v>
      </c>
      <c r="H21" s="8" t="str">
        <f t="shared" si="0"/>
        <v>8.03 (0.44)</v>
      </c>
    </row>
    <row r="22" spans="1:8" x14ac:dyDescent="0.3">
      <c r="A22" s="11" t="s">
        <v>67</v>
      </c>
      <c r="B22" s="9">
        <v>15457</v>
      </c>
      <c r="C22" s="9">
        <v>0.60764649999999998</v>
      </c>
      <c r="D22" s="9">
        <v>5.5024099999999999E-2</v>
      </c>
      <c r="E22" s="9">
        <v>0.40120869999999997</v>
      </c>
      <c r="F22" s="9">
        <v>0.93285070000000003</v>
      </c>
      <c r="H22" s="8" t="str">
        <f t="shared" si="0"/>
        <v>0.61 (0.06)</v>
      </c>
    </row>
    <row r="23" spans="1:8" x14ac:dyDescent="0.3">
      <c r="A23" s="11" t="s">
        <v>68</v>
      </c>
      <c r="B23" s="9">
        <v>15457</v>
      </c>
      <c r="C23" s="9">
        <v>4.73552E-2</v>
      </c>
      <c r="D23" s="9">
        <v>0.2073904</v>
      </c>
      <c r="E23" s="10">
        <v>-0.69650619999999996</v>
      </c>
      <c r="F23" s="9">
        <v>1.2899577</v>
      </c>
      <c r="H23" s="8" t="str">
        <f t="shared" si="0"/>
        <v>0.05 (0.21)</v>
      </c>
    </row>
    <row r="24" spans="1:8" x14ac:dyDescent="0.3">
      <c r="A24" s="11" t="s">
        <v>69</v>
      </c>
      <c r="B24" s="9">
        <v>15457</v>
      </c>
      <c r="C24" s="9">
        <v>26.7660959</v>
      </c>
      <c r="D24" s="9">
        <v>2.1273358</v>
      </c>
      <c r="E24" s="9">
        <v>15.6032782</v>
      </c>
      <c r="F24" s="9">
        <v>29.7139284</v>
      </c>
      <c r="H24" s="8" t="str">
        <f t="shared" si="0"/>
        <v>26.77 (2.13)</v>
      </c>
    </row>
    <row r="26" spans="1:8" x14ac:dyDescent="0.3">
      <c r="A26" s="1" t="s">
        <v>71</v>
      </c>
    </row>
    <row r="27" spans="1:8" ht="17.25" thickBot="1" x14ac:dyDescent="0.35"/>
    <row r="28" spans="1:8" x14ac:dyDescent="0.3">
      <c r="A28" s="4" t="s">
        <v>45</v>
      </c>
      <c r="B28" s="5" t="s">
        <v>46</v>
      </c>
      <c r="C28" s="5" t="s">
        <v>47</v>
      </c>
      <c r="D28" s="5" t="s">
        <v>48</v>
      </c>
      <c r="E28" s="5" t="s">
        <v>49</v>
      </c>
      <c r="F28" s="5" t="s">
        <v>50</v>
      </c>
    </row>
    <row r="29" spans="1:8" x14ac:dyDescent="0.3">
      <c r="A29" s="11" t="s">
        <v>51</v>
      </c>
      <c r="B29" s="9">
        <v>17322</v>
      </c>
      <c r="C29" s="9">
        <v>49.2724859</v>
      </c>
      <c r="D29" s="9">
        <v>16.0260848</v>
      </c>
      <c r="E29" s="9">
        <v>19</v>
      </c>
      <c r="F29" s="9">
        <v>80</v>
      </c>
      <c r="H29" s="8" t="str">
        <f>TEXT(C29,"0.00")&amp;" ("&amp;TEXT(D29,"0.00")&amp;")"</f>
        <v>49.27 (16.03)</v>
      </c>
    </row>
    <row r="30" spans="1:8" x14ac:dyDescent="0.3">
      <c r="A30" s="11" t="s">
        <v>52</v>
      </c>
      <c r="B30" s="9">
        <v>17322</v>
      </c>
      <c r="C30" s="9">
        <v>22.5786412</v>
      </c>
      <c r="D30" s="9">
        <v>1.4280058</v>
      </c>
      <c r="E30" s="9">
        <v>16.0899015</v>
      </c>
      <c r="F30" s="9">
        <v>29.064149400000002</v>
      </c>
      <c r="H30" s="8" t="str">
        <f t="shared" ref="H30:H47" si="1">TEXT(C30,"0.00")&amp;" ("&amp;TEXT(D30,"0.00")&amp;")"</f>
        <v>22.58 (1.43)</v>
      </c>
    </row>
    <row r="31" spans="1:8" x14ac:dyDescent="0.3">
      <c r="A31" s="11" t="s">
        <v>53</v>
      </c>
      <c r="B31" s="9">
        <v>17322</v>
      </c>
      <c r="C31" s="9">
        <v>78.9291652</v>
      </c>
      <c r="D31" s="9">
        <v>5.6819648999999997</v>
      </c>
      <c r="E31" s="9">
        <v>54.2</v>
      </c>
      <c r="F31" s="9">
        <v>104.8</v>
      </c>
      <c r="H31" s="8" t="str">
        <f t="shared" si="1"/>
        <v>78.93 (5.68)</v>
      </c>
    </row>
    <row r="32" spans="1:8" x14ac:dyDescent="0.3">
      <c r="A32" s="11" t="s">
        <v>54</v>
      </c>
      <c r="B32" s="9">
        <v>17322</v>
      </c>
      <c r="C32" s="9">
        <v>7.7441999999999997E-2</v>
      </c>
      <c r="D32" s="9">
        <v>4.6506000000000004E-3</v>
      </c>
      <c r="E32" s="9">
        <v>5.4297199999999997E-2</v>
      </c>
      <c r="F32" s="9">
        <v>0.1020525</v>
      </c>
      <c r="H32" s="8" t="str">
        <f t="shared" si="1"/>
        <v>0.08 (0.00)</v>
      </c>
    </row>
    <row r="33" spans="1:8" x14ac:dyDescent="0.3">
      <c r="A33" s="11" t="s">
        <v>55</v>
      </c>
      <c r="B33" s="9">
        <v>17322</v>
      </c>
      <c r="C33" s="9">
        <v>116.693973</v>
      </c>
      <c r="D33" s="9">
        <v>16.310147600000001</v>
      </c>
      <c r="E33" s="9">
        <v>70</v>
      </c>
      <c r="F33" s="9">
        <v>243</v>
      </c>
      <c r="H33" s="8" t="str">
        <f t="shared" si="1"/>
        <v>116.69 (16.31)</v>
      </c>
    </row>
    <row r="34" spans="1:8" x14ac:dyDescent="0.3">
      <c r="A34" s="11" t="s">
        <v>56</v>
      </c>
      <c r="B34" s="9">
        <v>17322</v>
      </c>
      <c r="C34" s="9">
        <v>95.322422399999994</v>
      </c>
      <c r="D34" s="9">
        <v>15.4430373</v>
      </c>
      <c r="E34" s="9">
        <v>40</v>
      </c>
      <c r="F34" s="9">
        <v>465</v>
      </c>
      <c r="H34" s="8" t="str">
        <f t="shared" si="1"/>
        <v>95.32 (15.44)</v>
      </c>
    </row>
    <row r="35" spans="1:8" x14ac:dyDescent="0.3">
      <c r="A35" s="11" t="s">
        <v>57</v>
      </c>
      <c r="B35" s="9">
        <v>17322</v>
      </c>
      <c r="C35" s="9">
        <v>188.8872532</v>
      </c>
      <c r="D35" s="9">
        <v>35.475042700000003</v>
      </c>
      <c r="E35" s="9">
        <v>71</v>
      </c>
      <c r="F35" s="9">
        <v>381</v>
      </c>
      <c r="H35" s="8" t="str">
        <f t="shared" si="1"/>
        <v>188.89 (35.48)</v>
      </c>
    </row>
    <row r="36" spans="1:8" ht="25.5" x14ac:dyDescent="0.3">
      <c r="A36" s="11" t="s">
        <v>58</v>
      </c>
      <c r="B36" s="9">
        <v>17322</v>
      </c>
      <c r="C36" s="9">
        <v>53.998510199999998</v>
      </c>
      <c r="D36" s="9">
        <v>10.3373586</v>
      </c>
      <c r="E36" s="9">
        <v>17.027999999999999</v>
      </c>
      <c r="F36" s="9">
        <v>116.008</v>
      </c>
      <c r="H36" s="8" t="str">
        <f t="shared" si="1"/>
        <v>54.00 (10.34)</v>
      </c>
    </row>
    <row r="37" spans="1:8" x14ac:dyDescent="0.3">
      <c r="A37" s="11" t="s">
        <v>59</v>
      </c>
      <c r="B37" s="9">
        <v>17322</v>
      </c>
      <c r="C37" s="9">
        <v>100.83852899999999</v>
      </c>
      <c r="D37" s="9">
        <v>48.8999144</v>
      </c>
      <c r="E37" s="9">
        <v>20</v>
      </c>
      <c r="F37" s="9">
        <v>764</v>
      </c>
      <c r="H37" s="8" t="str">
        <f t="shared" si="1"/>
        <v>100.84 (48.90)</v>
      </c>
    </row>
    <row r="38" spans="1:8" x14ac:dyDescent="0.3">
      <c r="A38" s="11" t="s">
        <v>60</v>
      </c>
      <c r="B38" s="9">
        <v>17322</v>
      </c>
      <c r="C38" s="9">
        <v>21.993361</v>
      </c>
      <c r="D38" s="9">
        <v>13.4283831</v>
      </c>
      <c r="E38" s="9">
        <v>8</v>
      </c>
      <c r="F38" s="9">
        <v>532</v>
      </c>
      <c r="H38" s="8" t="str">
        <f t="shared" si="1"/>
        <v>21.99 (13.43)</v>
      </c>
    </row>
    <row r="39" spans="1:8" x14ac:dyDescent="0.3">
      <c r="A39" s="11" t="s">
        <v>61</v>
      </c>
      <c r="B39" s="9">
        <v>17322</v>
      </c>
      <c r="C39" s="9">
        <v>19.090174300000001</v>
      </c>
      <c r="D39" s="9">
        <v>16.261330600000001</v>
      </c>
      <c r="E39" s="9">
        <v>1</v>
      </c>
      <c r="F39" s="9">
        <v>768</v>
      </c>
      <c r="H39" s="8" t="str">
        <f t="shared" si="1"/>
        <v>19.09 (16.26)</v>
      </c>
    </row>
    <row r="40" spans="1:8" x14ac:dyDescent="0.3">
      <c r="A40" s="11" t="s">
        <v>62</v>
      </c>
      <c r="B40" s="9">
        <v>17322</v>
      </c>
      <c r="C40" s="9">
        <v>13.882992700000001</v>
      </c>
      <c r="D40" s="9">
        <v>1.5206067000000001</v>
      </c>
      <c r="E40" s="9">
        <v>5</v>
      </c>
      <c r="F40" s="9">
        <v>20.399999999999999</v>
      </c>
      <c r="H40" s="8" t="str">
        <f t="shared" si="1"/>
        <v>13.88 (1.52)</v>
      </c>
    </row>
    <row r="41" spans="1:8" x14ac:dyDescent="0.3">
      <c r="A41" s="11" t="s">
        <v>63</v>
      </c>
      <c r="B41" s="9">
        <v>17322</v>
      </c>
      <c r="C41" s="9">
        <v>14.4934534</v>
      </c>
      <c r="D41" s="9">
        <v>4.4881406000000004</v>
      </c>
      <c r="E41" s="9">
        <v>3</v>
      </c>
      <c r="F41" s="9">
        <v>140</v>
      </c>
      <c r="H41" s="8" t="str">
        <f t="shared" si="1"/>
        <v>14.49 (4.49)</v>
      </c>
    </row>
    <row r="42" spans="1:8" x14ac:dyDescent="0.3">
      <c r="A42" s="11" t="s">
        <v>64</v>
      </c>
      <c r="B42" s="9">
        <v>17322</v>
      </c>
      <c r="C42" s="9">
        <v>0.81791130000000001</v>
      </c>
      <c r="D42" s="9">
        <v>0.23530509999999999</v>
      </c>
      <c r="E42" s="9">
        <v>0.33</v>
      </c>
      <c r="F42" s="9">
        <v>14.38</v>
      </c>
      <c r="H42" s="8" t="str">
        <f t="shared" si="1"/>
        <v>0.82 (0.24)</v>
      </c>
    </row>
    <row r="43" spans="1:8" x14ac:dyDescent="0.3">
      <c r="A43" s="11" t="s">
        <v>65</v>
      </c>
      <c r="B43" s="9">
        <v>17322</v>
      </c>
      <c r="C43" s="9">
        <v>5.8407515999999999</v>
      </c>
      <c r="D43" s="9">
        <v>0.82387460000000001</v>
      </c>
      <c r="E43" s="9">
        <v>5</v>
      </c>
      <c r="F43" s="9">
        <v>9</v>
      </c>
      <c r="H43" s="8" t="str">
        <f t="shared" si="1"/>
        <v>5.84 (0.82)</v>
      </c>
    </row>
    <row r="44" spans="1:8" x14ac:dyDescent="0.3">
      <c r="A44" s="11" t="s">
        <v>66</v>
      </c>
      <c r="B44" s="9">
        <v>17322</v>
      </c>
      <c r="C44" s="9">
        <v>8.3685150999999998</v>
      </c>
      <c r="D44" s="9">
        <v>0.47172799999999998</v>
      </c>
      <c r="E44" s="9">
        <v>6.7923444000000002</v>
      </c>
      <c r="F44" s="9">
        <v>10.626242100000001</v>
      </c>
      <c r="H44" s="8" t="str">
        <f t="shared" si="1"/>
        <v>8.37 (0.47)</v>
      </c>
    </row>
    <row r="45" spans="1:8" x14ac:dyDescent="0.3">
      <c r="A45" s="11" t="s">
        <v>67</v>
      </c>
      <c r="B45" s="9">
        <v>17322</v>
      </c>
      <c r="C45" s="9">
        <v>0.64863230000000005</v>
      </c>
      <c r="D45" s="9">
        <v>5.9892300000000002E-2</v>
      </c>
      <c r="E45" s="9">
        <v>0.44715719999999998</v>
      </c>
      <c r="F45" s="9">
        <v>0.96114219999999995</v>
      </c>
      <c r="H45" s="8" t="str">
        <f t="shared" si="1"/>
        <v>0.65 (0.06)</v>
      </c>
    </row>
    <row r="46" spans="1:8" x14ac:dyDescent="0.3">
      <c r="A46" s="11" t="s">
        <v>68</v>
      </c>
      <c r="B46" s="9">
        <v>17322</v>
      </c>
      <c r="C46" s="9">
        <v>0.23585829999999999</v>
      </c>
      <c r="D46" s="9">
        <v>0.2192663</v>
      </c>
      <c r="E46" s="10">
        <v>-0.56967670000000004</v>
      </c>
      <c r="F46" s="9">
        <v>1.3033098000000001</v>
      </c>
      <c r="H46" s="8" t="str">
        <f t="shared" si="1"/>
        <v>0.24 (0.22)</v>
      </c>
    </row>
    <row r="47" spans="1:8" x14ac:dyDescent="0.3">
      <c r="A47" s="11" t="s">
        <v>69</v>
      </c>
      <c r="B47" s="9">
        <v>17322</v>
      </c>
      <c r="C47" s="9">
        <v>32.1481055</v>
      </c>
      <c r="D47" s="9">
        <v>1.3633388</v>
      </c>
      <c r="E47" s="9">
        <v>29.714365600000001</v>
      </c>
      <c r="F47" s="9">
        <v>34.4682982</v>
      </c>
      <c r="H47" s="8" t="str">
        <f t="shared" si="1"/>
        <v>32.15 (1.36)</v>
      </c>
    </row>
    <row r="49" spans="1:8" x14ac:dyDescent="0.3">
      <c r="A49" s="1" t="s">
        <v>72</v>
      </c>
    </row>
    <row r="50" spans="1:8" ht="17.25" thickBot="1" x14ac:dyDescent="0.35"/>
    <row r="51" spans="1:8" x14ac:dyDescent="0.3">
      <c r="A51" s="4" t="s">
        <v>45</v>
      </c>
      <c r="B51" s="5" t="s">
        <v>46</v>
      </c>
      <c r="C51" s="5" t="s">
        <v>47</v>
      </c>
      <c r="D51" s="5" t="s">
        <v>48</v>
      </c>
      <c r="E51" s="5" t="s">
        <v>49</v>
      </c>
      <c r="F51" s="5" t="s">
        <v>50</v>
      </c>
    </row>
    <row r="52" spans="1:8" x14ac:dyDescent="0.3">
      <c r="A52" s="11" t="s">
        <v>51</v>
      </c>
      <c r="B52" s="9">
        <v>17828</v>
      </c>
      <c r="C52" s="9">
        <v>52.910758399999999</v>
      </c>
      <c r="D52" s="9">
        <v>15.338222399999999</v>
      </c>
      <c r="E52" s="9">
        <v>19</v>
      </c>
      <c r="F52" s="9">
        <v>80</v>
      </c>
      <c r="H52" s="8" t="str">
        <f>TEXT(C52,"0.00")&amp;" ("&amp;TEXT(D52,"0.00")&amp;")"</f>
        <v>52.91 (15.34)</v>
      </c>
    </row>
    <row r="53" spans="1:8" x14ac:dyDescent="0.3">
      <c r="A53" s="11" t="s">
        <v>52</v>
      </c>
      <c r="B53" s="9">
        <v>17828</v>
      </c>
      <c r="C53" s="9">
        <v>24.585460600000001</v>
      </c>
      <c r="D53" s="9">
        <v>1.6529510000000001</v>
      </c>
      <c r="E53" s="9">
        <v>18.048201299999999</v>
      </c>
      <c r="F53" s="9">
        <v>31.325904900000001</v>
      </c>
      <c r="H53" s="8" t="str">
        <f t="shared" ref="H53:H70" si="2">TEXT(C53,"0.00")&amp;" ("&amp;TEXT(D53,"0.00")&amp;")"</f>
        <v>24.59 (1.65)</v>
      </c>
    </row>
    <row r="54" spans="1:8" x14ac:dyDescent="0.3">
      <c r="A54" s="11" t="s">
        <v>53</v>
      </c>
      <c r="B54" s="9">
        <v>17828</v>
      </c>
      <c r="C54" s="9">
        <v>85.065273700000006</v>
      </c>
      <c r="D54" s="9">
        <v>5.896401</v>
      </c>
      <c r="E54" s="9">
        <v>61.8</v>
      </c>
      <c r="F54" s="9">
        <v>109.1</v>
      </c>
      <c r="H54" s="8" t="str">
        <f t="shared" si="2"/>
        <v>85.07 (5.90)</v>
      </c>
    </row>
    <row r="55" spans="1:8" x14ac:dyDescent="0.3">
      <c r="A55" s="11" t="s">
        <v>54</v>
      </c>
      <c r="B55" s="9">
        <v>17828</v>
      </c>
      <c r="C55" s="9">
        <v>7.8705800000000006E-2</v>
      </c>
      <c r="D55" s="9">
        <v>4.4809000000000003E-3</v>
      </c>
      <c r="E55" s="9">
        <v>5.4819399999999997E-2</v>
      </c>
      <c r="F55" s="9">
        <v>0.100623</v>
      </c>
      <c r="H55" s="8" t="str">
        <f t="shared" si="2"/>
        <v>0.08 (0.00)</v>
      </c>
    </row>
    <row r="56" spans="1:8" x14ac:dyDescent="0.3">
      <c r="A56" s="11" t="s">
        <v>55</v>
      </c>
      <c r="B56" s="9">
        <v>17828</v>
      </c>
      <c r="C56" s="9">
        <v>121.1807269</v>
      </c>
      <c r="D56" s="9">
        <v>16.217359800000001</v>
      </c>
      <c r="E56" s="9">
        <v>77</v>
      </c>
      <c r="F56" s="9">
        <v>232</v>
      </c>
      <c r="H56" s="8" t="str">
        <f t="shared" si="2"/>
        <v>121.18 (16.22)</v>
      </c>
    </row>
    <row r="57" spans="1:8" x14ac:dyDescent="0.3">
      <c r="A57" s="11" t="s">
        <v>56</v>
      </c>
      <c r="B57" s="9">
        <v>17828</v>
      </c>
      <c r="C57" s="9">
        <v>100.8766547</v>
      </c>
      <c r="D57" s="9">
        <v>20.474058299999999</v>
      </c>
      <c r="E57" s="9">
        <v>54</v>
      </c>
      <c r="F57" s="9">
        <v>455</v>
      </c>
      <c r="H57" s="8" t="str">
        <f t="shared" si="2"/>
        <v>100.88 (20.47)</v>
      </c>
    </row>
    <row r="58" spans="1:8" x14ac:dyDescent="0.3">
      <c r="A58" s="11" t="s">
        <v>57</v>
      </c>
      <c r="B58" s="9">
        <v>17828</v>
      </c>
      <c r="C58" s="9">
        <v>191.49450300000001</v>
      </c>
      <c r="D58" s="9">
        <v>38.109416400000001</v>
      </c>
      <c r="E58" s="9">
        <v>72</v>
      </c>
      <c r="F58" s="9">
        <v>457</v>
      </c>
      <c r="H58" s="8" t="str">
        <f t="shared" si="2"/>
        <v>191.49 (38.11)</v>
      </c>
    </row>
    <row r="59" spans="1:8" ht="25.5" x14ac:dyDescent="0.3">
      <c r="A59" s="11" t="s">
        <v>58</v>
      </c>
      <c r="B59" s="9">
        <v>17828</v>
      </c>
      <c r="C59" s="9">
        <v>47.989019599999999</v>
      </c>
      <c r="D59" s="9">
        <v>9.2982800000000001</v>
      </c>
      <c r="E59" s="9">
        <v>17.027999999999999</v>
      </c>
      <c r="F59" s="9">
        <v>107.928</v>
      </c>
      <c r="H59" s="8" t="str">
        <f t="shared" si="2"/>
        <v>47.99 (9.30)</v>
      </c>
    </row>
    <row r="60" spans="1:8" x14ac:dyDescent="0.3">
      <c r="A60" s="11" t="s">
        <v>59</v>
      </c>
      <c r="B60" s="9">
        <v>17828</v>
      </c>
      <c r="C60" s="9">
        <v>135.1400606</v>
      </c>
      <c r="D60" s="9">
        <v>72.249338899999998</v>
      </c>
      <c r="E60" s="9">
        <v>19</v>
      </c>
      <c r="F60" s="9">
        <v>1573</v>
      </c>
      <c r="H60" s="8" t="str">
        <f t="shared" si="2"/>
        <v>135.14 (72.25)</v>
      </c>
    </row>
    <row r="61" spans="1:8" x14ac:dyDescent="0.3">
      <c r="A61" s="11" t="s">
        <v>60</v>
      </c>
      <c r="B61" s="9">
        <v>17828</v>
      </c>
      <c r="C61" s="9">
        <v>23.362239200000001</v>
      </c>
      <c r="D61" s="9">
        <v>12.124359500000001</v>
      </c>
      <c r="E61" s="9">
        <v>9</v>
      </c>
      <c r="F61" s="9">
        <v>491</v>
      </c>
      <c r="H61" s="8" t="str">
        <f t="shared" si="2"/>
        <v>23.36 (12.12)</v>
      </c>
    </row>
    <row r="62" spans="1:8" x14ac:dyDescent="0.3">
      <c r="A62" s="11" t="s">
        <v>61</v>
      </c>
      <c r="B62" s="9">
        <v>17828</v>
      </c>
      <c r="C62" s="9">
        <v>23.0245681</v>
      </c>
      <c r="D62" s="9">
        <v>17.761512400000001</v>
      </c>
      <c r="E62" s="9">
        <v>3</v>
      </c>
      <c r="F62" s="9">
        <v>893</v>
      </c>
      <c r="H62" s="8" t="str">
        <f t="shared" si="2"/>
        <v>23.02 (17.76)</v>
      </c>
    </row>
    <row r="63" spans="1:8" x14ac:dyDescent="0.3">
      <c r="A63" s="11" t="s">
        <v>62</v>
      </c>
      <c r="B63" s="9">
        <v>17828</v>
      </c>
      <c r="C63" s="9">
        <v>14.272952699999999</v>
      </c>
      <c r="D63" s="9">
        <v>1.5307663</v>
      </c>
      <c r="E63" s="9">
        <v>3.9</v>
      </c>
      <c r="F63" s="9">
        <v>21.3</v>
      </c>
      <c r="H63" s="8" t="str">
        <f t="shared" si="2"/>
        <v>14.27 (1.53)</v>
      </c>
    </row>
    <row r="64" spans="1:8" x14ac:dyDescent="0.3">
      <c r="A64" s="11" t="s">
        <v>63</v>
      </c>
      <c r="B64" s="9">
        <v>17828</v>
      </c>
      <c r="C64" s="9">
        <v>15.044143999999999</v>
      </c>
      <c r="D64" s="9">
        <v>4.4405492000000004</v>
      </c>
      <c r="E64" s="9">
        <v>2</v>
      </c>
      <c r="F64" s="9">
        <v>77</v>
      </c>
      <c r="H64" s="8" t="str">
        <f t="shared" si="2"/>
        <v>15.04 (4.44)</v>
      </c>
    </row>
    <row r="65" spans="1:8" x14ac:dyDescent="0.3">
      <c r="A65" s="11" t="s">
        <v>64</v>
      </c>
      <c r="B65" s="9">
        <v>17828</v>
      </c>
      <c r="C65" s="9">
        <v>0.86046999999999996</v>
      </c>
      <c r="D65" s="9">
        <v>0.22797110000000001</v>
      </c>
      <c r="E65" s="9">
        <v>0.4</v>
      </c>
      <c r="F65" s="9">
        <v>9.8000000000000007</v>
      </c>
      <c r="H65" s="8" t="str">
        <f t="shared" si="2"/>
        <v>0.86 (0.23)</v>
      </c>
    </row>
    <row r="66" spans="1:8" x14ac:dyDescent="0.3">
      <c r="A66" s="11" t="s">
        <v>65</v>
      </c>
      <c r="B66" s="9">
        <v>17828</v>
      </c>
      <c r="C66" s="9">
        <v>5.7772043999999996</v>
      </c>
      <c r="D66" s="9">
        <v>0.80890030000000002</v>
      </c>
      <c r="E66" s="9">
        <v>5</v>
      </c>
      <c r="F66" s="9">
        <v>9</v>
      </c>
      <c r="H66" s="8" t="str">
        <f t="shared" si="2"/>
        <v>5.78 (0.81)</v>
      </c>
    </row>
    <row r="67" spans="1:8" x14ac:dyDescent="0.3">
      <c r="A67" s="11" t="s">
        <v>66</v>
      </c>
      <c r="B67" s="9">
        <v>17828</v>
      </c>
      <c r="C67" s="9">
        <v>8.6994392999999999</v>
      </c>
      <c r="D67" s="9">
        <v>0.50505089999999997</v>
      </c>
      <c r="E67" s="9">
        <v>6.7080840999999998</v>
      </c>
      <c r="F67" s="9">
        <v>11.452012399999999</v>
      </c>
      <c r="H67" s="8" t="str">
        <f t="shared" si="2"/>
        <v>8.70 (0.51)</v>
      </c>
    </row>
    <row r="68" spans="1:8" x14ac:dyDescent="0.3">
      <c r="A68" s="11" t="s">
        <v>67</v>
      </c>
      <c r="B68" s="9">
        <v>17828</v>
      </c>
      <c r="C68" s="9">
        <v>0.68515150000000002</v>
      </c>
      <c r="D68" s="9">
        <v>6.0982799999999997E-2</v>
      </c>
      <c r="E68" s="9">
        <v>0.44151820000000003</v>
      </c>
      <c r="F68" s="9">
        <v>0.98108759999999995</v>
      </c>
      <c r="H68" s="8" t="str">
        <f t="shared" si="2"/>
        <v>0.69 (0.06)</v>
      </c>
    </row>
    <row r="69" spans="1:8" x14ac:dyDescent="0.3">
      <c r="A69" s="11" t="s">
        <v>68</v>
      </c>
      <c r="B69" s="9">
        <v>17828</v>
      </c>
      <c r="C69" s="9">
        <v>0.40864499999999998</v>
      </c>
      <c r="D69" s="9">
        <v>0.23072529999999999</v>
      </c>
      <c r="E69" s="10">
        <v>-0.39840700000000001</v>
      </c>
      <c r="F69" s="9">
        <v>1.5539082</v>
      </c>
      <c r="H69" s="8" t="str">
        <f t="shared" si="2"/>
        <v>0.41 (0.23)</v>
      </c>
    </row>
    <row r="70" spans="1:8" x14ac:dyDescent="0.3">
      <c r="A70" s="11" t="s">
        <v>69</v>
      </c>
      <c r="B70" s="9">
        <v>17828</v>
      </c>
      <c r="C70" s="9">
        <v>36.935640499999998</v>
      </c>
      <c r="D70" s="9">
        <v>1.4941521</v>
      </c>
      <c r="E70" s="9">
        <v>34.468389000000002</v>
      </c>
      <c r="F70" s="9">
        <v>39.679793099999998</v>
      </c>
      <c r="H70" s="8" t="str">
        <f t="shared" si="2"/>
        <v>36.94 (1.49)</v>
      </c>
    </row>
    <row r="72" spans="1:8" x14ac:dyDescent="0.3">
      <c r="A72" s="1" t="s">
        <v>73</v>
      </c>
    </row>
    <row r="73" spans="1:8" ht="17.25" thickBot="1" x14ac:dyDescent="0.35"/>
    <row r="74" spans="1:8" x14ac:dyDescent="0.3">
      <c r="A74" s="4" t="s">
        <v>45</v>
      </c>
      <c r="B74" s="5" t="s">
        <v>46</v>
      </c>
      <c r="C74" s="5" t="s">
        <v>47</v>
      </c>
      <c r="D74" s="5" t="s">
        <v>48</v>
      </c>
      <c r="E74" s="5" t="s">
        <v>49</v>
      </c>
      <c r="F74" s="5" t="s">
        <v>50</v>
      </c>
    </row>
    <row r="75" spans="1:8" x14ac:dyDescent="0.3">
      <c r="A75" s="11" t="s">
        <v>51</v>
      </c>
      <c r="B75" s="9">
        <v>18028</v>
      </c>
      <c r="C75" s="9">
        <v>51.462447300000001</v>
      </c>
      <c r="D75" s="9">
        <v>14.949013000000001</v>
      </c>
      <c r="E75" s="9">
        <v>19</v>
      </c>
      <c r="F75" s="9">
        <v>80</v>
      </c>
      <c r="H75" s="8" t="str">
        <f>TEXT(C75,"0.00")&amp;" ("&amp;TEXT(D75,"0.00")&amp;")"</f>
        <v>51.46 (14.95)</v>
      </c>
    </row>
    <row r="76" spans="1:8" x14ac:dyDescent="0.3">
      <c r="A76" s="11" t="s">
        <v>52</v>
      </c>
      <c r="B76" s="9">
        <v>18028</v>
      </c>
      <c r="C76" s="9">
        <v>27.776724099999999</v>
      </c>
      <c r="D76" s="9">
        <v>2.9568718000000001</v>
      </c>
      <c r="E76" s="9">
        <v>18.6167634</v>
      </c>
      <c r="F76" s="9">
        <v>62.640542099999998</v>
      </c>
      <c r="H76" s="8" t="str">
        <f t="shared" ref="H76:H93" si="3">TEXT(C76,"0.00")&amp;" ("&amp;TEXT(D76,"0.00")&amp;")"</f>
        <v>27.78 (2.96)</v>
      </c>
    </row>
    <row r="77" spans="1:8" x14ac:dyDescent="0.3">
      <c r="A77" s="11" t="s">
        <v>53</v>
      </c>
      <c r="B77" s="9">
        <v>18028</v>
      </c>
      <c r="C77" s="9">
        <v>92.901963600000002</v>
      </c>
      <c r="D77" s="9">
        <v>7.7599203000000001</v>
      </c>
      <c r="E77" s="9">
        <v>52.3</v>
      </c>
      <c r="F77" s="9">
        <v>166.1</v>
      </c>
      <c r="H77" s="8" t="str">
        <f t="shared" si="3"/>
        <v>92.90 (7.76)</v>
      </c>
    </row>
    <row r="78" spans="1:8" x14ac:dyDescent="0.3">
      <c r="A78" s="11" t="s">
        <v>54</v>
      </c>
      <c r="B78" s="9">
        <v>18028</v>
      </c>
      <c r="C78" s="9">
        <v>7.8986700000000007E-2</v>
      </c>
      <c r="D78" s="9">
        <v>4.2265000000000002E-3</v>
      </c>
      <c r="E78" s="9">
        <v>4.8055199999999999E-2</v>
      </c>
      <c r="F78" s="9">
        <v>0.15107219999999999</v>
      </c>
      <c r="H78" s="8" t="str">
        <f t="shared" si="3"/>
        <v>0.08 (0.00)</v>
      </c>
    </row>
    <row r="79" spans="1:8" x14ac:dyDescent="0.3">
      <c r="A79" s="11" t="s">
        <v>55</v>
      </c>
      <c r="B79" s="9">
        <v>18028</v>
      </c>
      <c r="C79" s="9">
        <v>124.2276736</v>
      </c>
      <c r="D79" s="9">
        <v>15.4052419</v>
      </c>
      <c r="E79" s="9">
        <v>78</v>
      </c>
      <c r="F79" s="9">
        <v>220</v>
      </c>
      <c r="H79" s="8" t="str">
        <f t="shared" si="3"/>
        <v>124.23 (15.41)</v>
      </c>
    </row>
    <row r="80" spans="1:8" x14ac:dyDescent="0.3">
      <c r="A80" s="11" t="s">
        <v>56</v>
      </c>
      <c r="B80" s="9">
        <v>18028</v>
      </c>
      <c r="C80" s="9">
        <v>109.87674730000001</v>
      </c>
      <c r="D80" s="9">
        <v>30.363497500000001</v>
      </c>
      <c r="E80" s="9">
        <v>53</v>
      </c>
      <c r="F80" s="9">
        <v>553</v>
      </c>
      <c r="H80" s="8" t="str">
        <f t="shared" si="3"/>
        <v>109.88 (30.36)</v>
      </c>
    </row>
    <row r="81" spans="1:8" x14ac:dyDescent="0.3">
      <c r="A81" s="11" t="s">
        <v>57</v>
      </c>
      <c r="B81" s="9">
        <v>18028</v>
      </c>
      <c r="C81" s="9">
        <v>193.94641669999999</v>
      </c>
      <c r="D81" s="9">
        <v>39.8856538</v>
      </c>
      <c r="E81" s="9">
        <v>66</v>
      </c>
      <c r="F81" s="9">
        <v>554</v>
      </c>
      <c r="H81" s="8" t="str">
        <f t="shared" si="3"/>
        <v>193.95 (39.89)</v>
      </c>
    </row>
    <row r="82" spans="1:8" ht="25.5" x14ac:dyDescent="0.3">
      <c r="A82" s="11" t="s">
        <v>58</v>
      </c>
      <c r="B82" s="9">
        <v>18028</v>
      </c>
      <c r="C82" s="9">
        <v>41.598406699999998</v>
      </c>
      <c r="D82" s="9">
        <v>8.4118855999999997</v>
      </c>
      <c r="E82" s="9">
        <v>8</v>
      </c>
      <c r="F82" s="9">
        <v>100.104</v>
      </c>
      <c r="H82" s="8" t="str">
        <f t="shared" si="3"/>
        <v>41.60 (8.41)</v>
      </c>
    </row>
    <row r="83" spans="1:8" x14ac:dyDescent="0.3">
      <c r="A83" s="11" t="s">
        <v>59</v>
      </c>
      <c r="B83" s="9">
        <v>18028</v>
      </c>
      <c r="C83" s="9">
        <v>212.43021970000001</v>
      </c>
      <c r="D83" s="9">
        <v>160.54689379999999</v>
      </c>
      <c r="E83" s="9">
        <v>26</v>
      </c>
      <c r="F83" s="9">
        <v>2774</v>
      </c>
      <c r="H83" s="8" t="str">
        <f t="shared" si="3"/>
        <v>212.43 (160.55)</v>
      </c>
    </row>
    <row r="84" spans="1:8" x14ac:dyDescent="0.3">
      <c r="A84" s="11" t="s">
        <v>60</v>
      </c>
      <c r="B84" s="9">
        <v>18028</v>
      </c>
      <c r="C84" s="9">
        <v>26.645939599999998</v>
      </c>
      <c r="D84" s="9">
        <v>16.646636399999998</v>
      </c>
      <c r="E84" s="9">
        <v>6</v>
      </c>
      <c r="F84" s="9">
        <v>927</v>
      </c>
      <c r="H84" s="8" t="str">
        <f t="shared" si="3"/>
        <v>26.65 (16.65)</v>
      </c>
    </row>
    <row r="85" spans="1:8" x14ac:dyDescent="0.3">
      <c r="A85" s="11" t="s">
        <v>61</v>
      </c>
      <c r="B85" s="9">
        <v>18028</v>
      </c>
      <c r="C85" s="9">
        <v>31.401042799999999</v>
      </c>
      <c r="D85" s="9">
        <v>23.486047200000002</v>
      </c>
      <c r="E85" s="9">
        <v>4</v>
      </c>
      <c r="F85" s="9">
        <v>402</v>
      </c>
      <c r="H85" s="8" t="str">
        <f t="shared" si="3"/>
        <v>31.40 (23.49)</v>
      </c>
    </row>
    <row r="86" spans="1:8" x14ac:dyDescent="0.3">
      <c r="A86" s="11" t="s">
        <v>62</v>
      </c>
      <c r="B86" s="9">
        <v>18028</v>
      </c>
      <c r="C86" s="9">
        <v>14.6371866</v>
      </c>
      <c r="D86" s="9">
        <v>1.556284</v>
      </c>
      <c r="E86" s="9">
        <v>5.3</v>
      </c>
      <c r="F86" s="9">
        <v>19.600000000000001</v>
      </c>
      <c r="H86" s="8" t="str">
        <f t="shared" si="3"/>
        <v>14.64 (1.56)</v>
      </c>
    </row>
    <row r="87" spans="1:8" x14ac:dyDescent="0.3">
      <c r="A87" s="11" t="s">
        <v>63</v>
      </c>
      <c r="B87" s="9">
        <v>18028</v>
      </c>
      <c r="C87" s="9">
        <v>14.966441100000001</v>
      </c>
      <c r="D87" s="9">
        <v>4.4783546000000003</v>
      </c>
      <c r="E87" s="9">
        <v>3</v>
      </c>
      <c r="F87" s="9">
        <v>83</v>
      </c>
      <c r="H87" s="8" t="str">
        <f t="shared" si="3"/>
        <v>14.97 (4.48)</v>
      </c>
    </row>
    <row r="88" spans="1:8" x14ac:dyDescent="0.3">
      <c r="A88" s="11" t="s">
        <v>64</v>
      </c>
      <c r="B88" s="9">
        <v>18028</v>
      </c>
      <c r="C88" s="9">
        <v>0.88907590000000003</v>
      </c>
      <c r="D88" s="9">
        <v>0.25724019999999997</v>
      </c>
      <c r="E88" s="9">
        <v>0.2</v>
      </c>
      <c r="F88" s="9">
        <v>10.48</v>
      </c>
      <c r="H88" s="8" t="str">
        <f t="shared" si="3"/>
        <v>0.89 (0.26)</v>
      </c>
    </row>
    <row r="89" spans="1:8" x14ac:dyDescent="0.3">
      <c r="A89" s="11" t="s">
        <v>65</v>
      </c>
      <c r="B89" s="9">
        <v>18028</v>
      </c>
      <c r="C89" s="9">
        <v>5.6600565999999999</v>
      </c>
      <c r="D89" s="9">
        <v>0.75826490000000002</v>
      </c>
      <c r="E89" s="9">
        <v>5</v>
      </c>
      <c r="F89" s="9">
        <v>9</v>
      </c>
      <c r="H89" s="8" t="str">
        <f t="shared" si="3"/>
        <v>5.66 (0.76)</v>
      </c>
    </row>
    <row r="90" spans="1:8" x14ac:dyDescent="0.3">
      <c r="A90" s="11" t="s">
        <v>66</v>
      </c>
      <c r="B90" s="9">
        <v>18028</v>
      </c>
      <c r="C90" s="9">
        <v>9.1639605999999993</v>
      </c>
      <c r="D90" s="9">
        <v>0.61345170000000004</v>
      </c>
      <c r="E90" s="9">
        <v>7.0758089000000002</v>
      </c>
      <c r="F90" s="9">
        <v>12.7290689</v>
      </c>
      <c r="H90" s="8" t="str">
        <f t="shared" si="3"/>
        <v>9.16 (0.61)</v>
      </c>
    </row>
    <row r="91" spans="1:8" x14ac:dyDescent="0.3">
      <c r="A91" s="11" t="s">
        <v>67</v>
      </c>
      <c r="B91" s="9">
        <v>18028</v>
      </c>
      <c r="C91" s="9">
        <v>0.72409920000000005</v>
      </c>
      <c r="D91" s="9">
        <v>6.4973500000000003E-2</v>
      </c>
      <c r="E91" s="9">
        <v>0.43864829999999999</v>
      </c>
      <c r="F91" s="9">
        <v>1.3241700999999999</v>
      </c>
      <c r="H91" s="8" t="str">
        <f t="shared" si="3"/>
        <v>0.72 (0.06)</v>
      </c>
    </row>
    <row r="92" spans="1:8" x14ac:dyDescent="0.3">
      <c r="A92" s="11" t="s">
        <v>68</v>
      </c>
      <c r="B92" s="9">
        <v>18028</v>
      </c>
      <c r="C92" s="9">
        <v>0.64140330000000001</v>
      </c>
      <c r="D92" s="9">
        <v>0.28041880000000002</v>
      </c>
      <c r="E92" s="10">
        <v>-0.2447116</v>
      </c>
      <c r="F92" s="9">
        <v>2.1147776999999999</v>
      </c>
      <c r="H92" s="8" t="str">
        <f t="shared" si="3"/>
        <v>0.64 (0.28)</v>
      </c>
    </row>
    <row r="93" spans="1:8" x14ac:dyDescent="0.3">
      <c r="A93" s="11" t="s">
        <v>69</v>
      </c>
      <c r="B93" s="9">
        <v>18028</v>
      </c>
      <c r="C93" s="9">
        <v>45.056752099999997</v>
      </c>
      <c r="D93" s="9">
        <v>4.9479613999999996</v>
      </c>
      <c r="E93" s="9">
        <v>39.680236200000003</v>
      </c>
      <c r="F93" s="9">
        <v>93.063441699999998</v>
      </c>
      <c r="H93" s="8" t="str">
        <f t="shared" si="3"/>
        <v>45.06 (4.95)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54CA-EA8D-4B1B-B5FA-6B2E4E95D66A}">
  <sheetPr filterMode="1"/>
  <dimension ref="A1:K133"/>
  <sheetViews>
    <sheetView workbookViewId="0">
      <selection activeCell="J16" sqref="J16"/>
    </sheetView>
  </sheetViews>
  <sheetFormatPr defaultRowHeight="16.5" x14ac:dyDescent="0.3"/>
  <cols>
    <col min="10" max="10" width="20.5" bestFit="1" customWidth="1"/>
  </cols>
  <sheetData>
    <row r="1" spans="1:11" x14ac:dyDescent="0.3">
      <c r="A1" s="1" t="s">
        <v>74</v>
      </c>
    </row>
    <row r="2" spans="1:11" hidden="1" x14ac:dyDescent="0.3"/>
    <row r="3" spans="1:11" ht="16.5" hidden="1" customHeight="1" x14ac:dyDescent="0.3">
      <c r="A3" s="24" t="s">
        <v>75</v>
      </c>
      <c r="B3" s="26"/>
    </row>
    <row r="4" spans="1:11" ht="26.25" hidden="1" thickBot="1" x14ac:dyDescent="0.35">
      <c r="A4" s="13" t="s">
        <v>76</v>
      </c>
      <c r="B4" s="2">
        <v>183</v>
      </c>
    </row>
    <row r="5" spans="1:11" ht="26.25" hidden="1" thickBot="1" x14ac:dyDescent="0.35">
      <c r="A5" s="13" t="s">
        <v>77</v>
      </c>
      <c r="B5" s="2">
        <v>2982</v>
      </c>
    </row>
    <row r="6" spans="1:11" ht="39" hidden="1" thickBot="1" x14ac:dyDescent="0.35">
      <c r="A6" s="13" t="s">
        <v>78</v>
      </c>
      <c r="B6" s="2">
        <v>68635</v>
      </c>
    </row>
    <row r="7" spans="1:11" ht="25.5" hidden="1" x14ac:dyDescent="0.3">
      <c r="A7" s="14" t="s">
        <v>79</v>
      </c>
      <c r="B7" s="2">
        <v>30251935.699999999</v>
      </c>
    </row>
    <row r="8" spans="1:11" hidden="1" x14ac:dyDescent="0.3"/>
    <row r="9" spans="1:11" ht="33" hidden="1" customHeight="1" x14ac:dyDescent="0.3">
      <c r="A9" s="24" t="s">
        <v>80</v>
      </c>
      <c r="B9" s="26"/>
    </row>
    <row r="10" spans="1:11" ht="33.75" hidden="1" thickBot="1" x14ac:dyDescent="0.35">
      <c r="A10" s="13" t="s">
        <v>81</v>
      </c>
      <c r="B10" s="2" t="s">
        <v>82</v>
      </c>
    </row>
    <row r="11" spans="1:11" ht="25.5" hidden="1" x14ac:dyDescent="0.3">
      <c r="A11" s="14" t="s">
        <v>83</v>
      </c>
      <c r="B11" s="2" t="s">
        <v>84</v>
      </c>
    </row>
    <row r="12" spans="1:11" hidden="1" x14ac:dyDescent="0.3"/>
    <row r="13" spans="1:11" ht="16.5" hidden="1" customHeight="1" x14ac:dyDescent="0.3">
      <c r="A13" s="24" t="s">
        <v>85</v>
      </c>
      <c r="B13" s="26"/>
      <c r="C13" s="26"/>
      <c r="D13" s="26"/>
      <c r="E13" s="26"/>
      <c r="F13" s="26"/>
      <c r="G13" s="26"/>
      <c r="H13" s="26"/>
    </row>
    <row r="14" spans="1:11" ht="33" hidden="1" customHeight="1" x14ac:dyDescent="0.3">
      <c r="A14" s="25" t="s">
        <v>1</v>
      </c>
      <c r="B14" s="27" t="s">
        <v>86</v>
      </c>
      <c r="C14" s="3" t="s">
        <v>87</v>
      </c>
      <c r="D14" s="3" t="s">
        <v>88</v>
      </c>
      <c r="E14" s="27" t="s">
        <v>90</v>
      </c>
      <c r="F14" s="3" t="s">
        <v>88</v>
      </c>
      <c r="G14" s="27" t="s">
        <v>91</v>
      </c>
      <c r="H14" s="27"/>
    </row>
    <row r="15" spans="1:11" ht="33" hidden="1" x14ac:dyDescent="0.3">
      <c r="A15" s="25"/>
      <c r="B15" s="27"/>
      <c r="C15" s="3" t="s">
        <v>86</v>
      </c>
      <c r="D15" s="3" t="s">
        <v>89</v>
      </c>
      <c r="E15" s="27"/>
      <c r="F15" s="3" t="s">
        <v>90</v>
      </c>
      <c r="G15" s="27" t="s">
        <v>92</v>
      </c>
      <c r="H15" s="27"/>
    </row>
    <row r="16" spans="1:11" ht="17.25" thickBot="1" x14ac:dyDescent="0.35">
      <c r="A16" s="13">
        <v>1</v>
      </c>
      <c r="B16" s="2">
        <v>21079</v>
      </c>
      <c r="C16" s="2">
        <v>11834513</v>
      </c>
      <c r="D16" s="2">
        <v>141523</v>
      </c>
      <c r="E16" s="2">
        <v>39.119900000000001</v>
      </c>
      <c r="F16" s="2">
        <v>0.31680000000000003</v>
      </c>
      <c r="G16" s="2">
        <v>38.498699999999999</v>
      </c>
      <c r="H16" s="2">
        <v>39.741</v>
      </c>
      <c r="J16" s="8" t="str">
        <f>TEXT(E16,"0.00")&amp;" ("&amp;TEXT(G16,"0.00")&amp;" to "&amp;TEXT(H16,"0.00")&amp;")"</f>
        <v>39.12 (38.50 to 39.74)</v>
      </c>
      <c r="K16" t="s">
        <v>24</v>
      </c>
    </row>
    <row r="17" spans="1:11" ht="17.25" thickBot="1" x14ac:dyDescent="0.35">
      <c r="A17" s="13">
        <v>2</v>
      </c>
      <c r="B17" s="2">
        <v>33470</v>
      </c>
      <c r="C17" s="2">
        <v>14667390</v>
      </c>
      <c r="D17" s="2">
        <v>140978</v>
      </c>
      <c r="E17" s="2">
        <v>48.484099999999998</v>
      </c>
      <c r="F17" s="2">
        <v>0.27379999999999999</v>
      </c>
      <c r="G17" s="2">
        <v>47.947200000000002</v>
      </c>
      <c r="H17" s="2">
        <v>49.021099999999997</v>
      </c>
      <c r="J17" s="8" t="str">
        <f t="shared" ref="J17:J18" si="0">TEXT(E17,"0.00")&amp;" ("&amp;TEXT(G17,"0.00")&amp;" to "&amp;TEXT(H17,"0.00")&amp;")"</f>
        <v>48.48 (47.95 to 49.02)</v>
      </c>
      <c r="K17" t="s">
        <v>24</v>
      </c>
    </row>
    <row r="18" spans="1:11" ht="17.25" thickBot="1" x14ac:dyDescent="0.35">
      <c r="A18" s="13">
        <v>3</v>
      </c>
      <c r="B18" s="2">
        <v>14086</v>
      </c>
      <c r="C18" s="2">
        <v>3750032</v>
      </c>
      <c r="D18" s="2">
        <v>51705</v>
      </c>
      <c r="E18" s="2">
        <v>12.396000000000001</v>
      </c>
      <c r="F18" s="2">
        <v>0.17949999999999999</v>
      </c>
      <c r="G18" s="2">
        <v>12.044</v>
      </c>
      <c r="H18" s="2">
        <v>12.747999999999999</v>
      </c>
      <c r="J18" s="8" t="str">
        <f t="shared" si="0"/>
        <v>12.40 (12.04 to 12.75)</v>
      </c>
      <c r="K18" t="s">
        <v>24</v>
      </c>
    </row>
    <row r="19" spans="1:11" x14ac:dyDescent="0.3">
      <c r="A19" s="14" t="s">
        <v>93</v>
      </c>
      <c r="B19" s="2">
        <v>68635</v>
      </c>
      <c r="C19" s="2">
        <v>30251936</v>
      </c>
      <c r="D19" s="2">
        <v>228758</v>
      </c>
      <c r="E19" s="2">
        <v>100</v>
      </c>
      <c r="F19" s="2"/>
      <c r="G19" s="2"/>
      <c r="H19" s="2"/>
      <c r="K19" t="s">
        <v>24</v>
      </c>
    </row>
    <row r="20" spans="1:11" hidden="1" x14ac:dyDescent="0.3"/>
    <row r="21" spans="1:11" ht="16.5" hidden="1" customHeight="1" x14ac:dyDescent="0.3">
      <c r="A21" s="24" t="s">
        <v>94</v>
      </c>
      <c r="B21" s="26"/>
      <c r="C21" s="26"/>
      <c r="D21" s="26"/>
      <c r="E21" s="26"/>
      <c r="F21" s="26"/>
      <c r="G21" s="26"/>
      <c r="H21" s="26"/>
    </row>
    <row r="22" spans="1:11" ht="33" hidden="1" customHeight="1" x14ac:dyDescent="0.3">
      <c r="A22" s="25" t="s">
        <v>5</v>
      </c>
      <c r="B22" s="27" t="s">
        <v>86</v>
      </c>
      <c r="C22" s="3" t="s">
        <v>87</v>
      </c>
      <c r="D22" s="3" t="s">
        <v>88</v>
      </c>
      <c r="E22" s="27" t="s">
        <v>90</v>
      </c>
      <c r="F22" s="3" t="s">
        <v>88</v>
      </c>
      <c r="G22" s="27" t="s">
        <v>91</v>
      </c>
      <c r="H22" s="27"/>
    </row>
    <row r="23" spans="1:11" ht="33" hidden="1" x14ac:dyDescent="0.3">
      <c r="A23" s="25"/>
      <c r="B23" s="27"/>
      <c r="C23" s="3" t="s">
        <v>86</v>
      </c>
      <c r="D23" s="3" t="s">
        <v>89</v>
      </c>
      <c r="E23" s="27"/>
      <c r="F23" s="3" t="s">
        <v>90</v>
      </c>
      <c r="G23" s="27" t="s">
        <v>92</v>
      </c>
      <c r="H23" s="27"/>
    </row>
    <row r="24" spans="1:11" ht="17.25" thickBot="1" x14ac:dyDescent="0.35">
      <c r="A24" s="13">
        <v>1</v>
      </c>
      <c r="B24" s="2">
        <v>33200</v>
      </c>
      <c r="C24" s="2">
        <v>16448830</v>
      </c>
      <c r="D24" s="2">
        <v>140406</v>
      </c>
      <c r="E24" s="2">
        <v>54.372799999999998</v>
      </c>
      <c r="F24" s="2">
        <v>0.18820000000000001</v>
      </c>
      <c r="G24" s="2">
        <v>54.003799999999998</v>
      </c>
      <c r="H24" s="2">
        <v>54.741900000000001</v>
      </c>
      <c r="J24" s="8" t="str">
        <f t="shared" ref="J24:J25" si="1">TEXT(E24,"0.00")&amp;" ("&amp;TEXT(G24,"0.00")&amp;" to "&amp;TEXT(H24,"0.00")&amp;")"</f>
        <v>54.37 (54.00 to 54.74)</v>
      </c>
      <c r="K24" t="s">
        <v>24</v>
      </c>
    </row>
    <row r="25" spans="1:11" ht="17.25" thickBot="1" x14ac:dyDescent="0.35">
      <c r="A25" s="13">
        <v>2</v>
      </c>
      <c r="B25" s="2">
        <v>35435</v>
      </c>
      <c r="C25" s="2">
        <v>13803105</v>
      </c>
      <c r="D25" s="2">
        <v>115313</v>
      </c>
      <c r="E25" s="2">
        <v>45.627200000000002</v>
      </c>
      <c r="F25" s="2">
        <v>0.18820000000000001</v>
      </c>
      <c r="G25" s="2">
        <v>45.258099999999999</v>
      </c>
      <c r="H25" s="2">
        <v>45.996200000000002</v>
      </c>
      <c r="J25" s="8" t="str">
        <f t="shared" si="1"/>
        <v>45.63 (45.26 to 46.00)</v>
      </c>
      <c r="K25" t="s">
        <v>24</v>
      </c>
    </row>
    <row r="26" spans="1:11" x14ac:dyDescent="0.3">
      <c r="A26" s="14" t="s">
        <v>93</v>
      </c>
      <c r="B26" s="2">
        <v>68635</v>
      </c>
      <c r="C26" s="2">
        <v>30251936</v>
      </c>
      <c r="D26" s="2">
        <v>228758</v>
      </c>
      <c r="E26" s="2">
        <v>100</v>
      </c>
      <c r="F26" s="2"/>
      <c r="G26" s="2"/>
      <c r="H26" s="2"/>
      <c r="K26" t="s">
        <v>24</v>
      </c>
    </row>
    <row r="27" spans="1:11" hidden="1" x14ac:dyDescent="0.3"/>
    <row r="28" spans="1:11" ht="16.5" hidden="1" customHeight="1" x14ac:dyDescent="0.3">
      <c r="A28" s="24" t="s">
        <v>95</v>
      </c>
      <c r="B28" s="26"/>
      <c r="C28" s="26"/>
      <c r="D28" s="26"/>
      <c r="E28" s="26"/>
      <c r="F28" s="26"/>
      <c r="G28" s="26"/>
      <c r="H28" s="26"/>
    </row>
    <row r="29" spans="1:11" ht="33" hidden="1" customHeight="1" x14ac:dyDescent="0.3">
      <c r="A29" s="25" t="s">
        <v>6</v>
      </c>
      <c r="B29" s="27" t="s">
        <v>86</v>
      </c>
      <c r="C29" s="3" t="s">
        <v>87</v>
      </c>
      <c r="D29" s="3" t="s">
        <v>88</v>
      </c>
      <c r="E29" s="27" t="s">
        <v>90</v>
      </c>
      <c r="F29" s="3" t="s">
        <v>88</v>
      </c>
      <c r="G29" s="27" t="s">
        <v>91</v>
      </c>
      <c r="H29" s="27"/>
    </row>
    <row r="30" spans="1:11" ht="33" hidden="1" x14ac:dyDescent="0.3">
      <c r="A30" s="25"/>
      <c r="B30" s="27"/>
      <c r="C30" s="3" t="s">
        <v>86</v>
      </c>
      <c r="D30" s="3" t="s">
        <v>89</v>
      </c>
      <c r="E30" s="27"/>
      <c r="F30" s="3" t="s">
        <v>90</v>
      </c>
      <c r="G30" s="27" t="s">
        <v>92</v>
      </c>
      <c r="H30" s="27"/>
    </row>
    <row r="31" spans="1:11" ht="17.25" thickBot="1" x14ac:dyDescent="0.35">
      <c r="A31" s="13">
        <v>1</v>
      </c>
      <c r="B31" s="2">
        <v>55176</v>
      </c>
      <c r="C31" s="2">
        <v>25392078</v>
      </c>
      <c r="D31" s="2">
        <v>290318</v>
      </c>
      <c r="E31" s="2">
        <v>83.935400000000001</v>
      </c>
      <c r="F31" s="2">
        <v>0.64080000000000004</v>
      </c>
      <c r="G31" s="2">
        <v>82.678899999999999</v>
      </c>
      <c r="H31" s="2">
        <v>85.191800000000001</v>
      </c>
      <c r="J31" s="8" t="str">
        <f t="shared" ref="J31:J32" si="2">TEXT(E31,"0.00")&amp;" ("&amp;TEXT(G31,"0.00")&amp;" to "&amp;TEXT(H31,"0.00")&amp;")"</f>
        <v>83.94 (82.68 to 85.19)</v>
      </c>
      <c r="K31" t="s">
        <v>24</v>
      </c>
    </row>
    <row r="32" spans="1:11" ht="17.25" thickBot="1" x14ac:dyDescent="0.35">
      <c r="A32" s="13">
        <v>2</v>
      </c>
      <c r="B32" s="2">
        <v>13459</v>
      </c>
      <c r="C32" s="2">
        <v>4859858</v>
      </c>
      <c r="D32" s="2">
        <v>192472</v>
      </c>
      <c r="E32" s="2">
        <v>16.064599999999999</v>
      </c>
      <c r="F32" s="2">
        <v>0.64080000000000004</v>
      </c>
      <c r="G32" s="2">
        <v>14.808199999999999</v>
      </c>
      <c r="H32" s="2">
        <v>17.321100000000001</v>
      </c>
      <c r="J32" s="8" t="str">
        <f t="shared" si="2"/>
        <v>16.06 (14.81 to 17.32)</v>
      </c>
      <c r="K32" t="s">
        <v>24</v>
      </c>
    </row>
    <row r="33" spans="1:11" x14ac:dyDescent="0.3">
      <c r="A33" s="14" t="s">
        <v>93</v>
      </c>
      <c r="B33" s="2">
        <v>68635</v>
      </c>
      <c r="C33" s="2">
        <v>30251936</v>
      </c>
      <c r="D33" s="2">
        <v>228758</v>
      </c>
      <c r="E33" s="2">
        <v>100</v>
      </c>
      <c r="F33" s="2"/>
      <c r="G33" s="2"/>
      <c r="H33" s="2"/>
      <c r="K33" t="s">
        <v>24</v>
      </c>
    </row>
    <row r="34" spans="1:11" hidden="1" x14ac:dyDescent="0.3"/>
    <row r="35" spans="1:11" ht="16.5" hidden="1" customHeight="1" x14ac:dyDescent="0.3">
      <c r="A35" s="24" t="s">
        <v>96</v>
      </c>
      <c r="B35" s="26"/>
      <c r="C35" s="26"/>
      <c r="D35" s="26"/>
      <c r="E35" s="26"/>
      <c r="F35" s="26"/>
      <c r="G35" s="26"/>
      <c r="H35" s="26"/>
    </row>
    <row r="36" spans="1:11" ht="33" hidden="1" customHeight="1" x14ac:dyDescent="0.3">
      <c r="A36" s="25" t="s">
        <v>7</v>
      </c>
      <c r="B36" s="27" t="s">
        <v>86</v>
      </c>
      <c r="C36" s="3" t="s">
        <v>87</v>
      </c>
      <c r="D36" s="3" t="s">
        <v>88</v>
      </c>
      <c r="E36" s="27" t="s">
        <v>90</v>
      </c>
      <c r="F36" s="3" t="s">
        <v>88</v>
      </c>
      <c r="G36" s="27" t="s">
        <v>91</v>
      </c>
      <c r="H36" s="27"/>
    </row>
    <row r="37" spans="1:11" ht="33" hidden="1" x14ac:dyDescent="0.3">
      <c r="A37" s="25"/>
      <c r="B37" s="27"/>
      <c r="C37" s="3" t="s">
        <v>86</v>
      </c>
      <c r="D37" s="3" t="s">
        <v>89</v>
      </c>
      <c r="E37" s="27"/>
      <c r="F37" s="3" t="s">
        <v>90</v>
      </c>
      <c r="G37" s="27" t="s">
        <v>92</v>
      </c>
      <c r="H37" s="27"/>
    </row>
    <row r="38" spans="1:11" ht="17.25" thickBot="1" x14ac:dyDescent="0.35">
      <c r="A38" s="13">
        <v>1</v>
      </c>
      <c r="B38" s="2">
        <v>9199</v>
      </c>
      <c r="C38" s="2">
        <v>2778708</v>
      </c>
      <c r="D38" s="2">
        <v>48157</v>
      </c>
      <c r="E38" s="2">
        <v>9.1852</v>
      </c>
      <c r="F38" s="2">
        <v>0.16550000000000001</v>
      </c>
      <c r="G38" s="2">
        <v>8.8606999999999996</v>
      </c>
      <c r="H38" s="2">
        <v>9.5098000000000003</v>
      </c>
      <c r="J38" s="8" t="str">
        <f t="shared" ref="J38:J41" si="3">TEXT(E38,"0.00")&amp;" ("&amp;TEXT(G38,"0.00")&amp;" to "&amp;TEXT(H38,"0.00")&amp;")"</f>
        <v>9.19 (8.86 to 9.51)</v>
      </c>
      <c r="K38" t="s">
        <v>24</v>
      </c>
    </row>
    <row r="39" spans="1:11" ht="17.25" thickBot="1" x14ac:dyDescent="0.35">
      <c r="A39" s="13">
        <v>2</v>
      </c>
      <c r="B39" s="2">
        <v>7937</v>
      </c>
      <c r="C39" s="2">
        <v>2682504</v>
      </c>
      <c r="D39" s="2">
        <v>43699</v>
      </c>
      <c r="E39" s="2">
        <v>8.8672000000000004</v>
      </c>
      <c r="F39" s="2">
        <v>0.14430000000000001</v>
      </c>
      <c r="G39" s="2">
        <v>8.5841999999999992</v>
      </c>
      <c r="H39" s="2">
        <v>9.1501999999999999</v>
      </c>
      <c r="J39" s="8" t="str">
        <f t="shared" si="3"/>
        <v>8.87 (8.58 to 9.15)</v>
      </c>
      <c r="K39" t="s">
        <v>24</v>
      </c>
    </row>
    <row r="40" spans="1:11" ht="17.25" thickBot="1" x14ac:dyDescent="0.35">
      <c r="A40" s="13">
        <v>3</v>
      </c>
      <c r="B40" s="2">
        <v>17758</v>
      </c>
      <c r="C40" s="2">
        <v>7987796</v>
      </c>
      <c r="D40" s="2">
        <v>95615</v>
      </c>
      <c r="E40" s="2">
        <v>26.404199999999999</v>
      </c>
      <c r="F40" s="2">
        <v>0.25690000000000002</v>
      </c>
      <c r="G40" s="2">
        <v>25.900500000000001</v>
      </c>
      <c r="H40" s="2">
        <v>26.908000000000001</v>
      </c>
      <c r="J40" s="8" t="str">
        <f t="shared" si="3"/>
        <v>26.40 (25.90 to 26.91)</v>
      </c>
      <c r="K40" t="s">
        <v>24</v>
      </c>
    </row>
    <row r="41" spans="1:11" ht="17.25" thickBot="1" x14ac:dyDescent="0.35">
      <c r="A41" s="13">
        <v>4</v>
      </c>
      <c r="B41" s="2">
        <v>33741</v>
      </c>
      <c r="C41" s="2">
        <v>16802927</v>
      </c>
      <c r="D41" s="2">
        <v>189742</v>
      </c>
      <c r="E41" s="2">
        <v>55.543300000000002</v>
      </c>
      <c r="F41" s="2">
        <v>0.36720000000000003</v>
      </c>
      <c r="G41" s="2">
        <v>54.8232</v>
      </c>
      <c r="H41" s="2">
        <v>56.263399999999997</v>
      </c>
      <c r="J41" s="8" t="str">
        <f t="shared" si="3"/>
        <v>55.54 (54.82 to 56.26)</v>
      </c>
      <c r="K41" t="s">
        <v>24</v>
      </c>
    </row>
    <row r="42" spans="1:11" x14ac:dyDescent="0.3">
      <c r="A42" s="14" t="s">
        <v>93</v>
      </c>
      <c r="B42" s="2">
        <v>68635</v>
      </c>
      <c r="C42" s="2">
        <v>30251936</v>
      </c>
      <c r="D42" s="2">
        <v>228758</v>
      </c>
      <c r="E42" s="2">
        <v>100</v>
      </c>
      <c r="F42" s="2"/>
      <c r="G42" s="2"/>
      <c r="H42" s="2"/>
      <c r="K42" t="s">
        <v>24</v>
      </c>
    </row>
    <row r="43" spans="1:11" hidden="1" x14ac:dyDescent="0.3"/>
    <row r="44" spans="1:11" ht="16.5" hidden="1" customHeight="1" x14ac:dyDescent="0.3">
      <c r="A44" s="24" t="s">
        <v>97</v>
      </c>
      <c r="B44" s="26"/>
      <c r="C44" s="26"/>
      <c r="D44" s="26"/>
      <c r="E44" s="26"/>
      <c r="F44" s="26"/>
      <c r="G44" s="26"/>
      <c r="H44" s="26"/>
    </row>
    <row r="45" spans="1:11" ht="33" hidden="1" customHeight="1" x14ac:dyDescent="0.3">
      <c r="A45" s="25" t="s">
        <v>8</v>
      </c>
      <c r="B45" s="27" t="s">
        <v>86</v>
      </c>
      <c r="C45" s="3" t="s">
        <v>87</v>
      </c>
      <c r="D45" s="3" t="s">
        <v>88</v>
      </c>
      <c r="E45" s="27" t="s">
        <v>90</v>
      </c>
      <c r="F45" s="3" t="s">
        <v>88</v>
      </c>
      <c r="G45" s="27" t="s">
        <v>91</v>
      </c>
      <c r="H45" s="27"/>
    </row>
    <row r="46" spans="1:11" ht="33" hidden="1" x14ac:dyDescent="0.3">
      <c r="A46" s="25"/>
      <c r="B46" s="27"/>
      <c r="C46" s="3" t="s">
        <v>86</v>
      </c>
      <c r="D46" s="3" t="s">
        <v>89</v>
      </c>
      <c r="E46" s="27"/>
      <c r="F46" s="3" t="s">
        <v>90</v>
      </c>
      <c r="G46" s="27" t="s">
        <v>92</v>
      </c>
      <c r="H46" s="27"/>
    </row>
    <row r="47" spans="1:11" ht="17.25" thickBot="1" x14ac:dyDescent="0.35">
      <c r="A47" s="13">
        <v>1</v>
      </c>
      <c r="B47" s="2">
        <v>11265</v>
      </c>
      <c r="C47" s="2">
        <v>3936155</v>
      </c>
      <c r="D47" s="2">
        <v>65921</v>
      </c>
      <c r="E47" s="2">
        <v>13.0113</v>
      </c>
      <c r="F47" s="2">
        <v>0.22689999999999999</v>
      </c>
      <c r="G47" s="2">
        <v>12.5664</v>
      </c>
      <c r="H47" s="2">
        <v>13.456099999999999</v>
      </c>
      <c r="J47" s="8" t="str">
        <f t="shared" ref="J47:J50" si="4">TEXT(E47,"0.00")&amp;" ("&amp;TEXT(G47,"0.00")&amp;" to "&amp;TEXT(H47,"0.00")&amp;")"</f>
        <v>13.01 (12.57 to 13.46)</v>
      </c>
      <c r="K47" t="s">
        <v>24</v>
      </c>
    </row>
    <row r="48" spans="1:11" ht="17.25" thickBot="1" x14ac:dyDescent="0.35">
      <c r="A48" s="13">
        <v>2</v>
      </c>
      <c r="B48" s="2">
        <v>16834</v>
      </c>
      <c r="C48" s="2">
        <v>7267525</v>
      </c>
      <c r="D48" s="2">
        <v>98219</v>
      </c>
      <c r="E48" s="2">
        <v>24.023299999999999</v>
      </c>
      <c r="F48" s="2">
        <v>0.29559999999999997</v>
      </c>
      <c r="G48" s="2">
        <v>23.4437</v>
      </c>
      <c r="H48" s="2">
        <v>24.603000000000002</v>
      </c>
      <c r="J48" s="8" t="str">
        <f t="shared" si="4"/>
        <v>24.02 (23.44 to 24.60)</v>
      </c>
      <c r="K48" t="s">
        <v>24</v>
      </c>
    </row>
    <row r="49" spans="1:11" ht="17.25" thickBot="1" x14ac:dyDescent="0.35">
      <c r="A49" s="13">
        <v>3</v>
      </c>
      <c r="B49" s="2">
        <v>19586</v>
      </c>
      <c r="C49" s="2">
        <v>9190109</v>
      </c>
      <c r="D49" s="2">
        <v>122325</v>
      </c>
      <c r="E49" s="2">
        <v>30.378599999999999</v>
      </c>
      <c r="F49" s="2">
        <v>0.30769999999999997</v>
      </c>
      <c r="G49" s="2">
        <v>29.775200000000002</v>
      </c>
      <c r="H49" s="2">
        <v>30.9819</v>
      </c>
      <c r="J49" s="8" t="str">
        <f t="shared" si="4"/>
        <v>30.38 (29.78 to 30.98)</v>
      </c>
      <c r="K49" t="s">
        <v>24</v>
      </c>
    </row>
    <row r="50" spans="1:11" ht="17.25" thickBot="1" x14ac:dyDescent="0.35">
      <c r="A50" s="13">
        <v>4</v>
      </c>
      <c r="B50" s="2">
        <v>20950</v>
      </c>
      <c r="C50" s="2">
        <v>9858146</v>
      </c>
      <c r="D50" s="2">
        <v>157165</v>
      </c>
      <c r="E50" s="2">
        <v>32.586799999999997</v>
      </c>
      <c r="F50" s="2">
        <v>0.41460000000000002</v>
      </c>
      <c r="G50" s="2">
        <v>31.774000000000001</v>
      </c>
      <c r="H50" s="2">
        <v>33.399700000000003</v>
      </c>
      <c r="J50" s="8" t="str">
        <f t="shared" si="4"/>
        <v>32.59 (31.77 to 33.40)</v>
      </c>
      <c r="K50" t="s">
        <v>24</v>
      </c>
    </row>
    <row r="51" spans="1:11" x14ac:dyDescent="0.3">
      <c r="A51" s="14" t="s">
        <v>93</v>
      </c>
      <c r="B51" s="2">
        <v>68635</v>
      </c>
      <c r="C51" s="2">
        <v>30251936</v>
      </c>
      <c r="D51" s="2">
        <v>228758</v>
      </c>
      <c r="E51" s="2">
        <v>100</v>
      </c>
      <c r="F51" s="2"/>
      <c r="G51" s="2"/>
      <c r="H51" s="2"/>
      <c r="K51" t="s">
        <v>24</v>
      </c>
    </row>
    <row r="52" spans="1:11" hidden="1" x14ac:dyDescent="0.3"/>
    <row r="53" spans="1:11" ht="16.5" hidden="1" customHeight="1" x14ac:dyDescent="0.3">
      <c r="A53" s="24" t="s">
        <v>98</v>
      </c>
      <c r="B53" s="26"/>
      <c r="C53" s="26"/>
      <c r="D53" s="26"/>
      <c r="E53" s="26"/>
      <c r="F53" s="26"/>
      <c r="G53" s="26"/>
      <c r="H53" s="26"/>
    </row>
    <row r="54" spans="1:11" ht="33" hidden="1" customHeight="1" x14ac:dyDescent="0.3">
      <c r="A54" s="25" t="s">
        <v>9</v>
      </c>
      <c r="B54" s="27" t="s">
        <v>86</v>
      </c>
      <c r="C54" s="3" t="s">
        <v>87</v>
      </c>
      <c r="D54" s="3" t="s">
        <v>88</v>
      </c>
      <c r="E54" s="27" t="s">
        <v>90</v>
      </c>
      <c r="F54" s="3" t="s">
        <v>88</v>
      </c>
      <c r="G54" s="27" t="s">
        <v>91</v>
      </c>
      <c r="H54" s="27"/>
    </row>
    <row r="55" spans="1:11" ht="33" hidden="1" x14ac:dyDescent="0.3">
      <c r="A55" s="25"/>
      <c r="B55" s="27"/>
      <c r="C55" s="3" t="s">
        <v>86</v>
      </c>
      <c r="D55" s="3" t="s">
        <v>89</v>
      </c>
      <c r="E55" s="27"/>
      <c r="F55" s="3" t="s">
        <v>90</v>
      </c>
      <c r="G55" s="27" t="s">
        <v>92</v>
      </c>
      <c r="H55" s="27"/>
    </row>
    <row r="56" spans="1:11" ht="17.25" thickBot="1" x14ac:dyDescent="0.35">
      <c r="A56" s="13">
        <v>1</v>
      </c>
      <c r="B56" s="2">
        <v>2777</v>
      </c>
      <c r="C56" s="2">
        <v>1296193</v>
      </c>
      <c r="D56" s="2">
        <v>31560</v>
      </c>
      <c r="E56" s="2">
        <v>4.2847</v>
      </c>
      <c r="F56" s="2">
        <v>9.8500000000000004E-2</v>
      </c>
      <c r="G56" s="2">
        <v>4.0914999999999999</v>
      </c>
      <c r="H56" s="2">
        <v>4.4778000000000002</v>
      </c>
      <c r="J56" s="8" t="str">
        <f t="shared" ref="J56:J59" si="5">TEXT(E56,"0.00")&amp;" ("&amp;TEXT(G56,"0.00")&amp;" to "&amp;TEXT(H56,"0.00")&amp;")"</f>
        <v>4.28 (4.09 to 4.48)</v>
      </c>
      <c r="K56" t="s">
        <v>24</v>
      </c>
    </row>
    <row r="57" spans="1:11" ht="17.25" thickBot="1" x14ac:dyDescent="0.35">
      <c r="A57" s="13">
        <v>2</v>
      </c>
      <c r="B57" s="2">
        <v>26435</v>
      </c>
      <c r="C57" s="2">
        <v>11585647</v>
      </c>
      <c r="D57" s="2">
        <v>115210</v>
      </c>
      <c r="E57" s="2">
        <v>38.297199999999997</v>
      </c>
      <c r="F57" s="2">
        <v>0.2286</v>
      </c>
      <c r="G57" s="2">
        <v>37.848999999999997</v>
      </c>
      <c r="H57" s="2">
        <v>38.745399999999997</v>
      </c>
      <c r="J57" s="8" t="str">
        <f t="shared" si="5"/>
        <v>38.30 (37.85 to 38.75)</v>
      </c>
      <c r="K57" t="s">
        <v>24</v>
      </c>
    </row>
    <row r="58" spans="1:11" ht="17.25" thickBot="1" x14ac:dyDescent="0.35">
      <c r="A58" s="13">
        <v>3</v>
      </c>
      <c r="B58" s="2">
        <v>16265</v>
      </c>
      <c r="C58" s="2">
        <v>7016830</v>
      </c>
      <c r="D58" s="2">
        <v>76881</v>
      </c>
      <c r="E58" s="2">
        <v>23.194600000000001</v>
      </c>
      <c r="F58" s="2">
        <v>0.189</v>
      </c>
      <c r="G58" s="2">
        <v>22.824000000000002</v>
      </c>
      <c r="H58" s="2">
        <v>23.565300000000001</v>
      </c>
      <c r="J58" s="8" t="str">
        <f t="shared" si="5"/>
        <v>23.19 (22.82 to 23.57)</v>
      </c>
      <c r="K58" t="s">
        <v>24</v>
      </c>
    </row>
    <row r="59" spans="1:11" ht="17.25" thickBot="1" x14ac:dyDescent="0.35">
      <c r="A59" s="13">
        <v>4</v>
      </c>
      <c r="B59" s="2">
        <v>23158</v>
      </c>
      <c r="C59" s="2">
        <v>10353266</v>
      </c>
      <c r="D59" s="2">
        <v>102556</v>
      </c>
      <c r="E59" s="2">
        <v>34.223500000000001</v>
      </c>
      <c r="F59" s="2">
        <v>0.23269999999999999</v>
      </c>
      <c r="G59" s="2">
        <v>33.767099999999999</v>
      </c>
      <c r="H59" s="2">
        <v>34.6798</v>
      </c>
      <c r="J59" s="8" t="str">
        <f t="shared" si="5"/>
        <v>34.22 (33.77 to 34.68)</v>
      </c>
      <c r="K59" t="s">
        <v>24</v>
      </c>
    </row>
    <row r="60" spans="1:11" x14ac:dyDescent="0.3">
      <c r="A60" s="14" t="s">
        <v>93</v>
      </c>
      <c r="B60" s="2">
        <v>68635</v>
      </c>
      <c r="C60" s="2">
        <v>30251936</v>
      </c>
      <c r="D60" s="2">
        <v>228758</v>
      </c>
      <c r="E60" s="2">
        <v>100</v>
      </c>
      <c r="F60" s="2"/>
      <c r="G60" s="2"/>
      <c r="H60" s="2"/>
      <c r="K60" t="s">
        <v>24</v>
      </c>
    </row>
    <row r="61" spans="1:11" hidden="1" x14ac:dyDescent="0.3"/>
    <row r="62" spans="1:11" ht="16.5" hidden="1" customHeight="1" x14ac:dyDescent="0.3">
      <c r="A62" s="24" t="s">
        <v>99</v>
      </c>
      <c r="B62" s="26"/>
      <c r="C62" s="26"/>
      <c r="D62" s="26"/>
      <c r="E62" s="26"/>
      <c r="F62" s="26"/>
      <c r="G62" s="26"/>
      <c r="H62" s="26"/>
    </row>
    <row r="63" spans="1:11" ht="33" hidden="1" customHeight="1" x14ac:dyDescent="0.3">
      <c r="A63" s="25" t="s">
        <v>10</v>
      </c>
      <c r="B63" s="27" t="s">
        <v>86</v>
      </c>
      <c r="C63" s="3" t="s">
        <v>87</v>
      </c>
      <c r="D63" s="3" t="s">
        <v>88</v>
      </c>
      <c r="E63" s="27" t="s">
        <v>90</v>
      </c>
      <c r="F63" s="3" t="s">
        <v>88</v>
      </c>
      <c r="G63" s="27" t="s">
        <v>91</v>
      </c>
      <c r="H63" s="27"/>
    </row>
    <row r="64" spans="1:11" ht="33" hidden="1" x14ac:dyDescent="0.3">
      <c r="A64" s="25"/>
      <c r="B64" s="27"/>
      <c r="C64" s="3" t="s">
        <v>86</v>
      </c>
      <c r="D64" s="3" t="s">
        <v>89</v>
      </c>
      <c r="E64" s="27"/>
      <c r="F64" s="3" t="s">
        <v>90</v>
      </c>
      <c r="G64" s="27" t="s">
        <v>92</v>
      </c>
      <c r="H64" s="27"/>
    </row>
    <row r="65" spans="1:11" ht="17.25" thickBot="1" x14ac:dyDescent="0.35">
      <c r="A65" s="13">
        <v>1</v>
      </c>
      <c r="B65" s="2">
        <v>56814</v>
      </c>
      <c r="C65" s="2">
        <v>22898766</v>
      </c>
      <c r="D65" s="2">
        <v>183193</v>
      </c>
      <c r="E65" s="2">
        <v>75.693600000000004</v>
      </c>
      <c r="F65" s="2">
        <v>0.28570000000000001</v>
      </c>
      <c r="G65" s="2">
        <v>75.133300000000006</v>
      </c>
      <c r="H65" s="2">
        <v>76.253799999999998</v>
      </c>
      <c r="J65" s="8" t="str">
        <f t="shared" ref="J65:J66" si="6">TEXT(E65,"0.00")&amp;" ("&amp;TEXT(G65,"0.00")&amp;" to "&amp;TEXT(H65,"0.00")&amp;")"</f>
        <v>75.69 (75.13 to 76.25)</v>
      </c>
      <c r="K65" t="s">
        <v>24</v>
      </c>
    </row>
    <row r="66" spans="1:11" ht="17.25" thickBot="1" x14ac:dyDescent="0.35">
      <c r="A66" s="13">
        <v>2</v>
      </c>
      <c r="B66" s="2">
        <v>11821</v>
      </c>
      <c r="C66" s="2">
        <v>7353170</v>
      </c>
      <c r="D66" s="2">
        <v>108690</v>
      </c>
      <c r="E66" s="2">
        <v>24.3064</v>
      </c>
      <c r="F66" s="2">
        <v>0.28570000000000001</v>
      </c>
      <c r="G66" s="2">
        <v>23.746200000000002</v>
      </c>
      <c r="H66" s="2">
        <v>24.866700000000002</v>
      </c>
      <c r="J66" s="8" t="str">
        <f t="shared" si="6"/>
        <v>24.31 (23.75 to 24.87)</v>
      </c>
      <c r="K66" t="s">
        <v>24</v>
      </c>
    </row>
    <row r="67" spans="1:11" x14ac:dyDescent="0.3">
      <c r="A67" s="14" t="s">
        <v>93</v>
      </c>
      <c r="B67" s="2">
        <v>68635</v>
      </c>
      <c r="C67" s="2">
        <v>30251936</v>
      </c>
      <c r="D67" s="2">
        <v>228758</v>
      </c>
      <c r="E67" s="2">
        <v>100</v>
      </c>
      <c r="F67" s="2"/>
      <c r="G67" s="2"/>
      <c r="H67" s="2"/>
      <c r="K67" t="s">
        <v>24</v>
      </c>
    </row>
    <row r="68" spans="1:11" hidden="1" x14ac:dyDescent="0.3"/>
    <row r="69" spans="1:11" ht="16.5" hidden="1" customHeight="1" x14ac:dyDescent="0.3">
      <c r="A69" s="24" t="s">
        <v>100</v>
      </c>
      <c r="B69" s="26"/>
      <c r="C69" s="26"/>
      <c r="D69" s="26"/>
      <c r="E69" s="26"/>
      <c r="F69" s="26"/>
      <c r="G69" s="26"/>
      <c r="H69" s="26"/>
    </row>
    <row r="70" spans="1:11" ht="33" hidden="1" customHeight="1" x14ac:dyDescent="0.3">
      <c r="A70" s="25" t="s">
        <v>11</v>
      </c>
      <c r="B70" s="27" t="s">
        <v>86</v>
      </c>
      <c r="C70" s="3" t="s">
        <v>87</v>
      </c>
      <c r="D70" s="3" t="s">
        <v>88</v>
      </c>
      <c r="E70" s="27" t="s">
        <v>90</v>
      </c>
      <c r="F70" s="3" t="s">
        <v>88</v>
      </c>
      <c r="G70" s="27" t="s">
        <v>91</v>
      </c>
      <c r="H70" s="27"/>
    </row>
    <row r="71" spans="1:11" ht="33" hidden="1" x14ac:dyDescent="0.3">
      <c r="A71" s="25"/>
      <c r="B71" s="27"/>
      <c r="C71" s="3" t="s">
        <v>86</v>
      </c>
      <c r="D71" s="3" t="s">
        <v>89</v>
      </c>
      <c r="E71" s="27"/>
      <c r="F71" s="3" t="s">
        <v>90</v>
      </c>
      <c r="G71" s="27" t="s">
        <v>92</v>
      </c>
      <c r="H71" s="27"/>
    </row>
    <row r="72" spans="1:11" ht="17.25" thickBot="1" x14ac:dyDescent="0.35">
      <c r="A72" s="13">
        <v>1</v>
      </c>
      <c r="B72" s="2">
        <v>22876</v>
      </c>
      <c r="C72" s="2">
        <v>10423023</v>
      </c>
      <c r="D72" s="2">
        <v>111794</v>
      </c>
      <c r="E72" s="2">
        <v>34.454099999999997</v>
      </c>
      <c r="F72" s="2">
        <v>0.2404</v>
      </c>
      <c r="G72" s="2">
        <v>33.982599999999998</v>
      </c>
      <c r="H72" s="2">
        <v>34.9255</v>
      </c>
      <c r="J72" s="8" t="str">
        <f t="shared" ref="J72:J74" si="7">TEXT(E72,"0.00")&amp;" ("&amp;TEXT(G72,"0.00")&amp;" to "&amp;TEXT(H72,"0.00")&amp;")"</f>
        <v>34.45 (33.98 to 34.93)</v>
      </c>
      <c r="K72" t="s">
        <v>24</v>
      </c>
    </row>
    <row r="73" spans="1:11" ht="17.25" thickBot="1" x14ac:dyDescent="0.35">
      <c r="A73" s="13">
        <v>2</v>
      </c>
      <c r="B73" s="2">
        <v>33210</v>
      </c>
      <c r="C73" s="2">
        <v>14887576</v>
      </c>
      <c r="D73" s="2">
        <v>139026</v>
      </c>
      <c r="E73" s="2">
        <v>49.212000000000003</v>
      </c>
      <c r="F73" s="2">
        <v>0.25819999999999999</v>
      </c>
      <c r="G73" s="2">
        <v>48.7057</v>
      </c>
      <c r="H73" s="2">
        <v>49.718200000000003</v>
      </c>
      <c r="J73" s="8" t="str">
        <f t="shared" si="7"/>
        <v>49.21 (48.71 to 49.72)</v>
      </c>
      <c r="K73" t="s">
        <v>24</v>
      </c>
    </row>
    <row r="74" spans="1:11" ht="17.25" thickBot="1" x14ac:dyDescent="0.35">
      <c r="A74" s="13">
        <v>3</v>
      </c>
      <c r="B74" s="2">
        <v>12549</v>
      </c>
      <c r="C74" s="2">
        <v>4941337</v>
      </c>
      <c r="D74" s="2">
        <v>60754</v>
      </c>
      <c r="E74" s="2">
        <v>16.334</v>
      </c>
      <c r="F74" s="2">
        <v>0.17949999999999999</v>
      </c>
      <c r="G74" s="2">
        <v>15.9819</v>
      </c>
      <c r="H74" s="2">
        <v>16.686</v>
      </c>
      <c r="J74" s="8" t="str">
        <f t="shared" si="7"/>
        <v>16.33 (15.98 to 16.69)</v>
      </c>
      <c r="K74" t="s">
        <v>24</v>
      </c>
    </row>
    <row r="75" spans="1:11" x14ac:dyDescent="0.3">
      <c r="A75" s="14" t="s">
        <v>93</v>
      </c>
      <c r="B75" s="2">
        <v>68635</v>
      </c>
      <c r="C75" s="2">
        <v>30251936</v>
      </c>
      <c r="D75" s="2">
        <v>228758</v>
      </c>
      <c r="E75" s="2">
        <v>100</v>
      </c>
      <c r="F75" s="2"/>
      <c r="G75" s="2"/>
      <c r="H75" s="2"/>
      <c r="K75" t="s">
        <v>24</v>
      </c>
    </row>
    <row r="76" spans="1:11" hidden="1" x14ac:dyDescent="0.3"/>
    <row r="77" spans="1:11" ht="16.5" hidden="1" customHeight="1" x14ac:dyDescent="0.3">
      <c r="A77" s="24" t="s">
        <v>101</v>
      </c>
      <c r="B77" s="26"/>
      <c r="C77" s="26"/>
      <c r="D77" s="26"/>
      <c r="E77" s="26"/>
      <c r="F77" s="26"/>
      <c r="G77" s="26"/>
      <c r="H77" s="26"/>
    </row>
    <row r="78" spans="1:11" ht="33" hidden="1" customHeight="1" x14ac:dyDescent="0.3">
      <c r="A78" s="25" t="s">
        <v>12</v>
      </c>
      <c r="B78" s="27" t="s">
        <v>86</v>
      </c>
      <c r="C78" s="3" t="s">
        <v>87</v>
      </c>
      <c r="D78" s="3" t="s">
        <v>88</v>
      </c>
      <c r="E78" s="27" t="s">
        <v>90</v>
      </c>
      <c r="F78" s="3" t="s">
        <v>88</v>
      </c>
      <c r="G78" s="27" t="s">
        <v>91</v>
      </c>
      <c r="H78" s="27"/>
    </row>
    <row r="79" spans="1:11" ht="33" hidden="1" x14ac:dyDescent="0.3">
      <c r="A79" s="25"/>
      <c r="B79" s="27"/>
      <c r="C79" s="3" t="s">
        <v>86</v>
      </c>
      <c r="D79" s="3" t="s">
        <v>89</v>
      </c>
      <c r="E79" s="27"/>
      <c r="F79" s="3" t="s">
        <v>90</v>
      </c>
      <c r="G79" s="27" t="s">
        <v>92</v>
      </c>
      <c r="H79" s="27"/>
    </row>
    <row r="80" spans="1:11" ht="17.25" thickBot="1" x14ac:dyDescent="0.35">
      <c r="A80" s="13">
        <v>1</v>
      </c>
      <c r="B80" s="2">
        <v>18257</v>
      </c>
      <c r="C80" s="2">
        <v>8413045</v>
      </c>
      <c r="D80" s="2">
        <v>91908</v>
      </c>
      <c r="E80" s="2">
        <v>27.809899999999999</v>
      </c>
      <c r="F80" s="2">
        <v>0.22020000000000001</v>
      </c>
      <c r="G80" s="2">
        <v>27.378299999999999</v>
      </c>
      <c r="H80" s="2">
        <v>28.241599999999998</v>
      </c>
      <c r="J80" s="8" t="str">
        <f t="shared" ref="J80:J82" si="8">TEXT(E80,"0.00")&amp;" ("&amp;TEXT(G80,"0.00")&amp;" to "&amp;TEXT(H80,"0.00")&amp;")"</f>
        <v>27.81 (27.38 to 28.24)</v>
      </c>
      <c r="K80" t="s">
        <v>24</v>
      </c>
    </row>
    <row r="81" spans="1:11" ht="17.25" thickBot="1" x14ac:dyDescent="0.35">
      <c r="A81" s="13">
        <v>2</v>
      </c>
      <c r="B81" s="2">
        <v>39551</v>
      </c>
      <c r="C81" s="2">
        <v>17621468</v>
      </c>
      <c r="D81" s="2">
        <v>153953</v>
      </c>
      <c r="E81" s="2">
        <v>58.249099999999999</v>
      </c>
      <c r="F81" s="2">
        <v>0.22770000000000001</v>
      </c>
      <c r="G81" s="2">
        <v>57.802599999999998</v>
      </c>
      <c r="H81" s="2">
        <v>58.695500000000003</v>
      </c>
      <c r="J81" s="8" t="str">
        <f t="shared" si="8"/>
        <v>58.25 (57.80 to 58.70)</v>
      </c>
      <c r="K81" t="s">
        <v>24</v>
      </c>
    </row>
    <row r="82" spans="1:11" ht="17.25" thickBot="1" x14ac:dyDescent="0.35">
      <c r="A82" s="13">
        <v>3</v>
      </c>
      <c r="B82" s="2">
        <v>10827</v>
      </c>
      <c r="C82" s="2">
        <v>4217422</v>
      </c>
      <c r="D82" s="2">
        <v>56411</v>
      </c>
      <c r="E82" s="2">
        <v>13.941000000000001</v>
      </c>
      <c r="F82" s="2">
        <v>0.16309999999999999</v>
      </c>
      <c r="G82" s="2">
        <v>13.6212</v>
      </c>
      <c r="H82" s="2">
        <v>14.2608</v>
      </c>
      <c r="J82" s="8" t="str">
        <f t="shared" si="8"/>
        <v>13.94 (13.62 to 14.26)</v>
      </c>
      <c r="K82" t="s">
        <v>24</v>
      </c>
    </row>
    <row r="83" spans="1:11" x14ac:dyDescent="0.3">
      <c r="A83" s="14" t="s">
        <v>93</v>
      </c>
      <c r="B83" s="2">
        <v>68635</v>
      </c>
      <c r="C83" s="2">
        <v>30251936</v>
      </c>
      <c r="D83" s="2">
        <v>228758</v>
      </c>
      <c r="E83" s="2">
        <v>100</v>
      </c>
      <c r="F83" s="2"/>
      <c r="G83" s="2"/>
      <c r="H83" s="2"/>
      <c r="K83" t="s">
        <v>24</v>
      </c>
    </row>
    <row r="84" spans="1:11" hidden="1" x14ac:dyDescent="0.3"/>
    <row r="85" spans="1:11" ht="16.5" hidden="1" customHeight="1" x14ac:dyDescent="0.3">
      <c r="A85" s="24" t="s">
        <v>102</v>
      </c>
      <c r="B85" s="26"/>
      <c r="C85" s="26"/>
      <c r="D85" s="26"/>
      <c r="E85" s="26"/>
      <c r="F85" s="26"/>
      <c r="G85" s="26"/>
      <c r="H85" s="26"/>
    </row>
    <row r="86" spans="1:11" ht="33" hidden="1" customHeight="1" x14ac:dyDescent="0.3">
      <c r="A86" s="25" t="s">
        <v>13</v>
      </c>
      <c r="B86" s="27" t="s">
        <v>86</v>
      </c>
      <c r="C86" s="3" t="s">
        <v>87</v>
      </c>
      <c r="D86" s="3" t="s">
        <v>88</v>
      </c>
      <c r="E86" s="27" t="s">
        <v>90</v>
      </c>
      <c r="F86" s="3" t="s">
        <v>88</v>
      </c>
      <c r="G86" s="27" t="s">
        <v>91</v>
      </c>
      <c r="H86" s="27"/>
    </row>
    <row r="87" spans="1:11" ht="33" hidden="1" x14ac:dyDescent="0.3">
      <c r="A87" s="25"/>
      <c r="B87" s="27"/>
      <c r="C87" s="3" t="s">
        <v>86</v>
      </c>
      <c r="D87" s="3" t="s">
        <v>89</v>
      </c>
      <c r="E87" s="27"/>
      <c r="F87" s="3" t="s">
        <v>90</v>
      </c>
      <c r="G87" s="27" t="s">
        <v>92</v>
      </c>
      <c r="H87" s="27"/>
    </row>
    <row r="88" spans="1:11" ht="17.25" thickBot="1" x14ac:dyDescent="0.35">
      <c r="A88" s="13">
        <v>1</v>
      </c>
      <c r="B88" s="2">
        <v>26908</v>
      </c>
      <c r="C88" s="2">
        <v>10739070</v>
      </c>
      <c r="D88" s="2">
        <v>101823</v>
      </c>
      <c r="E88" s="2">
        <v>35.498800000000003</v>
      </c>
      <c r="F88" s="2">
        <v>0.23380000000000001</v>
      </c>
      <c r="G88" s="2">
        <v>35.040300000000002</v>
      </c>
      <c r="H88" s="2">
        <v>35.957299999999996</v>
      </c>
      <c r="J88" s="8" t="str">
        <f t="shared" ref="J88:J90" si="9">TEXT(E88,"0.00")&amp;" ("&amp;TEXT(G88,"0.00")&amp;" to "&amp;TEXT(H88,"0.00")&amp;")"</f>
        <v>35.50 (35.04 to 35.96)</v>
      </c>
      <c r="K88" t="s">
        <v>24</v>
      </c>
    </row>
    <row r="89" spans="1:11" ht="17.25" thickBot="1" x14ac:dyDescent="0.35">
      <c r="A89" s="13">
        <v>2</v>
      </c>
      <c r="B89" s="2">
        <v>24999</v>
      </c>
      <c r="C89" s="2">
        <v>11740558</v>
      </c>
      <c r="D89" s="2">
        <v>121651</v>
      </c>
      <c r="E89" s="2">
        <v>38.8093</v>
      </c>
      <c r="F89" s="2">
        <v>0.23860000000000001</v>
      </c>
      <c r="G89" s="2">
        <v>38.3414</v>
      </c>
      <c r="H89" s="2">
        <v>39.277200000000001</v>
      </c>
      <c r="J89" s="8" t="str">
        <f t="shared" si="9"/>
        <v>38.81 (38.34 to 39.28)</v>
      </c>
      <c r="K89" t="s">
        <v>24</v>
      </c>
    </row>
    <row r="90" spans="1:11" ht="17.25" thickBot="1" x14ac:dyDescent="0.35">
      <c r="A90" s="13">
        <v>3</v>
      </c>
      <c r="B90" s="2">
        <v>16728</v>
      </c>
      <c r="C90" s="2">
        <v>7772308</v>
      </c>
      <c r="D90" s="2">
        <v>85013</v>
      </c>
      <c r="E90" s="2">
        <v>25.6919</v>
      </c>
      <c r="F90" s="2">
        <v>0.2094</v>
      </c>
      <c r="G90" s="2">
        <v>25.281400000000001</v>
      </c>
      <c r="H90" s="2">
        <v>26.102499999999999</v>
      </c>
      <c r="J90" s="8" t="str">
        <f t="shared" si="9"/>
        <v>25.69 (25.28 to 26.10)</v>
      </c>
      <c r="K90" t="s">
        <v>24</v>
      </c>
    </row>
    <row r="91" spans="1:11" x14ac:dyDescent="0.3">
      <c r="A91" s="14" t="s">
        <v>93</v>
      </c>
      <c r="B91" s="2">
        <v>68635</v>
      </c>
      <c r="C91" s="2">
        <v>30251936</v>
      </c>
      <c r="D91" s="2">
        <v>228758</v>
      </c>
      <c r="E91" s="2">
        <v>100</v>
      </c>
      <c r="F91" s="2"/>
      <c r="G91" s="2"/>
      <c r="H91" s="2"/>
      <c r="K91" t="s">
        <v>24</v>
      </c>
    </row>
    <row r="92" spans="1:11" hidden="1" x14ac:dyDescent="0.3"/>
    <row r="93" spans="1:11" ht="16.5" hidden="1" customHeight="1" x14ac:dyDescent="0.3">
      <c r="A93" s="24" t="s">
        <v>103</v>
      </c>
      <c r="B93" s="26"/>
      <c r="C93" s="26"/>
      <c r="D93" s="26"/>
      <c r="E93" s="26"/>
      <c r="F93" s="26"/>
      <c r="G93" s="26"/>
      <c r="H93" s="26"/>
    </row>
    <row r="94" spans="1:11" ht="33" hidden="1" customHeight="1" x14ac:dyDescent="0.3">
      <c r="A94" s="25" t="s">
        <v>14</v>
      </c>
      <c r="B94" s="27" t="s">
        <v>86</v>
      </c>
      <c r="C94" s="3" t="s">
        <v>87</v>
      </c>
      <c r="D94" s="3" t="s">
        <v>88</v>
      </c>
      <c r="E94" s="27" t="s">
        <v>90</v>
      </c>
      <c r="F94" s="3" t="s">
        <v>88</v>
      </c>
      <c r="G94" s="27" t="s">
        <v>91</v>
      </c>
      <c r="H94" s="27"/>
    </row>
    <row r="95" spans="1:11" ht="33" hidden="1" x14ac:dyDescent="0.3">
      <c r="A95" s="25"/>
      <c r="B95" s="27"/>
      <c r="C95" s="3" t="s">
        <v>86</v>
      </c>
      <c r="D95" s="3" t="s">
        <v>89</v>
      </c>
      <c r="E95" s="27"/>
      <c r="F95" s="3" t="s">
        <v>90</v>
      </c>
      <c r="G95" s="27" t="s">
        <v>92</v>
      </c>
      <c r="H95" s="27"/>
    </row>
    <row r="96" spans="1:11" ht="17.25" thickBot="1" x14ac:dyDescent="0.35">
      <c r="A96" s="13">
        <v>0</v>
      </c>
      <c r="B96" s="2">
        <v>52064</v>
      </c>
      <c r="C96" s="2">
        <v>22068163</v>
      </c>
      <c r="D96" s="2">
        <v>184428</v>
      </c>
      <c r="E96" s="2">
        <v>72.947900000000004</v>
      </c>
      <c r="F96" s="2">
        <v>0.23330000000000001</v>
      </c>
      <c r="G96" s="2">
        <v>72.490499999999997</v>
      </c>
      <c r="H96" s="2">
        <v>73.405299999999997</v>
      </c>
      <c r="J96" s="8" t="str">
        <f t="shared" ref="J96:J97" si="10">TEXT(E96,"0.00")&amp;" ("&amp;TEXT(G96,"0.00")&amp;" to "&amp;TEXT(H96,"0.00")&amp;")"</f>
        <v>72.95 (72.49 to 73.41)</v>
      </c>
      <c r="K96" t="s">
        <v>24</v>
      </c>
    </row>
    <row r="97" spans="1:11" ht="17.25" thickBot="1" x14ac:dyDescent="0.35">
      <c r="A97" s="13">
        <v>1</v>
      </c>
      <c r="B97" s="2">
        <v>16571</v>
      </c>
      <c r="C97" s="2">
        <v>8183773</v>
      </c>
      <c r="D97" s="2">
        <v>91483</v>
      </c>
      <c r="E97" s="2">
        <v>27.052099999999999</v>
      </c>
      <c r="F97" s="2">
        <v>0.23330000000000001</v>
      </c>
      <c r="G97" s="2">
        <v>26.5947</v>
      </c>
      <c r="H97" s="2">
        <v>27.509499999999999</v>
      </c>
      <c r="J97" s="8" t="str">
        <f t="shared" si="10"/>
        <v>27.05 (26.59 to 27.51)</v>
      </c>
      <c r="K97" t="s">
        <v>24</v>
      </c>
    </row>
    <row r="98" spans="1:11" x14ac:dyDescent="0.3">
      <c r="A98" s="14" t="s">
        <v>93</v>
      </c>
      <c r="B98" s="2">
        <v>68635</v>
      </c>
      <c r="C98" s="2">
        <v>30251936</v>
      </c>
      <c r="D98" s="2">
        <v>228758</v>
      </c>
      <c r="E98" s="2">
        <v>100</v>
      </c>
      <c r="F98" s="2"/>
      <c r="G98" s="2"/>
      <c r="H98" s="2"/>
      <c r="K98" t="s">
        <v>24</v>
      </c>
    </row>
    <row r="99" spans="1:11" hidden="1" x14ac:dyDescent="0.3"/>
    <row r="100" spans="1:11" ht="16.5" hidden="1" customHeight="1" x14ac:dyDescent="0.3">
      <c r="A100" s="24" t="s">
        <v>104</v>
      </c>
      <c r="B100" s="26"/>
      <c r="C100" s="26"/>
      <c r="D100" s="26"/>
      <c r="E100" s="26"/>
      <c r="F100" s="26"/>
      <c r="G100" s="26"/>
      <c r="H100" s="26"/>
    </row>
    <row r="101" spans="1:11" ht="33" hidden="1" customHeight="1" x14ac:dyDescent="0.3">
      <c r="A101" s="25" t="s">
        <v>15</v>
      </c>
      <c r="B101" s="27" t="s">
        <v>86</v>
      </c>
      <c r="C101" s="3" t="s">
        <v>87</v>
      </c>
      <c r="D101" s="3" t="s">
        <v>88</v>
      </c>
      <c r="E101" s="27" t="s">
        <v>90</v>
      </c>
      <c r="F101" s="3" t="s">
        <v>88</v>
      </c>
      <c r="G101" s="27" t="s">
        <v>91</v>
      </c>
      <c r="H101" s="27"/>
    </row>
    <row r="102" spans="1:11" ht="33" hidden="1" x14ac:dyDescent="0.3">
      <c r="A102" s="25"/>
      <c r="B102" s="27"/>
      <c r="C102" s="3" t="s">
        <v>86</v>
      </c>
      <c r="D102" s="3" t="s">
        <v>89</v>
      </c>
      <c r="E102" s="27"/>
      <c r="F102" s="3" t="s">
        <v>90</v>
      </c>
      <c r="G102" s="27" t="s">
        <v>92</v>
      </c>
      <c r="H102" s="27"/>
    </row>
    <row r="103" spans="1:11" ht="17.25" thickBot="1" x14ac:dyDescent="0.35">
      <c r="A103" s="13">
        <v>0</v>
      </c>
      <c r="B103" s="2">
        <v>53910</v>
      </c>
      <c r="C103" s="2">
        <v>25120748</v>
      </c>
      <c r="D103" s="2">
        <v>210229</v>
      </c>
      <c r="E103" s="2">
        <v>83.038499999999999</v>
      </c>
      <c r="F103" s="2">
        <v>0.19189999999999999</v>
      </c>
      <c r="G103" s="2">
        <v>82.662300000000002</v>
      </c>
      <c r="H103" s="2">
        <v>83.414699999999996</v>
      </c>
      <c r="J103" s="8" t="str">
        <f t="shared" ref="J103:J104" si="11">TEXT(E103,"0.00")&amp;" ("&amp;TEXT(G103,"0.00")&amp;" to "&amp;TEXT(H103,"0.00")&amp;")"</f>
        <v>83.04 (82.66 to 83.41)</v>
      </c>
      <c r="K103" t="s">
        <v>24</v>
      </c>
    </row>
    <row r="104" spans="1:11" ht="17.25" thickBot="1" x14ac:dyDescent="0.35">
      <c r="A104" s="13">
        <v>1</v>
      </c>
      <c r="B104" s="2">
        <v>14725</v>
      </c>
      <c r="C104" s="2">
        <v>5131188</v>
      </c>
      <c r="D104" s="2">
        <v>62498</v>
      </c>
      <c r="E104" s="2">
        <v>16.961500000000001</v>
      </c>
      <c r="F104" s="2">
        <v>0.19189999999999999</v>
      </c>
      <c r="G104" s="2">
        <v>16.5853</v>
      </c>
      <c r="H104" s="2">
        <v>17.337700000000002</v>
      </c>
      <c r="J104" s="8" t="str">
        <f t="shared" si="11"/>
        <v>16.96 (16.59 to 17.34)</v>
      </c>
      <c r="K104" t="s">
        <v>24</v>
      </c>
    </row>
    <row r="105" spans="1:11" x14ac:dyDescent="0.3">
      <c r="A105" s="14" t="s">
        <v>93</v>
      </c>
      <c r="B105" s="2">
        <v>68635</v>
      </c>
      <c r="C105" s="2">
        <v>30251936</v>
      </c>
      <c r="D105" s="2">
        <v>228758</v>
      </c>
      <c r="E105" s="2">
        <v>100</v>
      </c>
      <c r="F105" s="2"/>
      <c r="G105" s="2"/>
      <c r="H105" s="2"/>
      <c r="K105" t="s">
        <v>24</v>
      </c>
    </row>
    <row r="106" spans="1:11" hidden="1" x14ac:dyDescent="0.3"/>
    <row r="107" spans="1:11" ht="16.5" hidden="1" customHeight="1" x14ac:dyDescent="0.3">
      <c r="A107" s="24" t="s">
        <v>105</v>
      </c>
      <c r="B107" s="26"/>
      <c r="C107" s="26"/>
      <c r="D107" s="26"/>
      <c r="E107" s="26"/>
      <c r="F107" s="26"/>
      <c r="G107" s="26"/>
      <c r="H107" s="26"/>
    </row>
    <row r="108" spans="1:11" ht="33" hidden="1" customHeight="1" x14ac:dyDescent="0.3">
      <c r="A108" s="25" t="s">
        <v>16</v>
      </c>
      <c r="B108" s="27" t="s">
        <v>86</v>
      </c>
      <c r="C108" s="3" t="s">
        <v>87</v>
      </c>
      <c r="D108" s="3" t="s">
        <v>88</v>
      </c>
      <c r="E108" s="27" t="s">
        <v>90</v>
      </c>
      <c r="F108" s="3" t="s">
        <v>88</v>
      </c>
      <c r="G108" s="27" t="s">
        <v>91</v>
      </c>
      <c r="H108" s="27"/>
    </row>
    <row r="109" spans="1:11" ht="33" hidden="1" x14ac:dyDescent="0.3">
      <c r="A109" s="25"/>
      <c r="B109" s="27"/>
      <c r="C109" s="3" t="s">
        <v>86</v>
      </c>
      <c r="D109" s="3" t="s">
        <v>89</v>
      </c>
      <c r="E109" s="27"/>
      <c r="F109" s="3" t="s">
        <v>90</v>
      </c>
      <c r="G109" s="27" t="s">
        <v>92</v>
      </c>
      <c r="H109" s="27"/>
    </row>
    <row r="110" spans="1:11" ht="17.25" thickBot="1" x14ac:dyDescent="0.35">
      <c r="A110" s="13">
        <v>0</v>
      </c>
      <c r="B110" s="2">
        <v>58467</v>
      </c>
      <c r="C110" s="2">
        <v>26457207</v>
      </c>
      <c r="D110" s="2">
        <v>211261</v>
      </c>
      <c r="E110" s="2">
        <v>87.456199999999995</v>
      </c>
      <c r="F110" s="2">
        <v>0.1542</v>
      </c>
      <c r="G110" s="2">
        <v>87.153800000000004</v>
      </c>
      <c r="H110" s="2">
        <v>87.758700000000005</v>
      </c>
      <c r="J110" s="8" t="str">
        <f t="shared" ref="J110:J111" si="12">TEXT(E110,"0.00")&amp;" ("&amp;TEXT(G110,"0.00")&amp;" to "&amp;TEXT(H110,"0.00")&amp;")"</f>
        <v>87.46 (87.15 to 87.76)</v>
      </c>
      <c r="K110" t="s">
        <v>24</v>
      </c>
    </row>
    <row r="111" spans="1:11" ht="17.25" thickBot="1" x14ac:dyDescent="0.35">
      <c r="A111" s="13">
        <v>1</v>
      </c>
      <c r="B111" s="2">
        <v>10168</v>
      </c>
      <c r="C111" s="2">
        <v>3794729</v>
      </c>
      <c r="D111" s="2">
        <v>51502</v>
      </c>
      <c r="E111" s="2">
        <v>12.543799999999999</v>
      </c>
      <c r="F111" s="2">
        <v>0.1542</v>
      </c>
      <c r="G111" s="2">
        <v>12.241300000000001</v>
      </c>
      <c r="H111" s="2">
        <v>12.8462</v>
      </c>
      <c r="J111" s="8" t="str">
        <f t="shared" si="12"/>
        <v>12.54 (12.24 to 12.85)</v>
      </c>
      <c r="K111" t="s">
        <v>24</v>
      </c>
    </row>
    <row r="112" spans="1:11" x14ac:dyDescent="0.3">
      <c r="A112" s="14" t="s">
        <v>93</v>
      </c>
      <c r="B112" s="2">
        <v>68635</v>
      </c>
      <c r="C112" s="2">
        <v>30251936</v>
      </c>
      <c r="D112" s="2">
        <v>228758</v>
      </c>
      <c r="E112" s="2">
        <v>100</v>
      </c>
      <c r="F112" s="2"/>
      <c r="G112" s="2"/>
      <c r="H112" s="2"/>
      <c r="K112" t="s">
        <v>24</v>
      </c>
    </row>
    <row r="113" spans="1:11" hidden="1" x14ac:dyDescent="0.3"/>
    <row r="114" spans="1:11" ht="16.5" hidden="1" customHeight="1" x14ac:dyDescent="0.3">
      <c r="A114" s="24" t="s">
        <v>106</v>
      </c>
      <c r="B114" s="26"/>
      <c r="C114" s="26"/>
      <c r="D114" s="26"/>
      <c r="E114" s="26"/>
      <c r="F114" s="26"/>
      <c r="G114" s="26"/>
      <c r="H114" s="26"/>
    </row>
    <row r="115" spans="1:11" ht="33" hidden="1" customHeight="1" x14ac:dyDescent="0.3">
      <c r="A115" s="25" t="s">
        <v>17</v>
      </c>
      <c r="B115" s="27" t="s">
        <v>86</v>
      </c>
      <c r="C115" s="3" t="s">
        <v>87</v>
      </c>
      <c r="D115" s="3" t="s">
        <v>88</v>
      </c>
      <c r="E115" s="27" t="s">
        <v>90</v>
      </c>
      <c r="F115" s="3" t="s">
        <v>88</v>
      </c>
      <c r="G115" s="27" t="s">
        <v>91</v>
      </c>
      <c r="H115" s="27"/>
    </row>
    <row r="116" spans="1:11" ht="33" hidden="1" x14ac:dyDescent="0.3">
      <c r="A116" s="25"/>
      <c r="B116" s="27"/>
      <c r="C116" s="3" t="s">
        <v>86</v>
      </c>
      <c r="D116" s="3" t="s">
        <v>89</v>
      </c>
      <c r="E116" s="27"/>
      <c r="F116" s="3" t="s">
        <v>90</v>
      </c>
      <c r="G116" s="27" t="s">
        <v>92</v>
      </c>
      <c r="H116" s="27"/>
    </row>
    <row r="117" spans="1:11" ht="17.25" thickBot="1" x14ac:dyDescent="0.35">
      <c r="A117" s="13">
        <v>0</v>
      </c>
      <c r="B117" s="2">
        <v>67344</v>
      </c>
      <c r="C117" s="2">
        <v>29839323</v>
      </c>
      <c r="D117" s="2">
        <v>227888</v>
      </c>
      <c r="E117" s="2">
        <v>98.636099999999999</v>
      </c>
      <c r="F117" s="2">
        <v>4.7500000000000001E-2</v>
      </c>
      <c r="G117" s="2">
        <v>98.543000000000006</v>
      </c>
      <c r="H117" s="2">
        <v>98.729200000000006</v>
      </c>
      <c r="J117" s="8" t="str">
        <f t="shared" ref="J117:J118" si="13">TEXT(E117,"0.00")&amp;" ("&amp;TEXT(G117,"0.00")&amp;" to "&amp;TEXT(H117,"0.00")&amp;")"</f>
        <v>98.64 (98.54 to 98.73)</v>
      </c>
      <c r="K117" t="s">
        <v>24</v>
      </c>
    </row>
    <row r="118" spans="1:11" ht="17.25" thickBot="1" x14ac:dyDescent="0.35">
      <c r="A118" s="13">
        <v>1</v>
      </c>
      <c r="B118" s="2">
        <v>1291</v>
      </c>
      <c r="C118" s="2">
        <v>412612</v>
      </c>
      <c r="D118" s="2">
        <v>14314</v>
      </c>
      <c r="E118" s="2">
        <v>1.3638999999999999</v>
      </c>
      <c r="F118" s="2">
        <v>4.7500000000000001E-2</v>
      </c>
      <c r="G118" s="2">
        <v>1.2707999999999999</v>
      </c>
      <c r="H118" s="2">
        <v>1.4570000000000001</v>
      </c>
      <c r="J118" s="8" t="str">
        <f t="shared" si="13"/>
        <v>1.36 (1.27 to 1.46)</v>
      </c>
      <c r="K118" t="s">
        <v>24</v>
      </c>
    </row>
    <row r="119" spans="1:11" x14ac:dyDescent="0.3">
      <c r="A119" s="14" t="s">
        <v>93</v>
      </c>
      <c r="B119" s="2">
        <v>68635</v>
      </c>
      <c r="C119" s="2">
        <v>30251936</v>
      </c>
      <c r="D119" s="2">
        <v>228758</v>
      </c>
      <c r="E119" s="2">
        <v>100</v>
      </c>
      <c r="F119" s="2"/>
      <c r="G119" s="2"/>
      <c r="H119" s="2"/>
      <c r="K119" t="s">
        <v>24</v>
      </c>
    </row>
    <row r="120" spans="1:11" hidden="1" x14ac:dyDescent="0.3"/>
    <row r="121" spans="1:11" ht="16.5" hidden="1" customHeight="1" x14ac:dyDescent="0.3">
      <c r="A121" s="24" t="s">
        <v>107</v>
      </c>
      <c r="B121" s="26"/>
      <c r="C121" s="26"/>
      <c r="D121" s="26"/>
      <c r="E121" s="26"/>
      <c r="F121" s="26"/>
      <c r="G121" s="26"/>
      <c r="H121" s="26"/>
    </row>
    <row r="122" spans="1:11" ht="33" hidden="1" customHeight="1" x14ac:dyDescent="0.3">
      <c r="A122" s="25" t="s">
        <v>18</v>
      </c>
      <c r="B122" s="27" t="s">
        <v>86</v>
      </c>
      <c r="C122" s="3" t="s">
        <v>87</v>
      </c>
      <c r="D122" s="3" t="s">
        <v>88</v>
      </c>
      <c r="E122" s="27" t="s">
        <v>90</v>
      </c>
      <c r="F122" s="3" t="s">
        <v>88</v>
      </c>
      <c r="G122" s="27" t="s">
        <v>91</v>
      </c>
      <c r="H122" s="27"/>
    </row>
    <row r="123" spans="1:11" ht="33" hidden="1" x14ac:dyDescent="0.3">
      <c r="A123" s="25"/>
      <c r="B123" s="27"/>
      <c r="C123" s="3" t="s">
        <v>86</v>
      </c>
      <c r="D123" s="3" t="s">
        <v>89</v>
      </c>
      <c r="E123" s="27"/>
      <c r="F123" s="3" t="s">
        <v>90</v>
      </c>
      <c r="G123" s="27" t="s">
        <v>92</v>
      </c>
      <c r="H123" s="27"/>
    </row>
    <row r="124" spans="1:11" ht="17.25" thickBot="1" x14ac:dyDescent="0.35">
      <c r="A124" s="13">
        <v>0</v>
      </c>
      <c r="B124" s="2">
        <v>67998</v>
      </c>
      <c r="C124" s="2">
        <v>30047789</v>
      </c>
      <c r="D124" s="2">
        <v>227796</v>
      </c>
      <c r="E124" s="2">
        <v>99.325199999999995</v>
      </c>
      <c r="F124" s="2">
        <v>3.1699999999999999E-2</v>
      </c>
      <c r="G124" s="2">
        <v>99.263000000000005</v>
      </c>
      <c r="H124" s="2">
        <v>99.387299999999996</v>
      </c>
      <c r="J124" s="8" t="str">
        <f t="shared" ref="J124:J125" si="14">TEXT(E124,"0.00")&amp;" ("&amp;TEXT(G124,"0.00")&amp;" to "&amp;TEXT(H124,"0.00")&amp;")"</f>
        <v>99.33 (99.26 to 99.39)</v>
      </c>
      <c r="K124" t="s">
        <v>24</v>
      </c>
    </row>
    <row r="125" spans="1:11" ht="17.25" thickBot="1" x14ac:dyDescent="0.35">
      <c r="A125" s="13">
        <v>1</v>
      </c>
      <c r="B125" s="2">
        <v>637</v>
      </c>
      <c r="C125" s="2">
        <v>204146</v>
      </c>
      <c r="D125" s="2">
        <v>9654</v>
      </c>
      <c r="E125" s="2">
        <v>0.67479999999999996</v>
      </c>
      <c r="F125" s="2">
        <v>3.1699999999999999E-2</v>
      </c>
      <c r="G125" s="2">
        <v>0.61270000000000002</v>
      </c>
      <c r="H125" s="2">
        <v>0.73699999999999999</v>
      </c>
      <c r="J125" s="8" t="str">
        <f t="shared" si="14"/>
        <v>0.67 (0.61 to 0.74)</v>
      </c>
      <c r="K125" t="s">
        <v>24</v>
      </c>
    </row>
    <row r="126" spans="1:11" x14ac:dyDescent="0.3">
      <c r="A126" s="14" t="s">
        <v>93</v>
      </c>
      <c r="B126" s="2">
        <v>68635</v>
      </c>
      <c r="C126" s="2">
        <v>30251936</v>
      </c>
      <c r="D126" s="2">
        <v>228758</v>
      </c>
      <c r="E126" s="2">
        <v>100</v>
      </c>
      <c r="F126" s="2"/>
      <c r="G126" s="2"/>
      <c r="H126" s="2"/>
      <c r="K126" t="s">
        <v>24</v>
      </c>
    </row>
    <row r="127" spans="1:11" hidden="1" x14ac:dyDescent="0.3"/>
    <row r="128" spans="1:11" ht="16.5" hidden="1" customHeight="1" x14ac:dyDescent="0.3">
      <c r="A128" s="24" t="s">
        <v>108</v>
      </c>
      <c r="B128" s="26"/>
      <c r="C128" s="26"/>
      <c r="D128" s="26"/>
      <c r="E128" s="26"/>
      <c r="F128" s="26"/>
      <c r="G128" s="26"/>
      <c r="H128" s="26"/>
    </row>
    <row r="129" spans="1:11" ht="33" hidden="1" customHeight="1" x14ac:dyDescent="0.3">
      <c r="A129" s="25" t="s">
        <v>19</v>
      </c>
      <c r="B129" s="27" t="s">
        <v>86</v>
      </c>
      <c r="C129" s="3" t="s">
        <v>87</v>
      </c>
      <c r="D129" s="3" t="s">
        <v>88</v>
      </c>
      <c r="E129" s="27" t="s">
        <v>90</v>
      </c>
      <c r="F129" s="3" t="s">
        <v>88</v>
      </c>
      <c r="G129" s="27" t="s">
        <v>91</v>
      </c>
      <c r="H129" s="27"/>
    </row>
    <row r="130" spans="1:11" ht="33" hidden="1" x14ac:dyDescent="0.3">
      <c r="A130" s="25"/>
      <c r="B130" s="27"/>
      <c r="C130" s="3" t="s">
        <v>86</v>
      </c>
      <c r="D130" s="3" t="s">
        <v>89</v>
      </c>
      <c r="E130" s="27"/>
      <c r="F130" s="3" t="s">
        <v>90</v>
      </c>
      <c r="G130" s="27" t="s">
        <v>92</v>
      </c>
      <c r="H130" s="27"/>
    </row>
    <row r="131" spans="1:11" ht="17.25" thickBot="1" x14ac:dyDescent="0.35">
      <c r="A131" s="13">
        <v>0</v>
      </c>
      <c r="B131" s="2">
        <v>67434</v>
      </c>
      <c r="C131" s="2">
        <v>29874191</v>
      </c>
      <c r="D131" s="2">
        <v>227215</v>
      </c>
      <c r="E131" s="2">
        <v>98.751300000000001</v>
      </c>
      <c r="F131" s="2">
        <v>4.3299999999999998E-2</v>
      </c>
      <c r="G131" s="2">
        <v>98.666499999999999</v>
      </c>
      <c r="H131" s="2">
        <v>98.836200000000005</v>
      </c>
      <c r="J131" s="8" t="str">
        <f t="shared" ref="J131:J132" si="15">TEXT(E131,"0.00")&amp;" ("&amp;TEXT(G131,"0.00")&amp;" to "&amp;TEXT(H131,"0.00")&amp;")"</f>
        <v>98.75 (98.67 to 98.84)</v>
      </c>
      <c r="K131" t="s">
        <v>24</v>
      </c>
    </row>
    <row r="132" spans="1:11" ht="17.25" thickBot="1" x14ac:dyDescent="0.35">
      <c r="A132" s="13">
        <v>1</v>
      </c>
      <c r="B132" s="2">
        <v>1201</v>
      </c>
      <c r="C132" s="2">
        <v>377745</v>
      </c>
      <c r="D132" s="2">
        <v>13202</v>
      </c>
      <c r="E132" s="2">
        <v>1.2486999999999999</v>
      </c>
      <c r="F132" s="2">
        <v>4.3299999999999998E-2</v>
      </c>
      <c r="G132" s="2">
        <v>1.1637999999999999</v>
      </c>
      <c r="H132" s="2">
        <v>1.3334999999999999</v>
      </c>
      <c r="J132" s="8" t="str">
        <f t="shared" si="15"/>
        <v>1.25 (1.16 to 1.33)</v>
      </c>
      <c r="K132" t="s">
        <v>24</v>
      </c>
    </row>
    <row r="133" spans="1:11" x14ac:dyDescent="0.3">
      <c r="A133" s="14" t="s">
        <v>93</v>
      </c>
      <c r="B133" s="2">
        <v>68635</v>
      </c>
      <c r="C133" s="2">
        <v>30251936</v>
      </c>
      <c r="D133" s="2">
        <v>228758</v>
      </c>
      <c r="E133" s="2">
        <v>100</v>
      </c>
      <c r="F133" s="2"/>
      <c r="G133" s="2"/>
      <c r="H133" s="2"/>
      <c r="K133" t="s">
        <v>24</v>
      </c>
    </row>
  </sheetData>
  <autoFilter ref="K1:K133" xr:uid="{DF1054CA-EA8D-4B1B-B5FA-6B2E4E95D66A}">
    <filterColumn colId="0">
      <customFilters>
        <customFilter operator="notEqual" val=" "/>
      </customFilters>
    </filterColumn>
  </autoFilter>
  <mergeCells count="98">
    <mergeCell ref="A3:B3"/>
    <mergeCell ref="A9:B9"/>
    <mergeCell ref="A13:H13"/>
    <mergeCell ref="A14:A15"/>
    <mergeCell ref="B14:B15"/>
    <mergeCell ref="E14:E15"/>
    <mergeCell ref="G14:H14"/>
    <mergeCell ref="G15:H15"/>
    <mergeCell ref="A21:H21"/>
    <mergeCell ref="A22:A23"/>
    <mergeCell ref="B22:B23"/>
    <mergeCell ref="E22:E23"/>
    <mergeCell ref="G22:H22"/>
    <mergeCell ref="G23:H23"/>
    <mergeCell ref="A28:H28"/>
    <mergeCell ref="A29:A30"/>
    <mergeCell ref="B29:B30"/>
    <mergeCell ref="E29:E30"/>
    <mergeCell ref="G29:H29"/>
    <mergeCell ref="G30:H30"/>
    <mergeCell ref="A35:H35"/>
    <mergeCell ref="A36:A37"/>
    <mergeCell ref="B36:B37"/>
    <mergeCell ref="E36:E37"/>
    <mergeCell ref="G36:H36"/>
    <mergeCell ref="G37:H37"/>
    <mergeCell ref="A44:H44"/>
    <mergeCell ref="A45:A46"/>
    <mergeCell ref="B45:B46"/>
    <mergeCell ref="E45:E46"/>
    <mergeCell ref="G45:H45"/>
    <mergeCell ref="G46:H46"/>
    <mergeCell ref="A53:H53"/>
    <mergeCell ref="A54:A55"/>
    <mergeCell ref="B54:B55"/>
    <mergeCell ref="E54:E55"/>
    <mergeCell ref="G54:H54"/>
    <mergeCell ref="G55:H55"/>
    <mergeCell ref="A62:H62"/>
    <mergeCell ref="A63:A64"/>
    <mergeCell ref="B63:B64"/>
    <mergeCell ref="E63:E64"/>
    <mergeCell ref="G63:H63"/>
    <mergeCell ref="G64:H64"/>
    <mergeCell ref="A69:H69"/>
    <mergeCell ref="A70:A71"/>
    <mergeCell ref="B70:B71"/>
    <mergeCell ref="E70:E71"/>
    <mergeCell ref="G70:H70"/>
    <mergeCell ref="G71:H71"/>
    <mergeCell ref="A77:H77"/>
    <mergeCell ref="A78:A79"/>
    <mergeCell ref="B78:B79"/>
    <mergeCell ref="E78:E79"/>
    <mergeCell ref="G78:H78"/>
    <mergeCell ref="G79:H79"/>
    <mergeCell ref="A85:H85"/>
    <mergeCell ref="A86:A87"/>
    <mergeCell ref="B86:B87"/>
    <mergeCell ref="E86:E87"/>
    <mergeCell ref="G86:H86"/>
    <mergeCell ref="G87:H87"/>
    <mergeCell ref="A93:H93"/>
    <mergeCell ref="A94:A95"/>
    <mergeCell ref="B94:B95"/>
    <mergeCell ref="E94:E95"/>
    <mergeCell ref="G94:H94"/>
    <mergeCell ref="G95:H95"/>
    <mergeCell ref="A100:H100"/>
    <mergeCell ref="A101:A102"/>
    <mergeCell ref="B101:B102"/>
    <mergeCell ref="E101:E102"/>
    <mergeCell ref="G101:H101"/>
    <mergeCell ref="G102:H102"/>
    <mergeCell ref="A107:H107"/>
    <mergeCell ref="A108:A109"/>
    <mergeCell ref="B108:B109"/>
    <mergeCell ref="E108:E109"/>
    <mergeCell ref="G108:H108"/>
    <mergeCell ref="G109:H109"/>
    <mergeCell ref="A114:H114"/>
    <mergeCell ref="A115:A116"/>
    <mergeCell ref="B115:B116"/>
    <mergeCell ref="E115:E116"/>
    <mergeCell ref="G115:H115"/>
    <mergeCell ref="G116:H116"/>
    <mergeCell ref="A121:H121"/>
    <mergeCell ref="A122:A123"/>
    <mergeCell ref="B122:B123"/>
    <mergeCell ref="E122:E123"/>
    <mergeCell ref="G122:H122"/>
    <mergeCell ref="G123:H123"/>
    <mergeCell ref="A128:H128"/>
    <mergeCell ref="A129:A130"/>
    <mergeCell ref="B129:B130"/>
    <mergeCell ref="E129:E130"/>
    <mergeCell ref="G129:H129"/>
    <mergeCell ref="G130:H13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FCDE-D053-4795-98B2-B856B278C7AB}">
  <sheetPr filterMode="1"/>
  <dimension ref="A1:S365"/>
  <sheetViews>
    <sheetView workbookViewId="0">
      <selection activeCell="O16" sqref="O16"/>
    </sheetView>
  </sheetViews>
  <sheetFormatPr defaultRowHeight="16.5" x14ac:dyDescent="0.3"/>
  <cols>
    <col min="15" max="18" width="20.5" bestFit="1" customWidth="1"/>
  </cols>
  <sheetData>
    <row r="1" spans="1:19" x14ac:dyDescent="0.3">
      <c r="A1" s="1" t="s">
        <v>74</v>
      </c>
    </row>
    <row r="2" spans="1:19" ht="16.5" hidden="1" customHeight="1" x14ac:dyDescent="0.3"/>
    <row r="3" spans="1:19" ht="16.5" hidden="1" customHeight="1" x14ac:dyDescent="0.3">
      <c r="A3" s="24" t="s">
        <v>75</v>
      </c>
      <c r="B3" s="26"/>
    </row>
    <row r="4" spans="1:19" ht="26.25" hidden="1" customHeight="1" thickBot="1" x14ac:dyDescent="0.35">
      <c r="A4" s="13" t="s">
        <v>76</v>
      </c>
      <c r="B4" s="2">
        <v>183</v>
      </c>
    </row>
    <row r="5" spans="1:19" ht="26.25" hidden="1" customHeight="1" thickBot="1" x14ac:dyDescent="0.35">
      <c r="A5" s="13" t="s">
        <v>77</v>
      </c>
      <c r="B5" s="2">
        <v>2982</v>
      </c>
    </row>
    <row r="6" spans="1:19" ht="39" hidden="1" customHeight="1" thickBot="1" x14ac:dyDescent="0.35">
      <c r="A6" s="13" t="s">
        <v>78</v>
      </c>
      <c r="B6" s="2">
        <v>68635</v>
      </c>
    </row>
    <row r="7" spans="1:19" ht="25.5" hidden="1" customHeight="1" x14ac:dyDescent="0.3">
      <c r="A7" s="14" t="s">
        <v>79</v>
      </c>
      <c r="B7" s="2">
        <v>30251935.699999999</v>
      </c>
    </row>
    <row r="8" spans="1:19" ht="16.5" hidden="1" customHeight="1" x14ac:dyDescent="0.3"/>
    <row r="9" spans="1:19" ht="33" hidden="1" customHeight="1" x14ac:dyDescent="0.3">
      <c r="A9" s="24" t="s">
        <v>80</v>
      </c>
      <c r="B9" s="26"/>
    </row>
    <row r="10" spans="1:19" ht="33.75" hidden="1" customHeight="1" thickBot="1" x14ac:dyDescent="0.35">
      <c r="A10" s="13" t="s">
        <v>81</v>
      </c>
      <c r="B10" s="2" t="s">
        <v>82</v>
      </c>
    </row>
    <row r="11" spans="1:19" ht="25.5" hidden="1" customHeight="1" x14ac:dyDescent="0.3">
      <c r="A11" s="14" t="s">
        <v>83</v>
      </c>
      <c r="B11" s="2" t="s">
        <v>84</v>
      </c>
    </row>
    <row r="12" spans="1:19" ht="16.5" hidden="1" customHeight="1" x14ac:dyDescent="0.3"/>
    <row r="13" spans="1:19" ht="16.5" hidden="1" customHeight="1" x14ac:dyDescent="0.3">
      <c r="A13" s="24" t="s">
        <v>112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9" ht="33" hidden="1" customHeight="1" x14ac:dyDescent="0.3">
      <c r="A14" s="25" t="s">
        <v>28</v>
      </c>
      <c r="B14" s="27" t="s">
        <v>1</v>
      </c>
      <c r="C14" s="27" t="s">
        <v>86</v>
      </c>
      <c r="D14" s="3" t="s">
        <v>87</v>
      </c>
      <c r="E14" s="3" t="s">
        <v>88</v>
      </c>
      <c r="F14" s="27" t="s">
        <v>90</v>
      </c>
      <c r="G14" s="3" t="s">
        <v>88</v>
      </c>
      <c r="H14" s="27" t="s">
        <v>91</v>
      </c>
      <c r="I14" s="27"/>
      <c r="J14" s="3" t="s">
        <v>109</v>
      </c>
      <c r="K14" s="3" t="s">
        <v>88</v>
      </c>
      <c r="L14" s="27" t="s">
        <v>91</v>
      </c>
      <c r="M14" s="27"/>
    </row>
    <row r="15" spans="1:19" ht="33" hidden="1" customHeight="1" x14ac:dyDescent="0.3">
      <c r="A15" s="25"/>
      <c r="B15" s="27"/>
      <c r="C15" s="27"/>
      <c r="D15" s="3" t="s">
        <v>86</v>
      </c>
      <c r="E15" s="3" t="s">
        <v>89</v>
      </c>
      <c r="F15" s="27"/>
      <c r="G15" s="3" t="s">
        <v>90</v>
      </c>
      <c r="H15" s="27" t="s">
        <v>92</v>
      </c>
      <c r="I15" s="27"/>
      <c r="J15" s="3" t="s">
        <v>90</v>
      </c>
      <c r="K15" s="3" t="s">
        <v>110</v>
      </c>
      <c r="L15" s="27" t="s">
        <v>111</v>
      </c>
      <c r="M15" s="27"/>
    </row>
    <row r="16" spans="1:19" ht="17.25" thickBot="1" x14ac:dyDescent="0.35">
      <c r="A16" s="6">
        <v>1</v>
      </c>
      <c r="B16" s="12">
        <v>1</v>
      </c>
      <c r="C16" s="2">
        <v>7485</v>
      </c>
      <c r="D16" s="2">
        <v>3973899</v>
      </c>
      <c r="E16" s="2">
        <v>64189</v>
      </c>
      <c r="F16" s="2">
        <v>13.135999999999999</v>
      </c>
      <c r="G16" s="2">
        <v>0.17469999999999999</v>
      </c>
      <c r="H16" s="2">
        <v>12.7934</v>
      </c>
      <c r="I16" s="2">
        <v>13.4786</v>
      </c>
      <c r="J16" s="2">
        <v>56.384599999999999</v>
      </c>
      <c r="K16" s="2">
        <v>0.48859999999999998</v>
      </c>
      <c r="L16" s="2">
        <v>55.426499999999997</v>
      </c>
      <c r="M16" s="2">
        <v>57.342700000000001</v>
      </c>
      <c r="O16" s="8" t="str">
        <f>TEXT(J16,"0.00")&amp;" ("&amp;TEXT(L16,"0.00")&amp;" to "&amp;TEXT(M16,"0.00")&amp;")"</f>
        <v>56.38 (55.43 to 57.34)</v>
      </c>
      <c r="P16" s="8" t="str">
        <f>TEXT(J20,"0.00")&amp;" ("&amp;TEXT(L20,"0.00")&amp;" to "&amp;TEXT(M20,"0.00")&amp;")"</f>
        <v>39.48 (38.46 to 40.50)</v>
      </c>
      <c r="Q16" s="8" t="str">
        <f>TEXT(J24,"0.00")&amp;" ("&amp;TEXT(L24,"0.00")&amp;" to "&amp;TEXT(M24,"0.00")&amp;")"</f>
        <v>30.37 (29.43 to 31.32)</v>
      </c>
      <c r="R16" s="8" t="str">
        <f>TEXT(J28,"0.00")&amp;" ("&amp;TEXT(L28,"0.00")&amp;" to "&amp;TEXT(M28,"0.00")&amp;")"</f>
        <v>31.95 (31.00 to 32.90)</v>
      </c>
      <c r="S16" t="s">
        <v>24</v>
      </c>
    </row>
    <row r="17" spans="1:19" ht="17.25" thickBot="1" x14ac:dyDescent="0.35">
      <c r="A17" s="6"/>
      <c r="B17" s="12">
        <v>2</v>
      </c>
      <c r="C17" s="2">
        <v>6024</v>
      </c>
      <c r="D17" s="2">
        <v>2562565</v>
      </c>
      <c r="E17" s="2">
        <v>43160</v>
      </c>
      <c r="F17" s="2">
        <v>8.4707000000000008</v>
      </c>
      <c r="G17" s="2">
        <v>0.12670000000000001</v>
      </c>
      <c r="H17" s="2">
        <v>8.2222000000000008</v>
      </c>
      <c r="I17" s="2">
        <v>8.7193000000000005</v>
      </c>
      <c r="J17" s="2">
        <v>36.3596</v>
      </c>
      <c r="K17" s="2">
        <v>0.45689999999999997</v>
      </c>
      <c r="L17" s="2">
        <v>35.463700000000003</v>
      </c>
      <c r="M17" s="2">
        <v>37.255499999999998</v>
      </c>
      <c r="O17" s="8" t="str">
        <f t="shared" ref="O17:O18" si="0">TEXT(J17,"0.00")&amp;" ("&amp;TEXT(L17,"0.00")&amp;" to "&amp;TEXT(M17,"0.00")&amp;")"</f>
        <v>36.36 (35.46 to 37.26)</v>
      </c>
      <c r="P17" s="8" t="str">
        <f>TEXT(J21,"0.00")&amp;" ("&amp;TEXT(L21,"0.00")&amp;" to "&amp;TEXT(M21,"0.00")&amp;")"</f>
        <v>48.11 (47.14 to 49.08)</v>
      </c>
      <c r="Q17" s="8" t="str">
        <f t="shared" ref="Q17:Q18" si="1">TEXT(J25,"0.00")&amp;" ("&amp;TEXT(L25,"0.00")&amp;" to "&amp;TEXT(M25,"0.00")&amp;")"</f>
        <v>53.30 (52.41 to 54.19)</v>
      </c>
      <c r="R17" s="8" t="str">
        <f t="shared" ref="R17:R18" si="2">TEXT(J29,"0.00")&amp;" ("&amp;TEXT(L29,"0.00")&amp;" to "&amp;TEXT(M29,"0.00")&amp;")"</f>
        <v>54.88 (53.96 to 55.80)</v>
      </c>
      <c r="S17" t="s">
        <v>24</v>
      </c>
    </row>
    <row r="18" spans="1:19" ht="17.25" thickBot="1" x14ac:dyDescent="0.35">
      <c r="A18" s="6"/>
      <c r="B18" s="12">
        <v>3</v>
      </c>
      <c r="C18" s="2">
        <v>1948</v>
      </c>
      <c r="D18" s="2">
        <v>511377</v>
      </c>
      <c r="E18" s="2">
        <v>14389</v>
      </c>
      <c r="F18" s="2">
        <v>1.6903999999999999</v>
      </c>
      <c r="G18" s="2">
        <v>4.8099999999999997E-2</v>
      </c>
      <c r="H18" s="2">
        <v>1.5960000000000001</v>
      </c>
      <c r="I18" s="2">
        <v>1.7847999999999999</v>
      </c>
      <c r="J18" s="2">
        <v>7.2557999999999998</v>
      </c>
      <c r="K18" s="2">
        <v>0.2084</v>
      </c>
      <c r="L18" s="2">
        <v>6.8472</v>
      </c>
      <c r="M18" s="2">
        <v>7.6643999999999997</v>
      </c>
      <c r="O18" s="8" t="str">
        <f t="shared" si="0"/>
        <v>7.26 (6.85 to 7.66)</v>
      </c>
      <c r="P18" s="8" t="str">
        <f t="shared" ref="P18" si="3">TEXT(J22,"0.00")&amp;" ("&amp;TEXT(L22,"0.00")&amp;" to "&amp;TEXT(M22,"0.00")&amp;")"</f>
        <v>12.41 (11.87 to 12.95)</v>
      </c>
      <c r="Q18" s="8" t="str">
        <f t="shared" si="1"/>
        <v>16.33 (15.70 to 16.95)</v>
      </c>
      <c r="R18" s="8" t="str">
        <f t="shared" si="2"/>
        <v>13.17 (12.64 to 13.70)</v>
      </c>
      <c r="S18" t="s">
        <v>24</v>
      </c>
    </row>
    <row r="19" spans="1:19" ht="17.25" thickBot="1" x14ac:dyDescent="0.35">
      <c r="A19" s="6"/>
      <c r="B19" s="12" t="s">
        <v>93</v>
      </c>
      <c r="C19" s="2">
        <v>15457</v>
      </c>
      <c r="D19" s="2">
        <v>7047841</v>
      </c>
      <c r="E19" s="2">
        <v>85770</v>
      </c>
      <c r="F19" s="2">
        <v>23.2972</v>
      </c>
      <c r="G19" s="2">
        <v>0.20880000000000001</v>
      </c>
      <c r="H19" s="2">
        <v>22.887599999999999</v>
      </c>
      <c r="I19" s="2">
        <v>23.706700000000001</v>
      </c>
      <c r="J19" s="2">
        <v>100</v>
      </c>
      <c r="K19" s="2"/>
      <c r="L19" s="2"/>
      <c r="M19" s="2"/>
      <c r="S19" t="s">
        <v>24</v>
      </c>
    </row>
    <row r="20" spans="1:19" ht="17.25" hidden="1" customHeight="1" thickBot="1" x14ac:dyDescent="0.35">
      <c r="A20" s="6">
        <v>2</v>
      </c>
      <c r="B20" s="12">
        <v>1</v>
      </c>
      <c r="C20" s="2">
        <v>5321</v>
      </c>
      <c r="D20" s="2">
        <v>2969871</v>
      </c>
      <c r="E20" s="2">
        <v>54296</v>
      </c>
      <c r="F20" s="2">
        <v>9.8170999999999999</v>
      </c>
      <c r="G20" s="2">
        <v>0.15690000000000001</v>
      </c>
      <c r="H20" s="2">
        <v>9.5093999999999994</v>
      </c>
      <c r="I20" s="2">
        <v>10.1248</v>
      </c>
      <c r="J20" s="2">
        <v>39.484400000000001</v>
      </c>
      <c r="K20" s="2">
        <v>0.52</v>
      </c>
      <c r="L20" s="2">
        <v>38.4649</v>
      </c>
      <c r="M20" s="2">
        <v>40.503900000000002</v>
      </c>
    </row>
    <row r="21" spans="1:19" ht="17.25" hidden="1" customHeight="1" thickBot="1" x14ac:dyDescent="0.35">
      <c r="A21" s="6"/>
      <c r="B21" s="12">
        <v>2</v>
      </c>
      <c r="C21" s="2">
        <v>8501</v>
      </c>
      <c r="D21" s="2">
        <v>3618351</v>
      </c>
      <c r="E21" s="2">
        <v>54451</v>
      </c>
      <c r="F21" s="2">
        <v>11.960699999999999</v>
      </c>
      <c r="G21" s="2">
        <v>0.15129999999999999</v>
      </c>
      <c r="H21" s="2">
        <v>11.664099999999999</v>
      </c>
      <c r="I21" s="2">
        <v>12.257300000000001</v>
      </c>
      <c r="J21" s="2">
        <v>48.105899999999998</v>
      </c>
      <c r="K21" s="2">
        <v>0.4945</v>
      </c>
      <c r="L21" s="2">
        <v>47.136299999999999</v>
      </c>
      <c r="M21" s="2">
        <v>49.075499999999998</v>
      </c>
    </row>
    <row r="22" spans="1:19" ht="17.25" hidden="1" customHeight="1" thickBot="1" x14ac:dyDescent="0.35">
      <c r="A22" s="6"/>
      <c r="B22" s="12">
        <v>3</v>
      </c>
      <c r="C22" s="2">
        <v>3500</v>
      </c>
      <c r="D22" s="2">
        <v>933412</v>
      </c>
      <c r="E22" s="2">
        <v>20334</v>
      </c>
      <c r="F22" s="2">
        <v>3.0855000000000001</v>
      </c>
      <c r="G22" s="2">
        <v>6.88E-2</v>
      </c>
      <c r="H22" s="2">
        <v>2.9506000000000001</v>
      </c>
      <c r="I22" s="2">
        <v>3.2202999999999999</v>
      </c>
      <c r="J22" s="2">
        <v>12.409700000000001</v>
      </c>
      <c r="K22" s="2">
        <v>0.27510000000000001</v>
      </c>
      <c r="L22" s="2">
        <v>11.8703</v>
      </c>
      <c r="M22" s="2">
        <v>12.9491</v>
      </c>
    </row>
    <row r="23" spans="1:19" ht="17.25" hidden="1" customHeight="1" thickBot="1" x14ac:dyDescent="0.35">
      <c r="A23" s="6"/>
      <c r="B23" s="12" t="s">
        <v>93</v>
      </c>
      <c r="C23" s="2">
        <v>17322</v>
      </c>
      <c r="D23" s="2">
        <v>7521633</v>
      </c>
      <c r="E23" s="2">
        <v>82230</v>
      </c>
      <c r="F23" s="2">
        <v>24.863299999999999</v>
      </c>
      <c r="G23" s="2">
        <v>0.1913</v>
      </c>
      <c r="H23" s="2">
        <v>24.488199999999999</v>
      </c>
      <c r="I23" s="2">
        <v>25.238399999999999</v>
      </c>
      <c r="J23" s="2">
        <v>100</v>
      </c>
      <c r="K23" s="2"/>
      <c r="L23" s="2"/>
      <c r="M23" s="2"/>
    </row>
    <row r="24" spans="1:19" ht="17.25" hidden="1" customHeight="1" thickBot="1" x14ac:dyDescent="0.35">
      <c r="A24" s="6">
        <v>3</v>
      </c>
      <c r="B24" s="12">
        <v>1</v>
      </c>
      <c r="C24" s="2">
        <v>3947</v>
      </c>
      <c r="D24" s="2">
        <v>2306929</v>
      </c>
      <c r="E24" s="2">
        <v>46902</v>
      </c>
      <c r="F24" s="2">
        <v>7.6257000000000001</v>
      </c>
      <c r="G24" s="2">
        <v>0.1394</v>
      </c>
      <c r="H24" s="2">
        <v>7.3525</v>
      </c>
      <c r="I24" s="2">
        <v>7.899</v>
      </c>
      <c r="J24" s="2">
        <v>30.3719</v>
      </c>
      <c r="K24" s="2">
        <v>0.4819</v>
      </c>
      <c r="L24" s="2">
        <v>29.427099999999999</v>
      </c>
      <c r="M24" s="2">
        <v>31.316800000000001</v>
      </c>
    </row>
    <row r="25" spans="1:19" ht="17.25" hidden="1" customHeight="1" thickBot="1" x14ac:dyDescent="0.35">
      <c r="A25" s="6"/>
      <c r="B25" s="12">
        <v>2</v>
      </c>
      <c r="C25" s="2">
        <v>9240</v>
      </c>
      <c r="D25" s="2">
        <v>4048464</v>
      </c>
      <c r="E25" s="2">
        <v>55255</v>
      </c>
      <c r="F25" s="2">
        <v>13.3825</v>
      </c>
      <c r="G25" s="2">
        <v>0.15110000000000001</v>
      </c>
      <c r="H25" s="2">
        <v>13.0862</v>
      </c>
      <c r="I25" s="2">
        <v>13.678800000000001</v>
      </c>
      <c r="J25" s="2">
        <v>53.300199999999997</v>
      </c>
      <c r="K25" s="2">
        <v>0.4551</v>
      </c>
      <c r="L25" s="2">
        <v>52.407899999999998</v>
      </c>
      <c r="M25" s="2">
        <v>54.192399999999999</v>
      </c>
    </row>
    <row r="26" spans="1:19" ht="17.25" hidden="1" customHeight="1" thickBot="1" x14ac:dyDescent="0.35">
      <c r="A26" s="6"/>
      <c r="B26" s="12">
        <v>3</v>
      </c>
      <c r="C26" s="2">
        <v>4641</v>
      </c>
      <c r="D26" s="2">
        <v>1240201</v>
      </c>
      <c r="E26" s="2">
        <v>24727</v>
      </c>
      <c r="F26" s="2">
        <v>4.0995999999999997</v>
      </c>
      <c r="G26" s="2">
        <v>8.3699999999999997E-2</v>
      </c>
      <c r="H26" s="2">
        <v>3.9354</v>
      </c>
      <c r="I26" s="2">
        <v>4.2637</v>
      </c>
      <c r="J26" s="2">
        <v>16.3279</v>
      </c>
      <c r="K26" s="2">
        <v>0.31790000000000002</v>
      </c>
      <c r="L26" s="2">
        <v>15.704499999999999</v>
      </c>
      <c r="M26" s="2">
        <v>16.9513</v>
      </c>
    </row>
    <row r="27" spans="1:19" ht="17.25" hidden="1" customHeight="1" thickBot="1" x14ac:dyDescent="0.35">
      <c r="A27" s="6"/>
      <c r="B27" s="12" t="s">
        <v>93</v>
      </c>
      <c r="C27" s="2">
        <v>17828</v>
      </c>
      <c r="D27" s="2">
        <v>7595594</v>
      </c>
      <c r="E27" s="2">
        <v>80574</v>
      </c>
      <c r="F27" s="2">
        <v>25.107800000000001</v>
      </c>
      <c r="G27" s="2">
        <v>0.19489999999999999</v>
      </c>
      <c r="H27" s="2">
        <v>24.7257</v>
      </c>
      <c r="I27" s="2">
        <v>25.489899999999999</v>
      </c>
      <c r="J27" s="2">
        <v>100</v>
      </c>
      <c r="K27" s="2"/>
      <c r="L27" s="2"/>
      <c r="M27" s="2"/>
    </row>
    <row r="28" spans="1:19" ht="17.25" hidden="1" customHeight="1" thickBot="1" x14ac:dyDescent="0.35">
      <c r="A28" s="6">
        <v>4</v>
      </c>
      <c r="B28" s="12">
        <v>1</v>
      </c>
      <c r="C28" s="2">
        <v>4326</v>
      </c>
      <c r="D28" s="2">
        <v>2583815</v>
      </c>
      <c r="E28" s="2">
        <v>49419</v>
      </c>
      <c r="F28" s="2">
        <v>8.5410000000000004</v>
      </c>
      <c r="G28" s="2">
        <v>0.1484</v>
      </c>
      <c r="H28" s="2">
        <v>8.2500999999999998</v>
      </c>
      <c r="I28" s="2">
        <v>8.8318999999999992</v>
      </c>
      <c r="J28" s="2">
        <v>31.950700000000001</v>
      </c>
      <c r="K28" s="2">
        <v>0.4844</v>
      </c>
      <c r="L28" s="2">
        <v>31.001000000000001</v>
      </c>
      <c r="M28" s="2">
        <v>32.900500000000001</v>
      </c>
    </row>
    <row r="29" spans="1:19" ht="17.25" hidden="1" customHeight="1" thickBot="1" x14ac:dyDescent="0.35">
      <c r="A29" s="6"/>
      <c r="B29" s="12">
        <v>2</v>
      </c>
      <c r="C29" s="2">
        <v>9705</v>
      </c>
      <c r="D29" s="2">
        <v>4438010</v>
      </c>
      <c r="E29" s="2">
        <v>61360</v>
      </c>
      <c r="F29" s="2">
        <v>14.670199999999999</v>
      </c>
      <c r="G29" s="2">
        <v>0.1696</v>
      </c>
      <c r="H29" s="2">
        <v>14.3376</v>
      </c>
      <c r="I29" s="2">
        <v>15.002700000000001</v>
      </c>
      <c r="J29" s="2">
        <v>54.879199999999997</v>
      </c>
      <c r="K29" s="2">
        <v>0.46889999999999998</v>
      </c>
      <c r="L29" s="2">
        <v>53.959899999999998</v>
      </c>
      <c r="M29" s="2">
        <v>55.7986</v>
      </c>
    </row>
    <row r="30" spans="1:19" ht="17.25" hidden="1" customHeight="1" thickBot="1" x14ac:dyDescent="0.35">
      <c r="A30" s="6"/>
      <c r="B30" s="12">
        <v>3</v>
      </c>
      <c r="C30" s="2">
        <v>3997</v>
      </c>
      <c r="D30" s="2">
        <v>1065043</v>
      </c>
      <c r="E30" s="2">
        <v>22587</v>
      </c>
      <c r="F30" s="2">
        <v>3.5206</v>
      </c>
      <c r="G30" s="2">
        <v>7.6100000000000001E-2</v>
      </c>
      <c r="H30" s="2">
        <v>3.3713000000000002</v>
      </c>
      <c r="I30" s="2">
        <v>3.6699000000000002</v>
      </c>
      <c r="J30" s="2">
        <v>13.17</v>
      </c>
      <c r="K30" s="2">
        <v>0.26950000000000002</v>
      </c>
      <c r="L30" s="2">
        <v>12.6416</v>
      </c>
      <c r="M30" s="2">
        <v>13.698399999999999</v>
      </c>
    </row>
    <row r="31" spans="1:19" ht="17.25" hidden="1" customHeight="1" thickBot="1" x14ac:dyDescent="0.35">
      <c r="A31" s="6"/>
      <c r="B31" s="12" t="s">
        <v>93</v>
      </c>
      <c r="C31" s="2">
        <v>18028</v>
      </c>
      <c r="D31" s="2">
        <v>8086868</v>
      </c>
      <c r="E31" s="2">
        <v>85733</v>
      </c>
      <c r="F31" s="2">
        <v>26.7317</v>
      </c>
      <c r="G31" s="2">
        <v>0.2117</v>
      </c>
      <c r="H31" s="2">
        <v>26.316600000000001</v>
      </c>
      <c r="I31" s="2">
        <v>27.146899999999999</v>
      </c>
      <c r="J31" s="2">
        <v>100</v>
      </c>
      <c r="K31" s="2"/>
      <c r="L31" s="2"/>
      <c r="M31" s="2"/>
    </row>
    <row r="32" spans="1:19" ht="17.25" hidden="1" customHeight="1" thickBot="1" x14ac:dyDescent="0.35">
      <c r="A32" s="6" t="s">
        <v>93</v>
      </c>
      <c r="B32" s="12">
        <v>1</v>
      </c>
      <c r="C32" s="2">
        <v>21079</v>
      </c>
      <c r="D32" s="2">
        <v>11834513</v>
      </c>
      <c r="E32" s="2">
        <v>141523</v>
      </c>
      <c r="F32" s="2">
        <v>39.119900000000001</v>
      </c>
      <c r="G32" s="2">
        <v>0.31680000000000003</v>
      </c>
      <c r="H32" s="2">
        <v>38.498699999999999</v>
      </c>
      <c r="I32" s="2">
        <v>39.741</v>
      </c>
      <c r="J32" s="2"/>
      <c r="K32" s="2"/>
      <c r="L32" s="2"/>
      <c r="M32" s="2"/>
    </row>
    <row r="33" spans="1:19" ht="17.25" hidden="1" customHeight="1" thickBot="1" x14ac:dyDescent="0.35">
      <c r="A33" s="6"/>
      <c r="B33" s="12">
        <v>2</v>
      </c>
      <c r="C33" s="2">
        <v>33470</v>
      </c>
      <c r="D33" s="2">
        <v>14667390</v>
      </c>
      <c r="E33" s="2">
        <v>140978</v>
      </c>
      <c r="F33" s="2">
        <v>48.484099999999998</v>
      </c>
      <c r="G33" s="2">
        <v>0.27379999999999999</v>
      </c>
      <c r="H33" s="2">
        <v>47.947200000000002</v>
      </c>
      <c r="I33" s="2">
        <v>49.021099999999997</v>
      </c>
      <c r="J33" s="2"/>
      <c r="K33" s="2"/>
      <c r="L33" s="2"/>
      <c r="M33" s="2"/>
    </row>
    <row r="34" spans="1:19" ht="17.25" hidden="1" customHeight="1" thickBot="1" x14ac:dyDescent="0.35">
      <c r="A34" s="6"/>
      <c r="B34" s="12">
        <v>3</v>
      </c>
      <c r="C34" s="2">
        <v>14086</v>
      </c>
      <c r="D34" s="2">
        <v>3750032</v>
      </c>
      <c r="E34" s="2">
        <v>51705</v>
      </c>
      <c r="F34" s="2">
        <v>12.396000000000001</v>
      </c>
      <c r="G34" s="2">
        <v>0.17949999999999999</v>
      </c>
      <c r="H34" s="2">
        <v>12.044</v>
      </c>
      <c r="I34" s="2">
        <v>12.747999999999999</v>
      </c>
      <c r="J34" s="2"/>
      <c r="K34" s="2"/>
      <c r="L34" s="2"/>
      <c r="M34" s="2"/>
    </row>
    <row r="35" spans="1:19" ht="16.5" hidden="1" customHeight="1" x14ac:dyDescent="0.3">
      <c r="A35" s="6"/>
      <c r="B35" s="15" t="s">
        <v>93</v>
      </c>
      <c r="C35" s="2">
        <v>68635</v>
      </c>
      <c r="D35" s="2">
        <v>30251936</v>
      </c>
      <c r="E35" s="2">
        <v>228758</v>
      </c>
      <c r="F35" s="2">
        <v>100</v>
      </c>
      <c r="G35" s="2"/>
      <c r="H35" s="2"/>
      <c r="I35" s="2"/>
      <c r="J35" s="2"/>
      <c r="K35" s="2"/>
      <c r="L35" s="2"/>
      <c r="M35" s="2"/>
    </row>
    <row r="36" spans="1:19" ht="16.5" hidden="1" customHeight="1" x14ac:dyDescent="0.3"/>
    <row r="37" spans="1:19" ht="16.5" hidden="1" customHeight="1" x14ac:dyDescent="0.3">
      <c r="A37" s="24" t="s">
        <v>113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1:19" ht="33" hidden="1" customHeight="1" x14ac:dyDescent="0.3">
      <c r="A38" s="25" t="s">
        <v>28</v>
      </c>
      <c r="B38" s="27" t="s">
        <v>5</v>
      </c>
      <c r="C38" s="27" t="s">
        <v>86</v>
      </c>
      <c r="D38" s="3" t="s">
        <v>87</v>
      </c>
      <c r="E38" s="3" t="s">
        <v>88</v>
      </c>
      <c r="F38" s="27" t="s">
        <v>90</v>
      </c>
      <c r="G38" s="3" t="s">
        <v>88</v>
      </c>
      <c r="H38" s="27" t="s">
        <v>91</v>
      </c>
      <c r="I38" s="27"/>
      <c r="J38" s="3" t="s">
        <v>109</v>
      </c>
      <c r="K38" s="3" t="s">
        <v>88</v>
      </c>
      <c r="L38" s="27" t="s">
        <v>91</v>
      </c>
      <c r="M38" s="27"/>
    </row>
    <row r="39" spans="1:19" ht="33" hidden="1" customHeight="1" x14ac:dyDescent="0.3">
      <c r="A39" s="25"/>
      <c r="B39" s="27"/>
      <c r="C39" s="27"/>
      <c r="D39" s="3" t="s">
        <v>86</v>
      </c>
      <c r="E39" s="3" t="s">
        <v>89</v>
      </c>
      <c r="F39" s="27"/>
      <c r="G39" s="3" t="s">
        <v>90</v>
      </c>
      <c r="H39" s="27" t="s">
        <v>92</v>
      </c>
      <c r="I39" s="27"/>
      <c r="J39" s="3" t="s">
        <v>90</v>
      </c>
      <c r="K39" s="3" t="s">
        <v>110</v>
      </c>
      <c r="L39" s="27" t="s">
        <v>111</v>
      </c>
      <c r="M39" s="27"/>
    </row>
    <row r="40" spans="1:19" ht="17.25" thickBot="1" x14ac:dyDescent="0.35">
      <c r="A40" s="6">
        <v>1</v>
      </c>
      <c r="B40" s="12">
        <v>1</v>
      </c>
      <c r="C40" s="2">
        <v>4325</v>
      </c>
      <c r="D40" s="2">
        <v>2207511</v>
      </c>
      <c r="E40" s="2">
        <v>44961</v>
      </c>
      <c r="F40" s="2">
        <v>7.2971000000000004</v>
      </c>
      <c r="G40" s="2">
        <v>0.13500000000000001</v>
      </c>
      <c r="H40" s="2">
        <v>7.0323000000000002</v>
      </c>
      <c r="I40" s="2">
        <v>7.5617999999999999</v>
      </c>
      <c r="J40" s="2">
        <v>31.3218</v>
      </c>
      <c r="K40" s="2">
        <v>0.47039999999999998</v>
      </c>
      <c r="L40" s="2">
        <v>30.3995</v>
      </c>
      <c r="M40" s="2">
        <v>32.244100000000003</v>
      </c>
      <c r="O40" s="8" t="str">
        <f>TEXT(J40,"0.00")&amp;" ("&amp;TEXT(L40,"0.00")&amp;" to "&amp;TEXT(M40,"0.00")&amp;")"</f>
        <v>31.32 (30.40 to 32.24)</v>
      </c>
      <c r="P40" s="8" t="str">
        <f>TEXT(J43,"0.00")&amp;" ("&amp;TEXT(L43,"0.00")&amp;" to "&amp;TEXT(M43,"0.00")&amp;")"</f>
        <v>50.26 (49.40 to 51.12)</v>
      </c>
      <c r="Q40" s="8" t="str">
        <f>TEXT(J46,"0.00")&amp;" ("&amp;TEXT(L46,"0.00")&amp;" to "&amp;TEXT(M46,"0.00")&amp;")"</f>
        <v>62.69 (61.91 to 63.48)</v>
      </c>
      <c r="R40" s="8" t="str">
        <f>TEXT(J49,"0.00")&amp;" ("&amp;TEXT(L49,"0.00")&amp;" to "&amp;TEXT(M49,"0.00")&amp;")"</f>
        <v>70.47 (69.73 to 71.22)</v>
      </c>
      <c r="S40" t="s">
        <v>24</v>
      </c>
    </row>
    <row r="41" spans="1:19" ht="17.25" thickBot="1" x14ac:dyDescent="0.35">
      <c r="A41" s="6"/>
      <c r="B41" s="12">
        <v>2</v>
      </c>
      <c r="C41" s="2">
        <v>11132</v>
      </c>
      <c r="D41" s="2">
        <v>4840330</v>
      </c>
      <c r="E41" s="2">
        <v>64256</v>
      </c>
      <c r="F41" s="2">
        <v>16.0001</v>
      </c>
      <c r="G41" s="2">
        <v>0.16830000000000001</v>
      </c>
      <c r="H41" s="2">
        <v>15.6701</v>
      </c>
      <c r="I41" s="2">
        <v>16.330100000000002</v>
      </c>
      <c r="J41" s="2">
        <v>68.678200000000004</v>
      </c>
      <c r="K41" s="2">
        <v>0.47039999999999998</v>
      </c>
      <c r="L41" s="2">
        <v>67.755899999999997</v>
      </c>
      <c r="M41" s="2">
        <v>69.600499999999997</v>
      </c>
      <c r="O41" s="8" t="str">
        <f>TEXT(J41,"0.00")&amp;" ("&amp;TEXT(L41,"0.00")&amp;" to "&amp;TEXT(M41,"0.00")&amp;")"</f>
        <v>68.68 (67.76 to 69.60)</v>
      </c>
      <c r="P41" s="8" t="str">
        <f>TEXT(J44,"0.00")&amp;" ("&amp;TEXT(L44,"0.00")&amp;" to "&amp;TEXT(M44,"0.00")&amp;")"</f>
        <v>49.74 (48.88 to 50.60)</v>
      </c>
      <c r="Q41" s="8" t="str">
        <f>TEXT(J47,"0.00")&amp;" ("&amp;TEXT(L47,"0.00")&amp;" to "&amp;TEXT(M47,"0.00")&amp;")"</f>
        <v>37.31 (36.52 to 38.09)</v>
      </c>
      <c r="R41" s="8" t="str">
        <f>TEXT(J50,"0.00")&amp;" ("&amp;TEXT(L50,"0.00")&amp;" to "&amp;TEXT(M50,"0.00")&amp;")"</f>
        <v>29.53 (28.78 to 30.27)</v>
      </c>
      <c r="S41" t="s">
        <v>24</v>
      </c>
    </row>
    <row r="42" spans="1:19" ht="17.25" thickBot="1" x14ac:dyDescent="0.35">
      <c r="A42" s="6"/>
      <c r="B42" s="12" t="s">
        <v>93</v>
      </c>
      <c r="C42" s="2">
        <v>15457</v>
      </c>
      <c r="D42" s="2">
        <v>7047841</v>
      </c>
      <c r="E42" s="2">
        <v>85770</v>
      </c>
      <c r="F42" s="2">
        <v>23.2972</v>
      </c>
      <c r="G42" s="2">
        <v>0.20880000000000001</v>
      </c>
      <c r="H42" s="2">
        <v>22.887599999999999</v>
      </c>
      <c r="I42" s="2">
        <v>23.706700000000001</v>
      </c>
      <c r="J42" s="2">
        <v>100</v>
      </c>
      <c r="K42" s="2"/>
      <c r="L42" s="2"/>
      <c r="M42" s="2"/>
      <c r="O42" s="8"/>
      <c r="P42" s="8"/>
      <c r="Q42" s="8"/>
      <c r="R42" s="8"/>
      <c r="S42" t="s">
        <v>24</v>
      </c>
    </row>
    <row r="43" spans="1:19" ht="17.25" hidden="1" customHeight="1" thickBot="1" x14ac:dyDescent="0.35">
      <c r="A43" s="6">
        <v>2</v>
      </c>
      <c r="B43" s="12">
        <v>1</v>
      </c>
      <c r="C43" s="2">
        <v>7619</v>
      </c>
      <c r="D43" s="2">
        <v>3780382</v>
      </c>
      <c r="E43" s="2">
        <v>54894</v>
      </c>
      <c r="F43" s="2">
        <v>12.4963</v>
      </c>
      <c r="G43" s="2">
        <v>0.1542</v>
      </c>
      <c r="H43" s="2">
        <v>12.194000000000001</v>
      </c>
      <c r="I43" s="2">
        <v>12.7987</v>
      </c>
      <c r="J43" s="2">
        <v>50.260100000000001</v>
      </c>
      <c r="K43" s="2">
        <v>0.4395</v>
      </c>
      <c r="L43" s="2">
        <v>49.398299999999999</v>
      </c>
      <c r="M43" s="2">
        <v>51.121899999999997</v>
      </c>
    </row>
    <row r="44" spans="1:19" ht="17.25" hidden="1" customHeight="1" thickBot="1" x14ac:dyDescent="0.35">
      <c r="A44" s="6"/>
      <c r="B44" s="12">
        <v>2</v>
      </c>
      <c r="C44" s="2">
        <v>9703</v>
      </c>
      <c r="D44" s="2">
        <v>3741251</v>
      </c>
      <c r="E44" s="2">
        <v>50553</v>
      </c>
      <c r="F44" s="2">
        <v>12.367000000000001</v>
      </c>
      <c r="G44" s="2">
        <v>0.13569999999999999</v>
      </c>
      <c r="H44" s="2">
        <v>12.1008</v>
      </c>
      <c r="I44" s="2">
        <v>12.6332</v>
      </c>
      <c r="J44" s="2">
        <v>49.739899999999999</v>
      </c>
      <c r="K44" s="2">
        <v>0.4395</v>
      </c>
      <c r="L44" s="2">
        <v>48.878100000000003</v>
      </c>
      <c r="M44" s="2">
        <v>50.601700000000001</v>
      </c>
    </row>
    <row r="45" spans="1:19" ht="17.25" hidden="1" customHeight="1" thickBot="1" x14ac:dyDescent="0.35">
      <c r="A45" s="6"/>
      <c r="B45" s="12" t="s">
        <v>93</v>
      </c>
      <c r="C45" s="2">
        <v>17322</v>
      </c>
      <c r="D45" s="2">
        <v>7521633</v>
      </c>
      <c r="E45" s="2">
        <v>82230</v>
      </c>
      <c r="F45" s="2">
        <v>24.863299999999999</v>
      </c>
      <c r="G45" s="2">
        <v>0.1913</v>
      </c>
      <c r="H45" s="2">
        <v>24.488199999999999</v>
      </c>
      <c r="I45" s="2">
        <v>25.238399999999999</v>
      </c>
      <c r="J45" s="2">
        <v>100</v>
      </c>
      <c r="K45" s="2"/>
      <c r="L45" s="2"/>
      <c r="M45" s="2"/>
    </row>
    <row r="46" spans="1:19" ht="17.25" hidden="1" customHeight="1" thickBot="1" x14ac:dyDescent="0.35">
      <c r="A46" s="6">
        <v>3</v>
      </c>
      <c r="B46" s="12">
        <v>1</v>
      </c>
      <c r="C46" s="2">
        <v>9912</v>
      </c>
      <c r="D46" s="2">
        <v>4761952</v>
      </c>
      <c r="E46" s="2">
        <v>61795</v>
      </c>
      <c r="F46" s="2">
        <v>15.741</v>
      </c>
      <c r="G46" s="2">
        <v>0.16309999999999999</v>
      </c>
      <c r="H46" s="2">
        <v>15.421099999999999</v>
      </c>
      <c r="I46" s="2">
        <v>16.0609</v>
      </c>
      <c r="J46" s="2">
        <v>62.693600000000004</v>
      </c>
      <c r="K46" s="2">
        <v>0.4</v>
      </c>
      <c r="L46" s="2">
        <v>61.909399999999998</v>
      </c>
      <c r="M46" s="2">
        <v>63.477800000000002</v>
      </c>
    </row>
    <row r="47" spans="1:19" ht="17.25" hidden="1" customHeight="1" thickBot="1" x14ac:dyDescent="0.35">
      <c r="A47" s="6"/>
      <c r="B47" s="12">
        <v>2</v>
      </c>
      <c r="C47" s="2">
        <v>7916</v>
      </c>
      <c r="D47" s="2">
        <v>2833642</v>
      </c>
      <c r="E47" s="2">
        <v>40271</v>
      </c>
      <c r="F47" s="2">
        <v>9.3667999999999996</v>
      </c>
      <c r="G47" s="2">
        <v>0.1201</v>
      </c>
      <c r="H47" s="2">
        <v>9.1313999999999993</v>
      </c>
      <c r="I47" s="2">
        <v>9.6022999999999996</v>
      </c>
      <c r="J47" s="2">
        <v>37.306399999999996</v>
      </c>
      <c r="K47" s="2">
        <v>0.4</v>
      </c>
      <c r="L47" s="2">
        <v>36.522199999999998</v>
      </c>
      <c r="M47" s="2">
        <v>38.090600000000002</v>
      </c>
    </row>
    <row r="48" spans="1:19" ht="17.25" hidden="1" customHeight="1" thickBot="1" x14ac:dyDescent="0.35">
      <c r="A48" s="6"/>
      <c r="B48" s="12" t="s">
        <v>93</v>
      </c>
      <c r="C48" s="2">
        <v>17828</v>
      </c>
      <c r="D48" s="2">
        <v>7595594</v>
      </c>
      <c r="E48" s="2">
        <v>80574</v>
      </c>
      <c r="F48" s="2">
        <v>25.107800000000001</v>
      </c>
      <c r="G48" s="2">
        <v>0.19489999999999999</v>
      </c>
      <c r="H48" s="2">
        <v>24.7257</v>
      </c>
      <c r="I48" s="2">
        <v>25.489899999999999</v>
      </c>
      <c r="J48" s="2">
        <v>100</v>
      </c>
      <c r="K48" s="2"/>
      <c r="L48" s="2"/>
      <c r="M48" s="2"/>
    </row>
    <row r="49" spans="1:19" ht="17.25" hidden="1" customHeight="1" thickBot="1" x14ac:dyDescent="0.35">
      <c r="A49" s="6">
        <v>4</v>
      </c>
      <c r="B49" s="12">
        <v>1</v>
      </c>
      <c r="C49" s="2">
        <v>11344</v>
      </c>
      <c r="D49" s="2">
        <v>5698986</v>
      </c>
      <c r="E49" s="2">
        <v>69582</v>
      </c>
      <c r="F49" s="2">
        <v>18.8384</v>
      </c>
      <c r="G49" s="2">
        <v>0.1799</v>
      </c>
      <c r="H49" s="2">
        <v>18.485600000000002</v>
      </c>
      <c r="I49" s="2">
        <v>19.191199999999998</v>
      </c>
      <c r="J49" s="2">
        <v>70.472099999999998</v>
      </c>
      <c r="K49" s="2">
        <v>0.37940000000000002</v>
      </c>
      <c r="L49" s="2">
        <v>69.728099999999998</v>
      </c>
      <c r="M49" s="2">
        <v>71.216099999999997</v>
      </c>
    </row>
    <row r="50" spans="1:19" ht="17.25" hidden="1" customHeight="1" thickBot="1" x14ac:dyDescent="0.35">
      <c r="A50" s="6"/>
      <c r="B50" s="12">
        <v>2</v>
      </c>
      <c r="C50" s="2">
        <v>6684</v>
      </c>
      <c r="D50" s="2">
        <v>2387882</v>
      </c>
      <c r="E50" s="2">
        <v>38442</v>
      </c>
      <c r="F50" s="2">
        <v>7.8933</v>
      </c>
      <c r="G50" s="2">
        <v>0.1195</v>
      </c>
      <c r="H50" s="2">
        <v>7.6590999999999996</v>
      </c>
      <c r="I50" s="2">
        <v>8.1275999999999993</v>
      </c>
      <c r="J50" s="2">
        <v>29.527899999999999</v>
      </c>
      <c r="K50" s="2">
        <v>0.37940000000000002</v>
      </c>
      <c r="L50" s="2">
        <v>28.783899999999999</v>
      </c>
      <c r="M50" s="2">
        <v>30.271899999999999</v>
      </c>
    </row>
    <row r="51" spans="1:19" ht="17.25" hidden="1" customHeight="1" thickBot="1" x14ac:dyDescent="0.35">
      <c r="A51" s="6"/>
      <c r="B51" s="12" t="s">
        <v>93</v>
      </c>
      <c r="C51" s="2">
        <v>18028</v>
      </c>
      <c r="D51" s="2">
        <v>8086868</v>
      </c>
      <c r="E51" s="2">
        <v>85733</v>
      </c>
      <c r="F51" s="2">
        <v>26.7317</v>
      </c>
      <c r="G51" s="2">
        <v>0.2117</v>
      </c>
      <c r="H51" s="2">
        <v>26.316600000000001</v>
      </c>
      <c r="I51" s="2">
        <v>27.146899999999999</v>
      </c>
      <c r="J51" s="2">
        <v>100</v>
      </c>
      <c r="K51" s="2"/>
      <c r="L51" s="2"/>
      <c r="M51" s="2"/>
    </row>
    <row r="52" spans="1:19" ht="17.25" hidden="1" customHeight="1" thickBot="1" x14ac:dyDescent="0.35">
      <c r="A52" s="6" t="s">
        <v>93</v>
      </c>
      <c r="B52" s="12">
        <v>1</v>
      </c>
      <c r="C52" s="2">
        <v>33200</v>
      </c>
      <c r="D52" s="2">
        <v>16448830</v>
      </c>
      <c r="E52" s="2">
        <v>140406</v>
      </c>
      <c r="F52" s="2">
        <v>54.372799999999998</v>
      </c>
      <c r="G52" s="2">
        <v>0.18820000000000001</v>
      </c>
      <c r="H52" s="2">
        <v>54.003799999999998</v>
      </c>
      <c r="I52" s="2">
        <v>54.741900000000001</v>
      </c>
      <c r="J52" s="2"/>
      <c r="K52" s="2"/>
      <c r="L52" s="2"/>
      <c r="M52" s="2"/>
    </row>
    <row r="53" spans="1:19" ht="17.25" hidden="1" customHeight="1" thickBot="1" x14ac:dyDescent="0.35">
      <c r="A53" s="6"/>
      <c r="B53" s="12">
        <v>2</v>
      </c>
      <c r="C53" s="2">
        <v>35435</v>
      </c>
      <c r="D53" s="2">
        <v>13803105</v>
      </c>
      <c r="E53" s="2">
        <v>115313</v>
      </c>
      <c r="F53" s="2">
        <v>45.627200000000002</v>
      </c>
      <c r="G53" s="2">
        <v>0.18820000000000001</v>
      </c>
      <c r="H53" s="2">
        <v>45.258099999999999</v>
      </c>
      <c r="I53" s="2">
        <v>45.996200000000002</v>
      </c>
      <c r="J53" s="2"/>
      <c r="K53" s="2"/>
      <c r="L53" s="2"/>
      <c r="M53" s="2"/>
    </row>
    <row r="54" spans="1:19" ht="16.5" hidden="1" customHeight="1" x14ac:dyDescent="0.3">
      <c r="A54" s="6"/>
      <c r="B54" s="15" t="s">
        <v>93</v>
      </c>
      <c r="C54" s="2">
        <v>68635</v>
      </c>
      <c r="D54" s="2">
        <v>30251936</v>
      </c>
      <c r="E54" s="2">
        <v>228758</v>
      </c>
      <c r="F54" s="2">
        <v>100</v>
      </c>
      <c r="G54" s="2"/>
      <c r="H54" s="2"/>
      <c r="I54" s="2"/>
      <c r="J54" s="2"/>
      <c r="K54" s="2"/>
      <c r="L54" s="2"/>
      <c r="M54" s="2"/>
    </row>
    <row r="55" spans="1:19" ht="16.5" hidden="1" customHeight="1" x14ac:dyDescent="0.3"/>
    <row r="56" spans="1:19" ht="16.5" hidden="1" customHeight="1" x14ac:dyDescent="0.3">
      <c r="A56" s="24" t="s">
        <v>114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1:19" ht="33" hidden="1" customHeight="1" x14ac:dyDescent="0.3">
      <c r="A57" s="25" t="s">
        <v>28</v>
      </c>
      <c r="B57" s="27" t="s">
        <v>6</v>
      </c>
      <c r="C57" s="27" t="s">
        <v>86</v>
      </c>
      <c r="D57" s="3" t="s">
        <v>87</v>
      </c>
      <c r="E57" s="3" t="s">
        <v>88</v>
      </c>
      <c r="F57" s="27" t="s">
        <v>90</v>
      </c>
      <c r="G57" s="3" t="s">
        <v>88</v>
      </c>
      <c r="H57" s="27" t="s">
        <v>91</v>
      </c>
      <c r="I57" s="27"/>
      <c r="J57" s="3" t="s">
        <v>109</v>
      </c>
      <c r="K57" s="3" t="s">
        <v>88</v>
      </c>
      <c r="L57" s="27" t="s">
        <v>91</v>
      </c>
      <c r="M57" s="27"/>
    </row>
    <row r="58" spans="1:19" ht="33" hidden="1" customHeight="1" x14ac:dyDescent="0.3">
      <c r="A58" s="25"/>
      <c r="B58" s="27"/>
      <c r="C58" s="27"/>
      <c r="D58" s="3" t="s">
        <v>86</v>
      </c>
      <c r="E58" s="3" t="s">
        <v>89</v>
      </c>
      <c r="F58" s="27"/>
      <c r="G58" s="3" t="s">
        <v>90</v>
      </c>
      <c r="H58" s="27" t="s">
        <v>92</v>
      </c>
      <c r="I58" s="27"/>
      <c r="J58" s="3" t="s">
        <v>90</v>
      </c>
      <c r="K58" s="3" t="s">
        <v>110</v>
      </c>
      <c r="L58" s="27" t="s">
        <v>111</v>
      </c>
      <c r="M58" s="27"/>
    </row>
    <row r="59" spans="1:19" ht="17.25" thickBot="1" x14ac:dyDescent="0.35">
      <c r="A59" s="6">
        <v>1</v>
      </c>
      <c r="B59" s="12">
        <v>1</v>
      </c>
      <c r="C59" s="2">
        <v>13047</v>
      </c>
      <c r="D59" s="2">
        <v>6151490</v>
      </c>
      <c r="E59" s="2">
        <v>92307</v>
      </c>
      <c r="F59" s="2">
        <v>20.334199999999999</v>
      </c>
      <c r="G59" s="2">
        <v>0.24610000000000001</v>
      </c>
      <c r="H59" s="2">
        <v>19.851700000000001</v>
      </c>
      <c r="I59" s="2">
        <v>20.816700000000001</v>
      </c>
      <c r="J59" s="2">
        <v>87.281899999999993</v>
      </c>
      <c r="K59" s="2">
        <v>0.62790000000000001</v>
      </c>
      <c r="L59" s="2">
        <v>86.050799999999995</v>
      </c>
      <c r="M59" s="2">
        <v>88.513000000000005</v>
      </c>
      <c r="O59" s="8" t="str">
        <f>TEXT(J59,"0.00")&amp;" ("&amp;TEXT(L59,"0.00")&amp;" to "&amp;TEXT(M59,"0.00")&amp;")"</f>
        <v>87.28 (86.05 to 88.51)</v>
      </c>
      <c r="P59" s="8" t="str">
        <f>TEXT(J62,"0.00")&amp;" ("&amp;TEXT(L62,"0.00")&amp;" to "&amp;TEXT(M62,"0.00")&amp;")"</f>
        <v>83.94 (82.56 to 85.31)</v>
      </c>
      <c r="Q59" s="8" t="str">
        <f>TEXT(J65,"0.00")&amp;" ("&amp;TEXT(L65,"0.00")&amp;" to "&amp;TEXT(M65,"0.00")&amp;")"</f>
        <v>83.34 (81.97 to 84.71)</v>
      </c>
      <c r="R59" s="8" t="str">
        <f>TEXT(J68,"0.00")&amp;" ("&amp;TEXT(L68,"0.00")&amp;" to "&amp;TEXT(M68,"0.00")&amp;")"</f>
        <v>81.58 (80.06 to 83.09)</v>
      </c>
      <c r="S59" t="s">
        <v>24</v>
      </c>
    </row>
    <row r="60" spans="1:19" ht="17.25" thickBot="1" x14ac:dyDescent="0.35">
      <c r="A60" s="6"/>
      <c r="B60" s="12">
        <v>2</v>
      </c>
      <c r="C60" s="2">
        <v>2410</v>
      </c>
      <c r="D60" s="2">
        <v>896351</v>
      </c>
      <c r="E60" s="2">
        <v>44017</v>
      </c>
      <c r="F60" s="2">
        <v>2.9630000000000001</v>
      </c>
      <c r="G60" s="2">
        <v>0.1457</v>
      </c>
      <c r="H60" s="2">
        <v>2.6772</v>
      </c>
      <c r="I60" s="2">
        <v>3.2486999999999999</v>
      </c>
      <c r="J60" s="2">
        <v>12.7181</v>
      </c>
      <c r="K60" s="2">
        <v>0.62790000000000001</v>
      </c>
      <c r="L60" s="2">
        <v>11.487</v>
      </c>
      <c r="M60" s="2">
        <v>13.949199999999999</v>
      </c>
      <c r="O60" s="8" t="str">
        <f>TEXT(J60,"0.00")&amp;" ("&amp;TEXT(L60,"0.00")&amp;" to "&amp;TEXT(M60,"0.00")&amp;")"</f>
        <v>12.72 (11.49 to 13.95)</v>
      </c>
      <c r="P60" s="8" t="str">
        <f>TEXT(J63,"0.00")&amp;" ("&amp;TEXT(L63,"0.00")&amp;" to "&amp;TEXT(M63,"0.00")&amp;")"</f>
        <v>16.06 (14.69 to 17.44)</v>
      </c>
      <c r="Q60" s="8" t="str">
        <f>TEXT(J66,"0.00")&amp;" ("&amp;TEXT(L66,"0.00")&amp;" to "&amp;TEXT(M66,"0.00")&amp;")"</f>
        <v>16.66 (15.29 to 18.03)</v>
      </c>
      <c r="R60" s="8" t="str">
        <f>TEXT(J69,"0.00")&amp;" ("&amp;TEXT(L69,"0.00")&amp;" to "&amp;TEXT(M69,"0.00")&amp;")"</f>
        <v>18.42 (16.91 to 19.94)</v>
      </c>
      <c r="S60" t="s">
        <v>24</v>
      </c>
    </row>
    <row r="61" spans="1:19" ht="17.25" thickBot="1" x14ac:dyDescent="0.35">
      <c r="A61" s="6"/>
      <c r="B61" s="12" t="s">
        <v>93</v>
      </c>
      <c r="C61" s="2">
        <v>15457</v>
      </c>
      <c r="D61" s="2">
        <v>7047841</v>
      </c>
      <c r="E61" s="2">
        <v>85770</v>
      </c>
      <c r="F61" s="2">
        <v>23.2972</v>
      </c>
      <c r="G61" s="2">
        <v>0.20880000000000001</v>
      </c>
      <c r="H61" s="2">
        <v>22.887599999999999</v>
      </c>
      <c r="I61" s="2">
        <v>23.706700000000001</v>
      </c>
      <c r="J61" s="2">
        <v>100</v>
      </c>
      <c r="K61" s="2"/>
      <c r="L61" s="2"/>
      <c r="M61" s="2"/>
      <c r="O61" s="8"/>
      <c r="P61" s="8"/>
      <c r="Q61" s="8"/>
      <c r="R61" s="8"/>
      <c r="S61" t="s">
        <v>24</v>
      </c>
    </row>
    <row r="62" spans="1:19" ht="17.25" hidden="1" customHeight="1" thickBot="1" x14ac:dyDescent="0.35">
      <c r="A62" s="6">
        <v>2</v>
      </c>
      <c r="B62" s="12">
        <v>1</v>
      </c>
      <c r="C62" s="2">
        <v>13941</v>
      </c>
      <c r="D62" s="2">
        <v>6313310</v>
      </c>
      <c r="E62" s="2">
        <v>90173</v>
      </c>
      <c r="F62" s="2">
        <v>20.8691</v>
      </c>
      <c r="G62" s="2">
        <v>0.2369</v>
      </c>
      <c r="H62" s="2">
        <v>20.404699999999998</v>
      </c>
      <c r="I62" s="2">
        <v>21.333500000000001</v>
      </c>
      <c r="J62" s="2">
        <v>83.935400000000001</v>
      </c>
      <c r="K62" s="2">
        <v>0.70250000000000001</v>
      </c>
      <c r="L62" s="2">
        <v>82.557900000000004</v>
      </c>
      <c r="M62" s="2">
        <v>85.312799999999996</v>
      </c>
    </row>
    <row r="63" spans="1:19" ht="17.25" hidden="1" customHeight="1" thickBot="1" x14ac:dyDescent="0.35">
      <c r="A63" s="6"/>
      <c r="B63" s="12">
        <v>2</v>
      </c>
      <c r="C63" s="2">
        <v>3381</v>
      </c>
      <c r="D63" s="2">
        <v>1208323</v>
      </c>
      <c r="E63" s="2">
        <v>53443</v>
      </c>
      <c r="F63" s="2">
        <v>3.9942000000000002</v>
      </c>
      <c r="G63" s="2">
        <v>0.1774</v>
      </c>
      <c r="H63" s="2">
        <v>3.6463000000000001</v>
      </c>
      <c r="I63" s="2">
        <v>4.3421000000000003</v>
      </c>
      <c r="J63" s="2">
        <v>16.064599999999999</v>
      </c>
      <c r="K63" s="2">
        <v>0.70250000000000001</v>
      </c>
      <c r="L63" s="2">
        <v>14.687200000000001</v>
      </c>
      <c r="M63" s="2">
        <v>17.4421</v>
      </c>
    </row>
    <row r="64" spans="1:19" ht="17.25" hidden="1" customHeight="1" thickBot="1" x14ac:dyDescent="0.35">
      <c r="A64" s="6"/>
      <c r="B64" s="12" t="s">
        <v>93</v>
      </c>
      <c r="C64" s="2">
        <v>17322</v>
      </c>
      <c r="D64" s="2">
        <v>7521633</v>
      </c>
      <c r="E64" s="2">
        <v>82230</v>
      </c>
      <c r="F64" s="2">
        <v>24.863299999999999</v>
      </c>
      <c r="G64" s="2">
        <v>0.1913</v>
      </c>
      <c r="H64" s="2">
        <v>24.488199999999999</v>
      </c>
      <c r="I64" s="2">
        <v>25.238399999999999</v>
      </c>
      <c r="J64" s="2">
        <v>100</v>
      </c>
      <c r="K64" s="2"/>
      <c r="L64" s="2"/>
      <c r="M64" s="2"/>
    </row>
    <row r="65" spans="1:19" ht="17.25" hidden="1" customHeight="1" thickBot="1" x14ac:dyDescent="0.35">
      <c r="A65" s="6">
        <v>3</v>
      </c>
      <c r="B65" s="12">
        <v>1</v>
      </c>
      <c r="C65" s="2">
        <v>14152</v>
      </c>
      <c r="D65" s="2">
        <v>6330263</v>
      </c>
      <c r="E65" s="2">
        <v>89135</v>
      </c>
      <c r="F65" s="2">
        <v>20.9252</v>
      </c>
      <c r="G65" s="2">
        <v>0.23980000000000001</v>
      </c>
      <c r="H65" s="2">
        <v>20.454899999999999</v>
      </c>
      <c r="I65" s="2">
        <v>21.395399999999999</v>
      </c>
      <c r="J65" s="2">
        <v>83.341300000000004</v>
      </c>
      <c r="K65" s="2">
        <v>0.69769999999999999</v>
      </c>
      <c r="L65" s="2">
        <v>81.973200000000006</v>
      </c>
      <c r="M65" s="2">
        <v>84.709299999999999</v>
      </c>
    </row>
    <row r="66" spans="1:19" ht="17.25" hidden="1" customHeight="1" thickBot="1" x14ac:dyDescent="0.35">
      <c r="A66" s="6"/>
      <c r="B66" s="12">
        <v>2</v>
      </c>
      <c r="C66" s="2">
        <v>3676</v>
      </c>
      <c r="D66" s="2">
        <v>1265331</v>
      </c>
      <c r="E66" s="2">
        <v>53510</v>
      </c>
      <c r="F66" s="2">
        <v>4.1825999999999999</v>
      </c>
      <c r="G66" s="2">
        <v>0.1779</v>
      </c>
      <c r="H66" s="2">
        <v>3.8338000000000001</v>
      </c>
      <c r="I66" s="2">
        <v>4.5315000000000003</v>
      </c>
      <c r="J66" s="2">
        <v>16.6587</v>
      </c>
      <c r="K66" s="2">
        <v>0.69769999999999999</v>
      </c>
      <c r="L66" s="2">
        <v>15.290699999999999</v>
      </c>
      <c r="M66" s="2">
        <v>18.026800000000001</v>
      </c>
    </row>
    <row r="67" spans="1:19" ht="17.25" hidden="1" customHeight="1" thickBot="1" x14ac:dyDescent="0.35">
      <c r="A67" s="6"/>
      <c r="B67" s="12" t="s">
        <v>93</v>
      </c>
      <c r="C67" s="2">
        <v>17828</v>
      </c>
      <c r="D67" s="2">
        <v>7595594</v>
      </c>
      <c r="E67" s="2">
        <v>80574</v>
      </c>
      <c r="F67" s="2">
        <v>25.107800000000001</v>
      </c>
      <c r="G67" s="2">
        <v>0.19489999999999999</v>
      </c>
      <c r="H67" s="2">
        <v>24.7257</v>
      </c>
      <c r="I67" s="2">
        <v>25.489899999999999</v>
      </c>
      <c r="J67" s="2">
        <v>100</v>
      </c>
      <c r="K67" s="2"/>
      <c r="L67" s="2"/>
      <c r="M67" s="2"/>
    </row>
    <row r="68" spans="1:19" ht="17.25" hidden="1" customHeight="1" thickBot="1" x14ac:dyDescent="0.35">
      <c r="A68" s="6">
        <v>4</v>
      </c>
      <c r="B68" s="12">
        <v>1</v>
      </c>
      <c r="C68" s="2">
        <v>14036</v>
      </c>
      <c r="D68" s="2">
        <v>6597015</v>
      </c>
      <c r="E68" s="2">
        <v>95829</v>
      </c>
      <c r="F68" s="2">
        <v>21.806899999999999</v>
      </c>
      <c r="G68" s="2">
        <v>0.2596</v>
      </c>
      <c r="H68" s="2">
        <v>21.297899999999998</v>
      </c>
      <c r="I68" s="2">
        <v>22.315999999999999</v>
      </c>
      <c r="J68" s="2">
        <v>81.576899999999995</v>
      </c>
      <c r="K68" s="2">
        <v>0.77139999999999997</v>
      </c>
      <c r="L68" s="2">
        <v>80.064300000000003</v>
      </c>
      <c r="M68" s="2">
        <v>83.089500000000001</v>
      </c>
    </row>
    <row r="69" spans="1:19" ht="17.25" hidden="1" customHeight="1" thickBot="1" x14ac:dyDescent="0.35">
      <c r="A69" s="6"/>
      <c r="B69" s="12">
        <v>2</v>
      </c>
      <c r="C69" s="2">
        <v>3992</v>
      </c>
      <c r="D69" s="2">
        <v>1489853</v>
      </c>
      <c r="E69" s="2">
        <v>63648</v>
      </c>
      <c r="F69" s="2">
        <v>4.9248000000000003</v>
      </c>
      <c r="G69" s="2">
        <v>0.21249999999999999</v>
      </c>
      <c r="H69" s="2">
        <v>4.5080999999999998</v>
      </c>
      <c r="I69" s="2">
        <v>5.3414999999999999</v>
      </c>
      <c r="J69" s="2">
        <v>18.423100000000002</v>
      </c>
      <c r="K69" s="2">
        <v>0.77139999999999997</v>
      </c>
      <c r="L69" s="2">
        <v>16.910499999999999</v>
      </c>
      <c r="M69" s="2">
        <v>19.935700000000001</v>
      </c>
    </row>
    <row r="70" spans="1:19" ht="17.25" hidden="1" customHeight="1" thickBot="1" x14ac:dyDescent="0.35">
      <c r="A70" s="6"/>
      <c r="B70" s="12" t="s">
        <v>93</v>
      </c>
      <c r="C70" s="2">
        <v>18028</v>
      </c>
      <c r="D70" s="2">
        <v>8086868</v>
      </c>
      <c r="E70" s="2">
        <v>85733</v>
      </c>
      <c r="F70" s="2">
        <v>26.7317</v>
      </c>
      <c r="G70" s="2">
        <v>0.2117</v>
      </c>
      <c r="H70" s="2">
        <v>26.316600000000001</v>
      </c>
      <c r="I70" s="2">
        <v>27.146899999999999</v>
      </c>
      <c r="J70" s="2">
        <v>100</v>
      </c>
      <c r="K70" s="2"/>
      <c r="L70" s="2"/>
      <c r="M70" s="2"/>
    </row>
    <row r="71" spans="1:19" ht="17.25" hidden="1" customHeight="1" thickBot="1" x14ac:dyDescent="0.35">
      <c r="A71" s="6" t="s">
        <v>93</v>
      </c>
      <c r="B71" s="12">
        <v>1</v>
      </c>
      <c r="C71" s="2">
        <v>55176</v>
      </c>
      <c r="D71" s="2">
        <v>25392078</v>
      </c>
      <c r="E71" s="2">
        <v>290318</v>
      </c>
      <c r="F71" s="2">
        <v>83.935400000000001</v>
      </c>
      <c r="G71" s="2">
        <v>0.64080000000000004</v>
      </c>
      <c r="H71" s="2">
        <v>82.678899999999999</v>
      </c>
      <c r="I71" s="2">
        <v>85.191800000000001</v>
      </c>
      <c r="J71" s="2"/>
      <c r="K71" s="2"/>
      <c r="L71" s="2"/>
      <c r="M71" s="2"/>
    </row>
    <row r="72" spans="1:19" ht="17.25" hidden="1" customHeight="1" thickBot="1" x14ac:dyDescent="0.35">
      <c r="A72" s="6"/>
      <c r="B72" s="12">
        <v>2</v>
      </c>
      <c r="C72" s="2">
        <v>13459</v>
      </c>
      <c r="D72" s="2">
        <v>4859858</v>
      </c>
      <c r="E72" s="2">
        <v>192472</v>
      </c>
      <c r="F72" s="2">
        <v>16.064599999999999</v>
      </c>
      <c r="G72" s="2">
        <v>0.64080000000000004</v>
      </c>
      <c r="H72" s="2">
        <v>14.808199999999999</v>
      </c>
      <c r="I72" s="2">
        <v>17.321100000000001</v>
      </c>
      <c r="J72" s="2"/>
      <c r="K72" s="2"/>
      <c r="L72" s="2"/>
      <c r="M72" s="2"/>
    </row>
    <row r="73" spans="1:19" ht="16.5" hidden="1" customHeight="1" x14ac:dyDescent="0.3">
      <c r="A73" s="6"/>
      <c r="B73" s="15" t="s">
        <v>93</v>
      </c>
      <c r="C73" s="2">
        <v>68635</v>
      </c>
      <c r="D73" s="2">
        <v>30251936</v>
      </c>
      <c r="E73" s="2">
        <v>228758</v>
      </c>
      <c r="F73" s="2">
        <v>100</v>
      </c>
      <c r="G73" s="2"/>
      <c r="H73" s="2"/>
      <c r="I73" s="2"/>
      <c r="J73" s="2"/>
      <c r="K73" s="2"/>
      <c r="L73" s="2"/>
      <c r="M73" s="2"/>
    </row>
    <row r="74" spans="1:19" ht="16.5" hidden="1" customHeight="1" x14ac:dyDescent="0.3"/>
    <row r="75" spans="1:19" ht="16.5" hidden="1" customHeight="1" x14ac:dyDescent="0.3">
      <c r="A75" s="24" t="s">
        <v>115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6" spans="1:19" ht="33" hidden="1" customHeight="1" x14ac:dyDescent="0.3">
      <c r="A76" s="25" t="s">
        <v>28</v>
      </c>
      <c r="B76" s="27" t="s">
        <v>7</v>
      </c>
      <c r="C76" s="27" t="s">
        <v>86</v>
      </c>
      <c r="D76" s="3" t="s">
        <v>87</v>
      </c>
      <c r="E76" s="3" t="s">
        <v>88</v>
      </c>
      <c r="F76" s="27" t="s">
        <v>90</v>
      </c>
      <c r="G76" s="3" t="s">
        <v>88</v>
      </c>
      <c r="H76" s="27" t="s">
        <v>91</v>
      </c>
      <c r="I76" s="27"/>
      <c r="J76" s="3" t="s">
        <v>109</v>
      </c>
      <c r="K76" s="3" t="s">
        <v>88</v>
      </c>
      <c r="L76" s="27" t="s">
        <v>91</v>
      </c>
      <c r="M76" s="27"/>
    </row>
    <row r="77" spans="1:19" ht="33" hidden="1" customHeight="1" x14ac:dyDescent="0.3">
      <c r="A77" s="25"/>
      <c r="B77" s="27"/>
      <c r="C77" s="27"/>
      <c r="D77" s="3" t="s">
        <v>86</v>
      </c>
      <c r="E77" s="3" t="s">
        <v>89</v>
      </c>
      <c r="F77" s="27"/>
      <c r="G77" s="3" t="s">
        <v>90</v>
      </c>
      <c r="H77" s="27" t="s">
        <v>92</v>
      </c>
      <c r="I77" s="27"/>
      <c r="J77" s="3" t="s">
        <v>90</v>
      </c>
      <c r="K77" s="3" t="s">
        <v>110</v>
      </c>
      <c r="L77" s="27" t="s">
        <v>111</v>
      </c>
      <c r="M77" s="27"/>
    </row>
    <row r="78" spans="1:19" ht="17.25" thickBot="1" x14ac:dyDescent="0.35">
      <c r="A78" s="6">
        <v>1</v>
      </c>
      <c r="B78" s="12">
        <v>1</v>
      </c>
      <c r="C78" s="2">
        <v>1152</v>
      </c>
      <c r="D78" s="2">
        <v>346865</v>
      </c>
      <c r="E78" s="2">
        <v>12943</v>
      </c>
      <c r="F78" s="2">
        <v>1.1466000000000001</v>
      </c>
      <c r="G78" s="2">
        <v>4.3099999999999999E-2</v>
      </c>
      <c r="H78" s="2">
        <v>1.0620000000000001</v>
      </c>
      <c r="I78" s="2">
        <v>1.2311000000000001</v>
      </c>
      <c r="J78" s="2">
        <v>4.9215999999999998</v>
      </c>
      <c r="K78" s="2">
        <v>0.1862</v>
      </c>
      <c r="L78" s="2">
        <v>4.5564</v>
      </c>
      <c r="M78" s="2">
        <v>5.2866999999999997</v>
      </c>
      <c r="O78" s="8" t="str">
        <f>TEXT(J78,"0.00")&amp;" ("&amp;TEXT(L78,"0.00")&amp;" to "&amp;TEXT(M78,"0.00")&amp;")"</f>
        <v>4.92 (4.56 to 5.29)</v>
      </c>
      <c r="P78" s="8" t="str">
        <f>TEXT(J83,"0.00")&amp;" ("&amp;TEXT(L83,"0.00")&amp;" to "&amp;TEXT(M83,"0.00")&amp;")"</f>
        <v>9.07 (8.57 to 9.57)</v>
      </c>
      <c r="Q78" s="8" t="str">
        <f>TEXT(J88,"0.00")&amp;" ("&amp;TEXT(L88,"0.00")&amp;" to "&amp;TEXT(M88,"0.00")&amp;")"</f>
        <v>11.79 (11.23 to 12.36)</v>
      </c>
      <c r="R78" s="8" t="str">
        <f>TEXT(J93,"0.00")&amp;" ("&amp;TEXT(L93,"0.00")&amp;" to "&amp;TEXT(M93,"0.00")&amp;")"</f>
        <v>10.56 (10.04 to 11.08)</v>
      </c>
      <c r="S78" t="s">
        <v>24</v>
      </c>
    </row>
    <row r="79" spans="1:19" ht="17.25" thickBot="1" x14ac:dyDescent="0.35">
      <c r="A79" s="6"/>
      <c r="B79" s="12">
        <v>2</v>
      </c>
      <c r="C79" s="2">
        <v>1079</v>
      </c>
      <c r="D79" s="2">
        <v>365147</v>
      </c>
      <c r="E79" s="2">
        <v>13909</v>
      </c>
      <c r="F79" s="2">
        <v>1.2070000000000001</v>
      </c>
      <c r="G79" s="2">
        <v>4.6199999999999998E-2</v>
      </c>
      <c r="H79" s="2">
        <v>1.1165</v>
      </c>
      <c r="I79" s="2">
        <v>1.2975000000000001</v>
      </c>
      <c r="J79" s="2">
        <v>5.181</v>
      </c>
      <c r="K79" s="2">
        <v>0.1978</v>
      </c>
      <c r="L79" s="2">
        <v>4.7931999999999997</v>
      </c>
      <c r="M79" s="2">
        <v>5.5688000000000004</v>
      </c>
      <c r="O79" s="8" t="str">
        <f t="shared" ref="O79:O81" si="4">TEXT(J79,"0.00")&amp;" ("&amp;TEXT(L79,"0.00")&amp;" to "&amp;TEXT(M79,"0.00")&amp;")"</f>
        <v>5.18 (4.79 to 5.57)</v>
      </c>
      <c r="P79" s="8" t="str">
        <f t="shared" ref="P79:P81" si="5">TEXT(J84,"0.00")&amp;" ("&amp;TEXT(L84,"0.00")&amp;" to "&amp;TEXT(M84,"0.00")&amp;")"</f>
        <v>8.63 (8.14 to 9.11)</v>
      </c>
      <c r="Q79" s="8" t="str">
        <f t="shared" ref="Q79:Q81" si="6">TEXT(J89,"0.00")&amp;" ("&amp;TEXT(L89,"0.00")&amp;" to "&amp;TEXT(M89,"0.00")&amp;")"</f>
        <v>10.85 (10.32 to 11.39)</v>
      </c>
      <c r="R79" s="8" t="str">
        <f t="shared" ref="R79:R80" si="7">TEXT(J94,"0.00")&amp;" ("&amp;TEXT(L94,"0.00")&amp;" to "&amp;TEXT(M94,"0.00")&amp;")"</f>
        <v>10.44 (9.93 to 10.95)</v>
      </c>
      <c r="S79" t="s">
        <v>24</v>
      </c>
    </row>
    <row r="80" spans="1:19" ht="17.25" thickBot="1" x14ac:dyDescent="0.35">
      <c r="A80" s="6"/>
      <c r="B80" s="12">
        <v>3</v>
      </c>
      <c r="C80" s="2">
        <v>3549</v>
      </c>
      <c r="D80" s="2">
        <v>1610127</v>
      </c>
      <c r="E80" s="2">
        <v>34791</v>
      </c>
      <c r="F80" s="2">
        <v>5.3224</v>
      </c>
      <c r="G80" s="2">
        <v>0.10829999999999999</v>
      </c>
      <c r="H80" s="2">
        <v>5.1100000000000003</v>
      </c>
      <c r="I80" s="2">
        <v>5.5347999999999997</v>
      </c>
      <c r="J80" s="2">
        <v>22.845700000000001</v>
      </c>
      <c r="K80" s="2">
        <v>0.43590000000000001</v>
      </c>
      <c r="L80" s="2">
        <v>21.9909</v>
      </c>
      <c r="M80" s="2">
        <v>23.700399999999998</v>
      </c>
      <c r="O80" s="8" t="str">
        <f t="shared" si="4"/>
        <v>22.85 (21.99 to 23.70)</v>
      </c>
      <c r="P80" s="8" t="str">
        <f t="shared" si="5"/>
        <v>26.48 (25.65 to 27.32)</v>
      </c>
      <c r="Q80" s="8" t="str">
        <f t="shared" si="6"/>
        <v>27.84 (27.02 to 28.66)</v>
      </c>
      <c r="R80" s="8" t="str">
        <f t="shared" si="7"/>
        <v>28.08 (27.23 to 28.94)</v>
      </c>
      <c r="S80" t="s">
        <v>24</v>
      </c>
    </row>
    <row r="81" spans="1:19" ht="17.25" thickBot="1" x14ac:dyDescent="0.35">
      <c r="A81" s="6"/>
      <c r="B81" s="12">
        <v>4</v>
      </c>
      <c r="C81" s="2">
        <v>9677</v>
      </c>
      <c r="D81" s="2">
        <v>4725701</v>
      </c>
      <c r="E81" s="2">
        <v>74067</v>
      </c>
      <c r="F81" s="2">
        <v>15.6212</v>
      </c>
      <c r="G81" s="2">
        <v>0.1976</v>
      </c>
      <c r="H81" s="2">
        <v>15.233700000000001</v>
      </c>
      <c r="I81" s="2">
        <v>16.008700000000001</v>
      </c>
      <c r="J81" s="2">
        <v>67.0518</v>
      </c>
      <c r="K81" s="2">
        <v>0.50380000000000003</v>
      </c>
      <c r="L81" s="2">
        <v>66.063800000000001</v>
      </c>
      <c r="M81" s="2">
        <v>68.039699999999996</v>
      </c>
      <c r="O81" s="8" t="str">
        <f t="shared" si="4"/>
        <v>67.05 (66.06 to 68.04)</v>
      </c>
      <c r="P81" s="8" t="str">
        <f t="shared" si="5"/>
        <v>55.82 (54.79 to 56.85)</v>
      </c>
      <c r="Q81" s="8" t="str">
        <f t="shared" si="6"/>
        <v>49.51 (48.48 to 50.55)</v>
      </c>
      <c r="R81" s="8" t="str">
        <f>TEXT(J96,"0.00")&amp;" ("&amp;TEXT(L96,"0.00")&amp;" to "&amp;TEXT(M96,"0.00")&amp;")"</f>
        <v>50.92 (49.86 to 51.98)</v>
      </c>
      <c r="S81" t="s">
        <v>24</v>
      </c>
    </row>
    <row r="82" spans="1:19" ht="17.25" thickBot="1" x14ac:dyDescent="0.35">
      <c r="A82" s="6"/>
      <c r="B82" s="12" t="s">
        <v>93</v>
      </c>
      <c r="C82" s="2">
        <v>15457</v>
      </c>
      <c r="D82" s="2">
        <v>7047841</v>
      </c>
      <c r="E82" s="2">
        <v>85770</v>
      </c>
      <c r="F82" s="2">
        <v>23.2972</v>
      </c>
      <c r="G82" s="2">
        <v>0.20880000000000001</v>
      </c>
      <c r="H82" s="2">
        <v>22.887599999999999</v>
      </c>
      <c r="I82" s="2">
        <v>23.706700000000001</v>
      </c>
      <c r="J82" s="2">
        <v>100</v>
      </c>
      <c r="K82" s="2"/>
      <c r="L82" s="2"/>
      <c r="M82" s="2"/>
      <c r="O82" s="8"/>
      <c r="P82" s="8"/>
      <c r="Q82" s="8"/>
      <c r="R82" s="8"/>
      <c r="S82" t="s">
        <v>24</v>
      </c>
    </row>
    <row r="83" spans="1:19" ht="17.25" hidden="1" customHeight="1" thickBot="1" x14ac:dyDescent="0.35">
      <c r="A83" s="6">
        <v>2</v>
      </c>
      <c r="B83" s="12">
        <v>1</v>
      </c>
      <c r="C83" s="2">
        <v>2234</v>
      </c>
      <c r="D83" s="2">
        <v>682095</v>
      </c>
      <c r="E83" s="2">
        <v>19244</v>
      </c>
      <c r="F83" s="2">
        <v>2.2547000000000001</v>
      </c>
      <c r="G83" s="2">
        <v>6.4500000000000002E-2</v>
      </c>
      <c r="H83" s="2">
        <v>2.1282999999999999</v>
      </c>
      <c r="I83" s="2">
        <v>2.3811</v>
      </c>
      <c r="J83" s="2">
        <v>9.0684000000000005</v>
      </c>
      <c r="K83" s="2">
        <v>0.25600000000000001</v>
      </c>
      <c r="L83" s="2">
        <v>8.5663999999999998</v>
      </c>
      <c r="M83" s="2">
        <v>9.5704999999999991</v>
      </c>
    </row>
    <row r="84" spans="1:19" ht="17.25" hidden="1" customHeight="1" thickBot="1" x14ac:dyDescent="0.35">
      <c r="A84" s="6"/>
      <c r="B84" s="12">
        <v>2</v>
      </c>
      <c r="C84" s="2">
        <v>1957</v>
      </c>
      <c r="D84" s="2">
        <v>648863</v>
      </c>
      <c r="E84" s="2">
        <v>18953</v>
      </c>
      <c r="F84" s="2">
        <v>2.1448999999999998</v>
      </c>
      <c r="G84" s="2">
        <v>6.25E-2</v>
      </c>
      <c r="H84" s="2">
        <v>2.0223</v>
      </c>
      <c r="I84" s="2">
        <v>2.2673999999999999</v>
      </c>
      <c r="J84" s="2">
        <v>8.6265999999999998</v>
      </c>
      <c r="K84" s="2">
        <v>0.24890000000000001</v>
      </c>
      <c r="L84" s="2">
        <v>8.1386000000000003</v>
      </c>
      <c r="M84" s="2">
        <v>9.1145999999999994</v>
      </c>
    </row>
    <row r="85" spans="1:19" ht="17.25" hidden="1" customHeight="1" thickBot="1" x14ac:dyDescent="0.35">
      <c r="A85" s="6"/>
      <c r="B85" s="12">
        <v>3</v>
      </c>
      <c r="C85" s="2">
        <v>4529</v>
      </c>
      <c r="D85" s="2">
        <v>1992044</v>
      </c>
      <c r="E85" s="2">
        <v>38770</v>
      </c>
      <c r="F85" s="2">
        <v>6.5848000000000004</v>
      </c>
      <c r="G85" s="2">
        <v>0.1177</v>
      </c>
      <c r="H85" s="2">
        <v>6.3540000000000001</v>
      </c>
      <c r="I85" s="2">
        <v>6.8156999999999996</v>
      </c>
      <c r="J85" s="2">
        <v>26.484200000000001</v>
      </c>
      <c r="K85" s="2">
        <v>0.42799999999999999</v>
      </c>
      <c r="L85" s="2">
        <v>25.645</v>
      </c>
      <c r="M85" s="2">
        <v>27.323399999999999</v>
      </c>
    </row>
    <row r="86" spans="1:19" ht="17.25" hidden="1" customHeight="1" thickBot="1" x14ac:dyDescent="0.35">
      <c r="A86" s="6"/>
      <c r="B86" s="12">
        <v>4</v>
      </c>
      <c r="C86" s="2">
        <v>8602</v>
      </c>
      <c r="D86" s="2">
        <v>4198631</v>
      </c>
      <c r="E86" s="2">
        <v>65561</v>
      </c>
      <c r="F86" s="2">
        <v>13.8789</v>
      </c>
      <c r="G86" s="2">
        <v>0.17610000000000001</v>
      </c>
      <c r="H86" s="2">
        <v>13.5336</v>
      </c>
      <c r="I86" s="2">
        <v>14.2241</v>
      </c>
      <c r="J86" s="2">
        <v>55.820700000000002</v>
      </c>
      <c r="K86" s="2">
        <v>0.52539999999999998</v>
      </c>
      <c r="L86" s="2">
        <v>54.790599999999998</v>
      </c>
      <c r="M86" s="2">
        <v>56.850900000000003</v>
      </c>
    </row>
    <row r="87" spans="1:19" ht="17.25" hidden="1" customHeight="1" thickBot="1" x14ac:dyDescent="0.35">
      <c r="A87" s="6"/>
      <c r="B87" s="12" t="s">
        <v>93</v>
      </c>
      <c r="C87" s="2">
        <v>17322</v>
      </c>
      <c r="D87" s="2">
        <v>7521633</v>
      </c>
      <c r="E87" s="2">
        <v>82230</v>
      </c>
      <c r="F87" s="2">
        <v>24.863299999999999</v>
      </c>
      <c r="G87" s="2">
        <v>0.1913</v>
      </c>
      <c r="H87" s="2">
        <v>24.488199999999999</v>
      </c>
      <c r="I87" s="2">
        <v>25.238399999999999</v>
      </c>
      <c r="J87" s="2">
        <v>100</v>
      </c>
      <c r="K87" s="2"/>
      <c r="L87" s="2"/>
      <c r="M87" s="2"/>
    </row>
    <row r="88" spans="1:19" ht="17.25" hidden="1" customHeight="1" thickBot="1" x14ac:dyDescent="0.35">
      <c r="A88" s="6">
        <v>3</v>
      </c>
      <c r="B88" s="12">
        <v>1</v>
      </c>
      <c r="C88" s="2">
        <v>2973</v>
      </c>
      <c r="D88" s="2">
        <v>895832</v>
      </c>
      <c r="E88" s="2">
        <v>22430</v>
      </c>
      <c r="F88" s="2">
        <v>2.9611999999999998</v>
      </c>
      <c r="G88" s="2">
        <v>7.5999999999999998E-2</v>
      </c>
      <c r="H88" s="2">
        <v>2.8121</v>
      </c>
      <c r="I88" s="2">
        <v>3.1103000000000001</v>
      </c>
      <c r="J88" s="2">
        <v>11.7941</v>
      </c>
      <c r="K88" s="2">
        <v>0.28970000000000001</v>
      </c>
      <c r="L88" s="2">
        <v>11.226100000000001</v>
      </c>
      <c r="M88" s="2">
        <v>12.3621</v>
      </c>
    </row>
    <row r="89" spans="1:19" ht="17.25" hidden="1" customHeight="1" thickBot="1" x14ac:dyDescent="0.35">
      <c r="A89" s="6"/>
      <c r="B89" s="12">
        <v>2</v>
      </c>
      <c r="C89" s="2">
        <v>2474</v>
      </c>
      <c r="D89" s="2">
        <v>824351</v>
      </c>
      <c r="E89" s="2">
        <v>21858</v>
      </c>
      <c r="F89" s="2">
        <v>2.7250000000000001</v>
      </c>
      <c r="G89" s="2">
        <v>7.1599999999999997E-2</v>
      </c>
      <c r="H89" s="2">
        <v>2.5846</v>
      </c>
      <c r="I89" s="2">
        <v>2.8653</v>
      </c>
      <c r="J89" s="2">
        <v>10.853</v>
      </c>
      <c r="K89" s="2">
        <v>0.27229999999999999</v>
      </c>
      <c r="L89" s="2">
        <v>10.319100000000001</v>
      </c>
      <c r="M89" s="2">
        <v>11.386900000000001</v>
      </c>
    </row>
    <row r="90" spans="1:19" ht="17.25" hidden="1" customHeight="1" thickBot="1" x14ac:dyDescent="0.35">
      <c r="A90" s="6"/>
      <c r="B90" s="12">
        <v>3</v>
      </c>
      <c r="C90" s="2">
        <v>4818</v>
      </c>
      <c r="D90" s="2">
        <v>2114609</v>
      </c>
      <c r="E90" s="2">
        <v>38872</v>
      </c>
      <c r="F90" s="2">
        <v>6.99</v>
      </c>
      <c r="G90" s="2">
        <v>0.1182</v>
      </c>
      <c r="H90" s="2">
        <v>6.7583000000000002</v>
      </c>
      <c r="I90" s="2">
        <v>7.2217000000000002</v>
      </c>
      <c r="J90" s="2">
        <v>27.8399</v>
      </c>
      <c r="K90" s="2">
        <v>0.4199</v>
      </c>
      <c r="L90" s="2">
        <v>27.0167</v>
      </c>
      <c r="M90" s="2">
        <v>28.6632</v>
      </c>
    </row>
    <row r="91" spans="1:19" ht="17.25" hidden="1" customHeight="1" thickBot="1" x14ac:dyDescent="0.35">
      <c r="A91" s="6"/>
      <c r="B91" s="12">
        <v>4</v>
      </c>
      <c r="C91" s="2">
        <v>7563</v>
      </c>
      <c r="D91" s="2">
        <v>3760802</v>
      </c>
      <c r="E91" s="2">
        <v>60270</v>
      </c>
      <c r="F91" s="2">
        <v>12.4316</v>
      </c>
      <c r="G91" s="2">
        <v>0.1648</v>
      </c>
      <c r="H91" s="2">
        <v>12.108499999999999</v>
      </c>
      <c r="I91" s="2">
        <v>12.7547</v>
      </c>
      <c r="J91" s="2">
        <v>49.512900000000002</v>
      </c>
      <c r="K91" s="2">
        <v>0.52739999999999998</v>
      </c>
      <c r="L91" s="2">
        <v>48.4788</v>
      </c>
      <c r="M91" s="2">
        <v>50.5471</v>
      </c>
    </row>
    <row r="92" spans="1:19" ht="17.25" hidden="1" customHeight="1" thickBot="1" x14ac:dyDescent="0.35">
      <c r="A92" s="6"/>
      <c r="B92" s="12" t="s">
        <v>93</v>
      </c>
      <c r="C92" s="2">
        <v>17828</v>
      </c>
      <c r="D92" s="2">
        <v>7595594</v>
      </c>
      <c r="E92" s="2">
        <v>80574</v>
      </c>
      <c r="F92" s="2">
        <v>25.107800000000001</v>
      </c>
      <c r="G92" s="2">
        <v>0.19489999999999999</v>
      </c>
      <c r="H92" s="2">
        <v>24.7257</v>
      </c>
      <c r="I92" s="2">
        <v>25.489899999999999</v>
      </c>
      <c r="J92" s="2">
        <v>100</v>
      </c>
      <c r="K92" s="2"/>
      <c r="L92" s="2"/>
      <c r="M92" s="2"/>
    </row>
    <row r="93" spans="1:19" ht="17.25" hidden="1" customHeight="1" thickBot="1" x14ac:dyDescent="0.35">
      <c r="A93" s="6">
        <v>4</v>
      </c>
      <c r="B93" s="12">
        <v>1</v>
      </c>
      <c r="C93" s="2">
        <v>2840</v>
      </c>
      <c r="D93" s="2">
        <v>853917</v>
      </c>
      <c r="E93" s="2">
        <v>21957</v>
      </c>
      <c r="F93" s="2">
        <v>2.8227000000000002</v>
      </c>
      <c r="G93" s="2">
        <v>7.3599999999999999E-2</v>
      </c>
      <c r="H93" s="2">
        <v>2.6783000000000001</v>
      </c>
      <c r="I93" s="2">
        <v>2.9670999999999998</v>
      </c>
      <c r="J93" s="2">
        <v>10.5593</v>
      </c>
      <c r="K93" s="2">
        <v>0.26319999999999999</v>
      </c>
      <c r="L93" s="2">
        <v>10.043200000000001</v>
      </c>
      <c r="M93" s="2">
        <v>11.0754</v>
      </c>
    </row>
    <row r="94" spans="1:19" ht="17.25" hidden="1" customHeight="1" thickBot="1" x14ac:dyDescent="0.35">
      <c r="A94" s="6"/>
      <c r="B94" s="12">
        <v>2</v>
      </c>
      <c r="C94" s="2">
        <v>2427</v>
      </c>
      <c r="D94" s="2">
        <v>844143</v>
      </c>
      <c r="E94" s="2">
        <v>21885</v>
      </c>
      <c r="F94" s="2">
        <v>2.7904</v>
      </c>
      <c r="G94" s="2">
        <v>7.2800000000000004E-2</v>
      </c>
      <c r="H94" s="2">
        <v>2.6475</v>
      </c>
      <c r="I94" s="2">
        <v>2.9331999999999998</v>
      </c>
      <c r="J94" s="2">
        <v>10.4384</v>
      </c>
      <c r="K94" s="2">
        <v>0.26</v>
      </c>
      <c r="L94" s="2">
        <v>9.9285999999999994</v>
      </c>
      <c r="M94" s="2">
        <v>10.9483</v>
      </c>
    </row>
    <row r="95" spans="1:19" ht="17.25" hidden="1" customHeight="1" thickBot="1" x14ac:dyDescent="0.35">
      <c r="A95" s="6"/>
      <c r="B95" s="12">
        <v>3</v>
      </c>
      <c r="C95" s="2">
        <v>4862</v>
      </c>
      <c r="D95" s="2">
        <v>2271016</v>
      </c>
      <c r="E95" s="2">
        <v>42994</v>
      </c>
      <c r="F95" s="2">
        <v>7.5069999999999997</v>
      </c>
      <c r="G95" s="2">
        <v>0.13539999999999999</v>
      </c>
      <c r="H95" s="2">
        <v>7.2416</v>
      </c>
      <c r="I95" s="2">
        <v>7.7724000000000002</v>
      </c>
      <c r="J95" s="2">
        <v>28.082799999999999</v>
      </c>
      <c r="K95" s="2">
        <v>0.43659999999999999</v>
      </c>
      <c r="L95" s="2">
        <v>27.226700000000001</v>
      </c>
      <c r="M95" s="2">
        <v>28.938800000000001</v>
      </c>
    </row>
    <row r="96" spans="1:19" ht="17.25" hidden="1" customHeight="1" thickBot="1" x14ac:dyDescent="0.35">
      <c r="A96" s="6"/>
      <c r="B96" s="12">
        <v>4</v>
      </c>
      <c r="C96" s="2">
        <v>7899</v>
      </c>
      <c r="D96" s="2">
        <v>4117793</v>
      </c>
      <c r="E96" s="2">
        <v>65238</v>
      </c>
      <c r="F96" s="2">
        <v>13.611700000000001</v>
      </c>
      <c r="G96" s="2">
        <v>0.17530000000000001</v>
      </c>
      <c r="H96" s="2">
        <v>13.267899999999999</v>
      </c>
      <c r="I96" s="2">
        <v>13.955500000000001</v>
      </c>
      <c r="J96" s="2">
        <v>50.919499999999999</v>
      </c>
      <c r="K96" s="2">
        <v>0.54239999999999999</v>
      </c>
      <c r="L96" s="2">
        <v>49.855899999999998</v>
      </c>
      <c r="M96" s="2">
        <v>51.9831</v>
      </c>
    </row>
    <row r="97" spans="1:19" ht="17.25" hidden="1" customHeight="1" thickBot="1" x14ac:dyDescent="0.35">
      <c r="A97" s="6"/>
      <c r="B97" s="12" t="s">
        <v>93</v>
      </c>
      <c r="C97" s="2">
        <v>18028</v>
      </c>
      <c r="D97" s="2">
        <v>8086868</v>
      </c>
      <c r="E97" s="2">
        <v>85733</v>
      </c>
      <c r="F97" s="2">
        <v>26.7317</v>
      </c>
      <c r="G97" s="2">
        <v>0.2117</v>
      </c>
      <c r="H97" s="2">
        <v>26.316600000000001</v>
      </c>
      <c r="I97" s="2">
        <v>27.146899999999999</v>
      </c>
      <c r="J97" s="2">
        <v>100</v>
      </c>
      <c r="K97" s="2"/>
      <c r="L97" s="2"/>
      <c r="M97" s="2"/>
    </row>
    <row r="98" spans="1:19" ht="17.25" hidden="1" customHeight="1" thickBot="1" x14ac:dyDescent="0.35">
      <c r="A98" s="6" t="s">
        <v>93</v>
      </c>
      <c r="B98" s="12">
        <v>1</v>
      </c>
      <c r="C98" s="2">
        <v>9199</v>
      </c>
      <c r="D98" s="2">
        <v>2778708</v>
      </c>
      <c r="E98" s="2">
        <v>48157</v>
      </c>
      <c r="F98" s="2">
        <v>9.1852</v>
      </c>
      <c r="G98" s="2">
        <v>0.16550000000000001</v>
      </c>
      <c r="H98" s="2">
        <v>8.8606999999999996</v>
      </c>
      <c r="I98" s="2">
        <v>9.5098000000000003</v>
      </c>
      <c r="J98" s="2"/>
      <c r="K98" s="2"/>
      <c r="L98" s="2"/>
      <c r="M98" s="2"/>
    </row>
    <row r="99" spans="1:19" ht="17.25" hidden="1" customHeight="1" thickBot="1" x14ac:dyDescent="0.35">
      <c r="A99" s="6"/>
      <c r="B99" s="12">
        <v>2</v>
      </c>
      <c r="C99" s="2">
        <v>7937</v>
      </c>
      <c r="D99" s="2">
        <v>2682504</v>
      </c>
      <c r="E99" s="2">
        <v>43699</v>
      </c>
      <c r="F99" s="2">
        <v>8.8672000000000004</v>
      </c>
      <c r="G99" s="2">
        <v>0.14430000000000001</v>
      </c>
      <c r="H99" s="2">
        <v>8.5841999999999992</v>
      </c>
      <c r="I99" s="2">
        <v>9.1501999999999999</v>
      </c>
      <c r="J99" s="2"/>
      <c r="K99" s="2"/>
      <c r="L99" s="2"/>
      <c r="M99" s="2"/>
    </row>
    <row r="100" spans="1:19" ht="17.25" hidden="1" customHeight="1" thickBot="1" x14ac:dyDescent="0.35">
      <c r="A100" s="6"/>
      <c r="B100" s="12">
        <v>3</v>
      </c>
      <c r="C100" s="2">
        <v>17758</v>
      </c>
      <c r="D100" s="2">
        <v>7987796</v>
      </c>
      <c r="E100" s="2">
        <v>95615</v>
      </c>
      <c r="F100" s="2">
        <v>26.404199999999999</v>
      </c>
      <c r="G100" s="2">
        <v>0.25690000000000002</v>
      </c>
      <c r="H100" s="2">
        <v>25.900500000000001</v>
      </c>
      <c r="I100" s="2">
        <v>26.908000000000001</v>
      </c>
      <c r="J100" s="2"/>
      <c r="K100" s="2"/>
      <c r="L100" s="2"/>
      <c r="M100" s="2"/>
    </row>
    <row r="101" spans="1:19" ht="17.25" hidden="1" customHeight="1" thickBot="1" x14ac:dyDescent="0.35">
      <c r="A101" s="6"/>
      <c r="B101" s="12">
        <v>4</v>
      </c>
      <c r="C101" s="2">
        <v>33741</v>
      </c>
      <c r="D101" s="2">
        <v>16802927</v>
      </c>
      <c r="E101" s="2">
        <v>189742</v>
      </c>
      <c r="F101" s="2">
        <v>55.543300000000002</v>
      </c>
      <c r="G101" s="2">
        <v>0.36720000000000003</v>
      </c>
      <c r="H101" s="2">
        <v>54.8232</v>
      </c>
      <c r="I101" s="2">
        <v>56.263399999999997</v>
      </c>
      <c r="J101" s="2"/>
      <c r="K101" s="2"/>
      <c r="L101" s="2"/>
      <c r="M101" s="2"/>
    </row>
    <row r="102" spans="1:19" ht="16.5" hidden="1" customHeight="1" x14ac:dyDescent="0.3">
      <c r="A102" s="6"/>
      <c r="B102" s="15" t="s">
        <v>93</v>
      </c>
      <c r="C102" s="2">
        <v>68635</v>
      </c>
      <c r="D102" s="2">
        <v>30251936</v>
      </c>
      <c r="E102" s="2">
        <v>228758</v>
      </c>
      <c r="F102" s="2">
        <v>100</v>
      </c>
      <c r="G102" s="2"/>
      <c r="H102" s="2"/>
      <c r="I102" s="2"/>
      <c r="J102" s="2"/>
      <c r="K102" s="2"/>
      <c r="L102" s="2"/>
      <c r="M102" s="2"/>
    </row>
    <row r="103" spans="1:19" ht="16.5" hidden="1" customHeight="1" x14ac:dyDescent="0.3"/>
    <row r="104" spans="1:19" ht="16.5" hidden="1" customHeight="1" x14ac:dyDescent="0.3">
      <c r="A104" s="24" t="s">
        <v>116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9" ht="33" hidden="1" customHeight="1" x14ac:dyDescent="0.3">
      <c r="A105" s="25" t="s">
        <v>28</v>
      </c>
      <c r="B105" s="27" t="s">
        <v>8</v>
      </c>
      <c r="C105" s="27" t="s">
        <v>86</v>
      </c>
      <c r="D105" s="3" t="s">
        <v>87</v>
      </c>
      <c r="E105" s="3" t="s">
        <v>88</v>
      </c>
      <c r="F105" s="27" t="s">
        <v>90</v>
      </c>
      <c r="G105" s="3" t="s">
        <v>88</v>
      </c>
      <c r="H105" s="27" t="s">
        <v>91</v>
      </c>
      <c r="I105" s="27"/>
      <c r="J105" s="3" t="s">
        <v>109</v>
      </c>
      <c r="K105" s="3" t="s">
        <v>88</v>
      </c>
      <c r="L105" s="27" t="s">
        <v>91</v>
      </c>
      <c r="M105" s="27"/>
    </row>
    <row r="106" spans="1:19" ht="33" hidden="1" customHeight="1" x14ac:dyDescent="0.3">
      <c r="A106" s="25"/>
      <c r="B106" s="27"/>
      <c r="C106" s="27"/>
      <c r="D106" s="3" t="s">
        <v>86</v>
      </c>
      <c r="E106" s="3" t="s">
        <v>89</v>
      </c>
      <c r="F106" s="27"/>
      <c r="G106" s="3" t="s">
        <v>90</v>
      </c>
      <c r="H106" s="27" t="s">
        <v>92</v>
      </c>
      <c r="I106" s="27"/>
      <c r="J106" s="3" t="s">
        <v>90</v>
      </c>
      <c r="K106" s="3" t="s">
        <v>110</v>
      </c>
      <c r="L106" s="27" t="s">
        <v>111</v>
      </c>
      <c r="M106" s="27"/>
    </row>
    <row r="107" spans="1:19" ht="17.25" thickBot="1" x14ac:dyDescent="0.35">
      <c r="A107" s="6">
        <v>1</v>
      </c>
      <c r="B107" s="12">
        <v>1</v>
      </c>
      <c r="C107" s="2">
        <v>2041</v>
      </c>
      <c r="D107" s="2">
        <v>801375</v>
      </c>
      <c r="E107" s="2">
        <v>25975</v>
      </c>
      <c r="F107" s="2">
        <v>2.649</v>
      </c>
      <c r="G107" s="2">
        <v>8.6099999999999996E-2</v>
      </c>
      <c r="H107" s="2">
        <v>2.4802</v>
      </c>
      <c r="I107" s="2">
        <v>2.8178000000000001</v>
      </c>
      <c r="J107" s="2">
        <v>11.3705</v>
      </c>
      <c r="K107" s="2">
        <v>0.3584</v>
      </c>
      <c r="L107" s="2">
        <v>10.6678</v>
      </c>
      <c r="M107" s="2">
        <v>12.0733</v>
      </c>
      <c r="O107" s="8" t="str">
        <f>TEXT(J107,"0.00")&amp;" ("&amp;TEXT(L107,"0.00")&amp;" to "&amp;TEXT(M107,"0.00")&amp;")"</f>
        <v>11.37 (10.67 to 12.07)</v>
      </c>
      <c r="P107" s="8" t="str">
        <f>TEXT(J112,"0.00")&amp;" ("&amp;TEXT(L112,"0.00")&amp;" to "&amp;TEXT(M112,"0.00")&amp;")"</f>
        <v>12.75 (12.08 to 13.42)</v>
      </c>
      <c r="Q107" s="8" t="str">
        <f>TEXT(J117,"0.00")&amp;" ("&amp;TEXT(L117,"0.00")&amp;" to "&amp;TEXT(M117,"0.00")&amp;")"</f>
        <v>13.61 (12.95 to 14.28)</v>
      </c>
      <c r="R107" s="8" t="str">
        <f>TEXT(J122,"0.00")&amp;" ("&amp;TEXT(L122,"0.00")&amp;" to "&amp;TEXT(M122,"0.00")&amp;")"</f>
        <v>14.12 (13.45 to 14.78)</v>
      </c>
      <c r="S107" t="s">
        <v>24</v>
      </c>
    </row>
    <row r="108" spans="1:19" ht="17.25" thickBot="1" x14ac:dyDescent="0.35">
      <c r="A108" s="6"/>
      <c r="B108" s="12">
        <v>2</v>
      </c>
      <c r="C108" s="2">
        <v>3496</v>
      </c>
      <c r="D108" s="2">
        <v>1616988</v>
      </c>
      <c r="E108" s="2">
        <v>37443</v>
      </c>
      <c r="F108" s="2">
        <v>5.3451000000000004</v>
      </c>
      <c r="G108" s="2">
        <v>0.1188</v>
      </c>
      <c r="H108" s="2">
        <v>5.1120999999999999</v>
      </c>
      <c r="I108" s="2">
        <v>5.5780000000000003</v>
      </c>
      <c r="J108" s="2">
        <v>22.943000000000001</v>
      </c>
      <c r="K108" s="2">
        <v>0.47710000000000002</v>
      </c>
      <c r="L108" s="2">
        <v>22.0075</v>
      </c>
      <c r="M108" s="2">
        <v>23.878499999999999</v>
      </c>
      <c r="O108" s="8" t="str">
        <f t="shared" ref="O108:O110" si="8">TEXT(J108,"0.00")&amp;" ("&amp;TEXT(L108,"0.00")&amp;" to "&amp;TEXT(M108,"0.00")&amp;")"</f>
        <v>22.94 (22.01 to 23.88)</v>
      </c>
      <c r="P108" s="8" t="str">
        <f t="shared" ref="P108:P110" si="9">TEXT(J113,"0.00")&amp;" ("&amp;TEXT(L113,"0.00")&amp;" to "&amp;TEXT(M113,"0.00")&amp;")"</f>
        <v>23.40 (22.52 to 24.27)</v>
      </c>
      <c r="Q108" s="8" t="str">
        <f t="shared" ref="Q108:Q110" si="10">TEXT(J118,"0.00")&amp;" ("&amp;TEXT(L118,"0.00")&amp;" to "&amp;TEXT(M118,"0.00")&amp;")"</f>
        <v>24.66 (23.78 to 25.54)</v>
      </c>
      <c r="R108" s="8" t="str">
        <f t="shared" ref="R108:R109" si="11">TEXT(J123,"0.00")&amp;" ("&amp;TEXT(L123,"0.00")&amp;" to "&amp;TEXT(M123,"0.00")&amp;")"</f>
        <v>24.95 (24.08 to 25.82)</v>
      </c>
      <c r="S108" t="s">
        <v>24</v>
      </c>
    </row>
    <row r="109" spans="1:19" ht="17.25" thickBot="1" x14ac:dyDescent="0.35">
      <c r="A109" s="6"/>
      <c r="B109" s="12">
        <v>3</v>
      </c>
      <c r="C109" s="2">
        <v>4591</v>
      </c>
      <c r="D109" s="2">
        <v>2155837</v>
      </c>
      <c r="E109" s="2">
        <v>44495</v>
      </c>
      <c r="F109" s="2">
        <v>7.1262999999999996</v>
      </c>
      <c r="G109" s="2">
        <v>0.13289999999999999</v>
      </c>
      <c r="H109" s="2">
        <v>6.8655999999999997</v>
      </c>
      <c r="I109" s="2">
        <v>7.3868999999999998</v>
      </c>
      <c r="J109" s="2">
        <v>30.5886</v>
      </c>
      <c r="K109" s="2">
        <v>0.50919999999999999</v>
      </c>
      <c r="L109" s="2">
        <v>29.590199999999999</v>
      </c>
      <c r="M109" s="2">
        <v>31.587</v>
      </c>
      <c r="O109" s="8" t="str">
        <f t="shared" si="8"/>
        <v>30.59 (29.59 to 31.59)</v>
      </c>
      <c r="P109" s="8" t="str">
        <f t="shared" si="9"/>
        <v>30.70 (29.75 to 31.66)</v>
      </c>
      <c r="Q109" s="8" t="str">
        <f t="shared" si="10"/>
        <v>29.67 (28.76 to 30.58)</v>
      </c>
      <c r="R109" s="8" t="str">
        <f t="shared" si="11"/>
        <v>30.56 (29.64 to 31.48)</v>
      </c>
      <c r="S109" t="s">
        <v>24</v>
      </c>
    </row>
    <row r="110" spans="1:19" ht="17.25" thickBot="1" x14ac:dyDescent="0.35">
      <c r="A110" s="6"/>
      <c r="B110" s="12">
        <v>4</v>
      </c>
      <c r="C110" s="2">
        <v>5329</v>
      </c>
      <c r="D110" s="2">
        <v>2473640</v>
      </c>
      <c r="E110" s="2">
        <v>56565</v>
      </c>
      <c r="F110" s="2">
        <v>8.1768000000000001</v>
      </c>
      <c r="G110" s="2">
        <v>0.16830000000000001</v>
      </c>
      <c r="H110" s="2">
        <v>7.8468</v>
      </c>
      <c r="I110" s="2">
        <v>8.5068000000000001</v>
      </c>
      <c r="J110" s="2">
        <v>35.097799999999999</v>
      </c>
      <c r="K110" s="2">
        <v>0.62490000000000001</v>
      </c>
      <c r="L110" s="2">
        <v>33.872500000000002</v>
      </c>
      <c r="M110" s="2">
        <v>36.3232</v>
      </c>
      <c r="O110" s="8" t="str">
        <f t="shared" si="8"/>
        <v>35.10 (33.87 to 36.32)</v>
      </c>
      <c r="P110" s="8" t="str">
        <f t="shared" si="9"/>
        <v>33.15 (32.04 to 34.26)</v>
      </c>
      <c r="Q110" s="8" t="str">
        <f t="shared" si="10"/>
        <v>32.06 (31.02 to 33.10)</v>
      </c>
      <c r="R110" s="8" t="str">
        <f>TEXT(J125,"0.00")&amp;" ("&amp;TEXT(L125,"0.00")&amp;" to "&amp;TEXT(M125,"0.00")&amp;")"</f>
        <v>30.37 (29.33 to 31.41)</v>
      </c>
      <c r="S110" t="s">
        <v>24</v>
      </c>
    </row>
    <row r="111" spans="1:19" ht="17.25" thickBot="1" x14ac:dyDescent="0.35">
      <c r="A111" s="6"/>
      <c r="B111" s="12" t="s">
        <v>93</v>
      </c>
      <c r="C111" s="2">
        <v>15457</v>
      </c>
      <c r="D111" s="2">
        <v>7047841</v>
      </c>
      <c r="E111" s="2">
        <v>85770</v>
      </c>
      <c r="F111" s="2">
        <v>23.2972</v>
      </c>
      <c r="G111" s="2">
        <v>0.20880000000000001</v>
      </c>
      <c r="H111" s="2">
        <v>22.887599999999999</v>
      </c>
      <c r="I111" s="2">
        <v>23.706700000000001</v>
      </c>
      <c r="J111" s="2">
        <v>100</v>
      </c>
      <c r="K111" s="2"/>
      <c r="L111" s="2"/>
      <c r="M111" s="2"/>
      <c r="S111" t="s">
        <v>24</v>
      </c>
    </row>
    <row r="112" spans="1:19" ht="17.25" hidden="1" customHeight="1" thickBot="1" x14ac:dyDescent="0.35">
      <c r="A112" s="6">
        <v>2</v>
      </c>
      <c r="B112" s="12">
        <v>1</v>
      </c>
      <c r="C112" s="2">
        <v>2774</v>
      </c>
      <c r="D112" s="2">
        <v>959089</v>
      </c>
      <c r="E112" s="2">
        <v>26151</v>
      </c>
      <c r="F112" s="2">
        <v>3.1703000000000001</v>
      </c>
      <c r="G112" s="2">
        <v>8.72E-2</v>
      </c>
      <c r="H112" s="2">
        <v>2.9992999999999999</v>
      </c>
      <c r="I112" s="2">
        <v>3.3414000000000001</v>
      </c>
      <c r="J112" s="2">
        <v>12.751099999999999</v>
      </c>
      <c r="K112" s="2">
        <v>0.34129999999999999</v>
      </c>
      <c r="L112" s="2">
        <v>12.081899999999999</v>
      </c>
      <c r="M112" s="2">
        <v>13.420199999999999</v>
      </c>
    </row>
    <row r="113" spans="1:13" ht="17.25" hidden="1" customHeight="1" thickBot="1" x14ac:dyDescent="0.35">
      <c r="A113" s="6"/>
      <c r="B113" s="12">
        <v>2</v>
      </c>
      <c r="C113" s="2">
        <v>4127</v>
      </c>
      <c r="D113" s="2">
        <v>1759688</v>
      </c>
      <c r="E113" s="2">
        <v>37646</v>
      </c>
      <c r="F113" s="2">
        <v>5.8167999999999997</v>
      </c>
      <c r="G113" s="2">
        <v>0.1191</v>
      </c>
      <c r="H113" s="2">
        <v>5.5831999999999997</v>
      </c>
      <c r="I113" s="2">
        <v>6.0503</v>
      </c>
      <c r="J113" s="2">
        <v>23.395</v>
      </c>
      <c r="K113" s="2">
        <v>0.44600000000000001</v>
      </c>
      <c r="L113" s="2">
        <v>22.520399999999999</v>
      </c>
      <c r="M113" s="2">
        <v>24.269600000000001</v>
      </c>
    </row>
    <row r="114" spans="1:13" ht="17.25" hidden="1" customHeight="1" thickBot="1" x14ac:dyDescent="0.35">
      <c r="A114" s="6"/>
      <c r="B114" s="12">
        <v>3</v>
      </c>
      <c r="C114" s="2">
        <v>5005</v>
      </c>
      <c r="D114" s="2">
        <v>2309341</v>
      </c>
      <c r="E114" s="2">
        <v>45416</v>
      </c>
      <c r="F114" s="2">
        <v>7.6337000000000002</v>
      </c>
      <c r="G114" s="2">
        <v>0.13439999999999999</v>
      </c>
      <c r="H114" s="2">
        <v>7.3700999999999999</v>
      </c>
      <c r="I114" s="2">
        <v>7.8973000000000004</v>
      </c>
      <c r="J114" s="2">
        <v>30.7026</v>
      </c>
      <c r="K114" s="2">
        <v>0.48680000000000001</v>
      </c>
      <c r="L114" s="2">
        <v>29.748200000000001</v>
      </c>
      <c r="M114" s="2">
        <v>31.6571</v>
      </c>
    </row>
    <row r="115" spans="1:13" ht="17.25" hidden="1" customHeight="1" thickBot="1" x14ac:dyDescent="0.35">
      <c r="A115" s="6"/>
      <c r="B115" s="12">
        <v>4</v>
      </c>
      <c r="C115" s="2">
        <v>5416</v>
      </c>
      <c r="D115" s="2">
        <v>2493516</v>
      </c>
      <c r="E115" s="2">
        <v>52837</v>
      </c>
      <c r="F115" s="2">
        <v>8.2424999999999997</v>
      </c>
      <c r="G115" s="2">
        <v>0.15629999999999999</v>
      </c>
      <c r="H115" s="2">
        <v>7.9359000000000002</v>
      </c>
      <c r="I115" s="2">
        <v>8.5490999999999993</v>
      </c>
      <c r="J115" s="2">
        <v>33.151299999999999</v>
      </c>
      <c r="K115" s="2">
        <v>0.56530000000000002</v>
      </c>
      <c r="L115" s="2">
        <v>32.042700000000004</v>
      </c>
      <c r="M115" s="2">
        <v>34.259799999999998</v>
      </c>
    </row>
    <row r="116" spans="1:13" ht="17.25" hidden="1" customHeight="1" thickBot="1" x14ac:dyDescent="0.35">
      <c r="A116" s="6"/>
      <c r="B116" s="12" t="s">
        <v>93</v>
      </c>
      <c r="C116" s="2">
        <v>17322</v>
      </c>
      <c r="D116" s="2">
        <v>7521633</v>
      </c>
      <c r="E116" s="2">
        <v>82230</v>
      </c>
      <c r="F116" s="2">
        <v>24.863299999999999</v>
      </c>
      <c r="G116" s="2">
        <v>0.1913</v>
      </c>
      <c r="H116" s="2">
        <v>24.488199999999999</v>
      </c>
      <c r="I116" s="2">
        <v>25.238399999999999</v>
      </c>
      <c r="J116" s="2">
        <v>100</v>
      </c>
      <c r="K116" s="2"/>
      <c r="L116" s="2"/>
      <c r="M116" s="2"/>
    </row>
    <row r="117" spans="1:13" ht="17.25" hidden="1" customHeight="1" thickBot="1" x14ac:dyDescent="0.35">
      <c r="A117" s="6">
        <v>3</v>
      </c>
      <c r="B117" s="12">
        <v>1</v>
      </c>
      <c r="C117" s="2">
        <v>3147</v>
      </c>
      <c r="D117" s="2">
        <v>1034098</v>
      </c>
      <c r="E117" s="2">
        <v>26406</v>
      </c>
      <c r="F117" s="2">
        <v>3.4182999999999999</v>
      </c>
      <c r="G117" s="2">
        <v>8.9700000000000002E-2</v>
      </c>
      <c r="H117" s="2">
        <v>3.2423999999999999</v>
      </c>
      <c r="I117" s="2">
        <v>3.5941000000000001</v>
      </c>
      <c r="J117" s="2">
        <v>13.6144</v>
      </c>
      <c r="K117" s="2">
        <v>0.33789999999999998</v>
      </c>
      <c r="L117" s="2">
        <v>12.9518</v>
      </c>
      <c r="M117" s="2">
        <v>14.277100000000001</v>
      </c>
    </row>
    <row r="118" spans="1:13" ht="17.25" hidden="1" customHeight="1" thickBot="1" x14ac:dyDescent="0.35">
      <c r="A118" s="6"/>
      <c r="B118" s="12">
        <v>2</v>
      </c>
      <c r="C118" s="2">
        <v>4556</v>
      </c>
      <c r="D118" s="2">
        <v>1872905</v>
      </c>
      <c r="E118" s="2">
        <v>38222</v>
      </c>
      <c r="F118" s="2">
        <v>6.1909999999999998</v>
      </c>
      <c r="G118" s="2">
        <v>0.12239999999999999</v>
      </c>
      <c r="H118" s="2">
        <v>5.9509999999999996</v>
      </c>
      <c r="I118" s="2">
        <v>6.431</v>
      </c>
      <c r="J118" s="2">
        <v>24.657800000000002</v>
      </c>
      <c r="K118" s="2">
        <v>0.44790000000000002</v>
      </c>
      <c r="L118" s="2">
        <v>23.779499999999999</v>
      </c>
      <c r="M118" s="2">
        <v>25.536000000000001</v>
      </c>
    </row>
    <row r="119" spans="1:13" ht="17.25" hidden="1" customHeight="1" thickBot="1" x14ac:dyDescent="0.35">
      <c r="A119" s="6"/>
      <c r="B119" s="12">
        <v>3</v>
      </c>
      <c r="C119" s="2">
        <v>4916</v>
      </c>
      <c r="D119" s="2">
        <v>2253623</v>
      </c>
      <c r="E119" s="2">
        <v>43880</v>
      </c>
      <c r="F119" s="2">
        <v>7.4494999999999996</v>
      </c>
      <c r="G119" s="2">
        <v>0.13070000000000001</v>
      </c>
      <c r="H119" s="2">
        <v>7.1932999999999998</v>
      </c>
      <c r="I119" s="2">
        <v>7.7057000000000002</v>
      </c>
      <c r="J119" s="2">
        <v>29.670100000000001</v>
      </c>
      <c r="K119" s="2">
        <v>0.46250000000000002</v>
      </c>
      <c r="L119" s="2">
        <v>28.763300000000001</v>
      </c>
      <c r="M119" s="2">
        <v>30.577000000000002</v>
      </c>
    </row>
    <row r="120" spans="1:13" ht="17.25" hidden="1" customHeight="1" thickBot="1" x14ac:dyDescent="0.35">
      <c r="A120" s="6"/>
      <c r="B120" s="12">
        <v>4</v>
      </c>
      <c r="C120" s="2">
        <v>5209</v>
      </c>
      <c r="D120" s="2">
        <v>2434969</v>
      </c>
      <c r="E120" s="2">
        <v>49739</v>
      </c>
      <c r="F120" s="2">
        <v>8.0489999999999995</v>
      </c>
      <c r="G120" s="2">
        <v>0.14499999999999999</v>
      </c>
      <c r="H120" s="2">
        <v>7.7645999999999997</v>
      </c>
      <c r="I120" s="2">
        <v>8.3333999999999993</v>
      </c>
      <c r="J120" s="2">
        <v>32.057600000000001</v>
      </c>
      <c r="K120" s="2">
        <v>0.53069999999999995</v>
      </c>
      <c r="L120" s="2">
        <v>31.016999999999999</v>
      </c>
      <c r="M120" s="2">
        <v>33.098300000000002</v>
      </c>
    </row>
    <row r="121" spans="1:13" ht="17.25" hidden="1" customHeight="1" thickBot="1" x14ac:dyDescent="0.35">
      <c r="A121" s="6"/>
      <c r="B121" s="12" t="s">
        <v>93</v>
      </c>
      <c r="C121" s="2">
        <v>17828</v>
      </c>
      <c r="D121" s="2">
        <v>7595594</v>
      </c>
      <c r="E121" s="2">
        <v>80574</v>
      </c>
      <c r="F121" s="2">
        <v>25.107800000000001</v>
      </c>
      <c r="G121" s="2">
        <v>0.19489999999999999</v>
      </c>
      <c r="H121" s="2">
        <v>24.7257</v>
      </c>
      <c r="I121" s="2">
        <v>25.489899999999999</v>
      </c>
      <c r="J121" s="2">
        <v>100</v>
      </c>
      <c r="K121" s="2"/>
      <c r="L121" s="2"/>
      <c r="M121" s="2"/>
    </row>
    <row r="122" spans="1:13" ht="17.25" hidden="1" customHeight="1" thickBot="1" x14ac:dyDescent="0.35">
      <c r="A122" s="6">
        <v>4</v>
      </c>
      <c r="B122" s="12">
        <v>1</v>
      </c>
      <c r="C122" s="2">
        <v>3303</v>
      </c>
      <c r="D122" s="2">
        <v>1141594</v>
      </c>
      <c r="E122" s="2">
        <v>28098</v>
      </c>
      <c r="F122" s="2">
        <v>3.7736000000000001</v>
      </c>
      <c r="G122" s="2">
        <v>9.5399999999999999E-2</v>
      </c>
      <c r="H122" s="2">
        <v>3.5865999999999998</v>
      </c>
      <c r="I122" s="2">
        <v>3.9605999999999999</v>
      </c>
      <c r="J122" s="2">
        <v>14.1166</v>
      </c>
      <c r="K122" s="2">
        <v>0.33879999999999999</v>
      </c>
      <c r="L122" s="2">
        <v>13.452299999999999</v>
      </c>
      <c r="M122" s="2">
        <v>14.781000000000001</v>
      </c>
    </row>
    <row r="123" spans="1:13" ht="17.25" hidden="1" customHeight="1" thickBot="1" x14ac:dyDescent="0.35">
      <c r="A123" s="6"/>
      <c r="B123" s="12">
        <v>2</v>
      </c>
      <c r="C123" s="2">
        <v>4655</v>
      </c>
      <c r="D123" s="2">
        <v>2017944</v>
      </c>
      <c r="E123" s="2">
        <v>41415</v>
      </c>
      <c r="F123" s="2">
        <v>6.6704999999999997</v>
      </c>
      <c r="G123" s="2">
        <v>0.13339999999999999</v>
      </c>
      <c r="H123" s="2">
        <v>6.4089</v>
      </c>
      <c r="I123" s="2">
        <v>6.9320000000000004</v>
      </c>
      <c r="J123" s="2">
        <v>24.953299999999999</v>
      </c>
      <c r="K123" s="2">
        <v>0.44319999999999998</v>
      </c>
      <c r="L123" s="2">
        <v>24.084299999999999</v>
      </c>
      <c r="M123" s="2">
        <v>25.822399999999998</v>
      </c>
    </row>
    <row r="124" spans="1:13" ht="17.25" hidden="1" customHeight="1" thickBot="1" x14ac:dyDescent="0.35">
      <c r="A124" s="6"/>
      <c r="B124" s="12">
        <v>3</v>
      </c>
      <c r="C124" s="2">
        <v>5074</v>
      </c>
      <c r="D124" s="2">
        <v>2471309</v>
      </c>
      <c r="E124" s="2">
        <v>48203</v>
      </c>
      <c r="F124" s="2">
        <v>8.1691000000000003</v>
      </c>
      <c r="G124" s="2">
        <v>0.14330000000000001</v>
      </c>
      <c r="H124" s="2">
        <v>7.8879999999999999</v>
      </c>
      <c r="I124" s="2">
        <v>8.4502000000000006</v>
      </c>
      <c r="J124" s="2">
        <v>30.5595</v>
      </c>
      <c r="K124" s="2">
        <v>0.46829999999999999</v>
      </c>
      <c r="L124" s="2">
        <v>29.641200000000001</v>
      </c>
      <c r="M124" s="2">
        <v>31.477900000000002</v>
      </c>
    </row>
    <row r="125" spans="1:13" ht="17.25" hidden="1" customHeight="1" thickBot="1" x14ac:dyDescent="0.35">
      <c r="A125" s="6"/>
      <c r="B125" s="12">
        <v>4</v>
      </c>
      <c r="C125" s="2">
        <v>4996</v>
      </c>
      <c r="D125" s="2">
        <v>2456021</v>
      </c>
      <c r="E125" s="2">
        <v>50778</v>
      </c>
      <c r="F125" s="2">
        <v>8.1186000000000007</v>
      </c>
      <c r="G125" s="2">
        <v>0.14949999999999999</v>
      </c>
      <c r="H125" s="2">
        <v>7.8254000000000001</v>
      </c>
      <c r="I125" s="2">
        <v>8.4116999999999997</v>
      </c>
      <c r="J125" s="2">
        <v>30.3705</v>
      </c>
      <c r="K125" s="2">
        <v>0.53</v>
      </c>
      <c r="L125" s="2">
        <v>29.331199999999999</v>
      </c>
      <c r="M125" s="2">
        <v>31.409700000000001</v>
      </c>
    </row>
    <row r="126" spans="1:13" ht="17.25" hidden="1" customHeight="1" thickBot="1" x14ac:dyDescent="0.35">
      <c r="A126" s="6"/>
      <c r="B126" s="12" t="s">
        <v>93</v>
      </c>
      <c r="C126" s="2">
        <v>18028</v>
      </c>
      <c r="D126" s="2">
        <v>8086868</v>
      </c>
      <c r="E126" s="2">
        <v>85733</v>
      </c>
      <c r="F126" s="2">
        <v>26.7317</v>
      </c>
      <c r="G126" s="2">
        <v>0.2117</v>
      </c>
      <c r="H126" s="2">
        <v>26.316600000000001</v>
      </c>
      <c r="I126" s="2">
        <v>27.146899999999999</v>
      </c>
      <c r="J126" s="2">
        <v>100</v>
      </c>
      <c r="K126" s="2"/>
      <c r="L126" s="2"/>
      <c r="M126" s="2"/>
    </row>
    <row r="127" spans="1:13" ht="17.25" hidden="1" customHeight="1" thickBot="1" x14ac:dyDescent="0.35">
      <c r="A127" s="6" t="s">
        <v>93</v>
      </c>
      <c r="B127" s="12">
        <v>1</v>
      </c>
      <c r="C127" s="2">
        <v>11265</v>
      </c>
      <c r="D127" s="2">
        <v>3936155</v>
      </c>
      <c r="E127" s="2">
        <v>65921</v>
      </c>
      <c r="F127" s="2">
        <v>13.0113</v>
      </c>
      <c r="G127" s="2">
        <v>0.22689999999999999</v>
      </c>
      <c r="H127" s="2">
        <v>12.5664</v>
      </c>
      <c r="I127" s="2">
        <v>13.456099999999999</v>
      </c>
      <c r="J127" s="2"/>
      <c r="K127" s="2"/>
      <c r="L127" s="2"/>
      <c r="M127" s="2"/>
    </row>
    <row r="128" spans="1:13" ht="17.25" hidden="1" customHeight="1" thickBot="1" x14ac:dyDescent="0.35">
      <c r="A128" s="6"/>
      <c r="B128" s="12">
        <v>2</v>
      </c>
      <c r="C128" s="2">
        <v>16834</v>
      </c>
      <c r="D128" s="2">
        <v>7267525</v>
      </c>
      <c r="E128" s="2">
        <v>98219</v>
      </c>
      <c r="F128" s="2">
        <v>24.023299999999999</v>
      </c>
      <c r="G128" s="2">
        <v>0.29559999999999997</v>
      </c>
      <c r="H128" s="2">
        <v>23.4437</v>
      </c>
      <c r="I128" s="2">
        <v>24.603000000000002</v>
      </c>
      <c r="J128" s="2"/>
      <c r="K128" s="2"/>
      <c r="L128" s="2"/>
      <c r="M128" s="2"/>
    </row>
    <row r="129" spans="1:19" ht="17.25" hidden="1" customHeight="1" thickBot="1" x14ac:dyDescent="0.35">
      <c r="A129" s="6"/>
      <c r="B129" s="12">
        <v>3</v>
      </c>
      <c r="C129" s="2">
        <v>19586</v>
      </c>
      <c r="D129" s="2">
        <v>9190109</v>
      </c>
      <c r="E129" s="2">
        <v>122325</v>
      </c>
      <c r="F129" s="2">
        <v>30.378599999999999</v>
      </c>
      <c r="G129" s="2">
        <v>0.30769999999999997</v>
      </c>
      <c r="H129" s="2">
        <v>29.775200000000002</v>
      </c>
      <c r="I129" s="2">
        <v>30.9819</v>
      </c>
      <c r="J129" s="2"/>
      <c r="K129" s="2"/>
      <c r="L129" s="2"/>
      <c r="M129" s="2"/>
    </row>
    <row r="130" spans="1:19" ht="17.25" hidden="1" customHeight="1" thickBot="1" x14ac:dyDescent="0.35">
      <c r="A130" s="6"/>
      <c r="B130" s="12">
        <v>4</v>
      </c>
      <c r="C130" s="2">
        <v>20950</v>
      </c>
      <c r="D130" s="2">
        <v>9858146</v>
      </c>
      <c r="E130" s="2">
        <v>157165</v>
      </c>
      <c r="F130" s="2">
        <v>32.586799999999997</v>
      </c>
      <c r="G130" s="2">
        <v>0.41460000000000002</v>
      </c>
      <c r="H130" s="2">
        <v>31.774000000000001</v>
      </c>
      <c r="I130" s="2">
        <v>33.399700000000003</v>
      </c>
      <c r="J130" s="2"/>
      <c r="K130" s="2"/>
      <c r="L130" s="2"/>
      <c r="M130" s="2"/>
    </row>
    <row r="131" spans="1:19" ht="16.5" hidden="1" customHeight="1" x14ac:dyDescent="0.3">
      <c r="A131" s="6"/>
      <c r="B131" s="15" t="s">
        <v>93</v>
      </c>
      <c r="C131" s="2">
        <v>68635</v>
      </c>
      <c r="D131" s="2">
        <v>30251936</v>
      </c>
      <c r="E131" s="2">
        <v>228758</v>
      </c>
      <c r="F131" s="2">
        <v>100</v>
      </c>
      <c r="G131" s="2"/>
      <c r="H131" s="2"/>
      <c r="I131" s="2"/>
      <c r="J131" s="2"/>
      <c r="K131" s="2"/>
      <c r="L131" s="2"/>
      <c r="M131" s="2"/>
    </row>
    <row r="132" spans="1:19" ht="16.5" hidden="1" customHeight="1" x14ac:dyDescent="0.3"/>
    <row r="133" spans="1:19" ht="16.5" hidden="1" customHeight="1" x14ac:dyDescent="0.3">
      <c r="A133" s="24" t="s">
        <v>117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</row>
    <row r="134" spans="1:19" ht="33" hidden="1" customHeight="1" x14ac:dyDescent="0.3">
      <c r="A134" s="25" t="s">
        <v>28</v>
      </c>
      <c r="B134" s="27" t="s">
        <v>9</v>
      </c>
      <c r="C134" s="27" t="s">
        <v>86</v>
      </c>
      <c r="D134" s="3" t="s">
        <v>87</v>
      </c>
      <c r="E134" s="3" t="s">
        <v>88</v>
      </c>
      <c r="F134" s="27" t="s">
        <v>90</v>
      </c>
      <c r="G134" s="3" t="s">
        <v>88</v>
      </c>
      <c r="H134" s="27" t="s">
        <v>91</v>
      </c>
      <c r="I134" s="27"/>
      <c r="J134" s="3" t="s">
        <v>109</v>
      </c>
      <c r="K134" s="3" t="s">
        <v>88</v>
      </c>
      <c r="L134" s="27" t="s">
        <v>91</v>
      </c>
      <c r="M134" s="27"/>
    </row>
    <row r="135" spans="1:19" ht="33" hidden="1" customHeight="1" x14ac:dyDescent="0.3">
      <c r="A135" s="25"/>
      <c r="B135" s="27"/>
      <c r="C135" s="27"/>
      <c r="D135" s="3" t="s">
        <v>86</v>
      </c>
      <c r="E135" s="3" t="s">
        <v>89</v>
      </c>
      <c r="F135" s="27"/>
      <c r="G135" s="3" t="s">
        <v>90</v>
      </c>
      <c r="H135" s="27" t="s">
        <v>92</v>
      </c>
      <c r="I135" s="27"/>
      <c r="J135" s="3" t="s">
        <v>90</v>
      </c>
      <c r="K135" s="3" t="s">
        <v>110</v>
      </c>
      <c r="L135" s="27" t="s">
        <v>111</v>
      </c>
      <c r="M135" s="27"/>
    </row>
    <row r="136" spans="1:19" ht="17.25" thickBot="1" x14ac:dyDescent="0.35">
      <c r="A136" s="6">
        <v>1</v>
      </c>
      <c r="B136" s="12">
        <v>1</v>
      </c>
      <c r="C136" s="2">
        <v>2740</v>
      </c>
      <c r="D136" s="2">
        <v>1284340</v>
      </c>
      <c r="E136" s="2">
        <v>31484</v>
      </c>
      <c r="F136" s="2">
        <v>4.2454999999999998</v>
      </c>
      <c r="G136" s="2">
        <v>9.8199999999999996E-2</v>
      </c>
      <c r="H136" s="2">
        <v>4.0529000000000002</v>
      </c>
      <c r="I136" s="2">
        <v>4.4379999999999997</v>
      </c>
      <c r="J136" s="2">
        <v>18.223199999999999</v>
      </c>
      <c r="K136" s="2">
        <v>0.37619999999999998</v>
      </c>
      <c r="L136" s="2">
        <v>17.485499999999998</v>
      </c>
      <c r="M136" s="2">
        <v>18.960799999999999</v>
      </c>
      <c r="O136" s="8" t="str">
        <f>TEXT(J136,"0.00")&amp;" ("&amp;TEXT(L136,"0.00")&amp;" to "&amp;TEXT(M136,"0.00")&amp;")"</f>
        <v>18.22 (17.49 to 18.96)</v>
      </c>
      <c r="P136" s="8" t="str">
        <f>TEXT(J141,"0.00")&amp;" ("&amp;TEXT(L141,"0.00")&amp;" to "&amp;TEXT(M141,"0.00")&amp;")"</f>
        <v>0.15 (0.09 to 0.22)</v>
      </c>
      <c r="Q136" s="8" t="str">
        <f>TEXT(J146,"0.00")&amp;" ("&amp;TEXT(L146,"0.00")&amp;" to "&amp;TEXT(M146,"0.00")&amp;")"</f>
        <v>0.00 (0.00 to 0.01)</v>
      </c>
      <c r="R136" s="8" t="str">
        <f>TEXT(J151,"0.00")&amp;" ("&amp;TEXT(L151,"0.00")&amp;" to "&amp;TEXT(M151,"0.00")&amp;")"</f>
        <v>. (. to .)</v>
      </c>
      <c r="S136" t="s">
        <v>24</v>
      </c>
    </row>
    <row r="137" spans="1:19" ht="17.25" thickBot="1" x14ac:dyDescent="0.35">
      <c r="A137" s="6"/>
      <c r="B137" s="12">
        <v>2</v>
      </c>
      <c r="C137" s="2">
        <v>12464</v>
      </c>
      <c r="D137" s="2">
        <v>5644608</v>
      </c>
      <c r="E137" s="2">
        <v>72824</v>
      </c>
      <c r="F137" s="2">
        <v>18.6587</v>
      </c>
      <c r="G137" s="2">
        <v>0.18440000000000001</v>
      </c>
      <c r="H137" s="2">
        <v>18.297000000000001</v>
      </c>
      <c r="I137" s="2">
        <v>19.020299999999999</v>
      </c>
      <c r="J137" s="2">
        <v>80.0899</v>
      </c>
      <c r="K137" s="2">
        <v>0.3881</v>
      </c>
      <c r="L137" s="2">
        <v>79.328900000000004</v>
      </c>
      <c r="M137" s="2">
        <v>80.850899999999996</v>
      </c>
      <c r="O137" s="8" t="str">
        <f t="shared" ref="O137:O139" si="12">TEXT(J137,"0.00")&amp;" ("&amp;TEXT(L137,"0.00")&amp;" to "&amp;TEXT(M137,"0.00")&amp;")"</f>
        <v>80.09 (79.33 to 80.85)</v>
      </c>
      <c r="P137" s="8" t="str">
        <f t="shared" ref="P137:P139" si="13">TEXT(J142,"0.00")&amp;" ("&amp;TEXT(L142,"0.00")&amp;" to "&amp;TEXT(M142,"0.00")&amp;")"</f>
        <v>61.72 (60.85 to 62.59)</v>
      </c>
      <c r="Q137" s="8" t="str">
        <f t="shared" ref="Q137:Q139" si="14">TEXT(J147,"0.00")&amp;" ("&amp;TEXT(L147,"0.00")&amp;" to "&amp;TEXT(M147,"0.00")&amp;")"</f>
        <v>15.42 (14.78 to 16.06)</v>
      </c>
      <c r="R137" s="8" t="str">
        <f t="shared" ref="R137:R138" si="15">TEXT(J152,"0.00")&amp;" ("&amp;TEXT(L152,"0.00")&amp;" to "&amp;TEXT(M152,"0.00")&amp;")"</f>
        <v>1.58 (1.37 to 1.78)</v>
      </c>
      <c r="S137" t="s">
        <v>24</v>
      </c>
    </row>
    <row r="138" spans="1:19" ht="17.25" thickBot="1" x14ac:dyDescent="0.35">
      <c r="A138" s="6"/>
      <c r="B138" s="12">
        <v>3</v>
      </c>
      <c r="C138" s="2">
        <v>253</v>
      </c>
      <c r="D138" s="2">
        <v>118893</v>
      </c>
      <c r="E138" s="2">
        <v>8765</v>
      </c>
      <c r="F138" s="2">
        <v>0.39300000000000002</v>
      </c>
      <c r="G138" s="2">
        <v>2.8899999999999999E-2</v>
      </c>
      <c r="H138" s="2">
        <v>0.33639999999999998</v>
      </c>
      <c r="I138" s="2">
        <v>0.4496</v>
      </c>
      <c r="J138" s="2">
        <v>1.6869000000000001</v>
      </c>
      <c r="K138" s="2">
        <v>0.1232</v>
      </c>
      <c r="L138" s="2">
        <v>1.4454</v>
      </c>
      <c r="M138" s="2">
        <v>1.9283999999999999</v>
      </c>
      <c r="O138" s="8" t="str">
        <f t="shared" si="12"/>
        <v>1.69 (1.45 to 1.93)</v>
      </c>
      <c r="P138" s="8" t="str">
        <f t="shared" si="13"/>
        <v>33.59 (32.74 to 34.44)</v>
      </c>
      <c r="Q138" s="8" t="str">
        <f t="shared" si="14"/>
        <v>45.07 (44.19 to 45.94)</v>
      </c>
      <c r="R138" s="8" t="str">
        <f t="shared" si="15"/>
        <v>11.73 (11.16 to 12.29)</v>
      </c>
      <c r="S138" t="s">
        <v>24</v>
      </c>
    </row>
    <row r="139" spans="1:19" ht="17.25" thickBot="1" x14ac:dyDescent="0.35">
      <c r="A139" s="6"/>
      <c r="B139" s="12">
        <v>4</v>
      </c>
      <c r="C139" s="2">
        <v>0</v>
      </c>
      <c r="D139" s="2" t="s">
        <v>118</v>
      </c>
      <c r="E139" s="2" t="s">
        <v>118</v>
      </c>
      <c r="F139" s="2" t="s">
        <v>118</v>
      </c>
      <c r="G139" s="2" t="s">
        <v>118</v>
      </c>
      <c r="H139" s="2" t="s">
        <v>118</v>
      </c>
      <c r="I139" s="2" t="s">
        <v>118</v>
      </c>
      <c r="J139" s="2" t="s">
        <v>118</v>
      </c>
      <c r="K139" s="2" t="s">
        <v>118</v>
      </c>
      <c r="L139" s="2" t="s">
        <v>118</v>
      </c>
      <c r="M139" s="2" t="s">
        <v>118</v>
      </c>
      <c r="O139" s="8" t="str">
        <f t="shared" si="12"/>
        <v>. (. to .)</v>
      </c>
      <c r="P139" s="8" t="str">
        <f t="shared" si="13"/>
        <v>4.53 (4.19 to 4.88)</v>
      </c>
      <c r="Q139" s="8" t="str">
        <f t="shared" si="14"/>
        <v>39.51 (38.66 to 40.36)</v>
      </c>
      <c r="R139" s="8" t="str">
        <f>TEXT(J154,"0.00")&amp;" ("&amp;TEXT(L154,"0.00")&amp;" to "&amp;TEXT(M154,"0.00")&amp;")"</f>
        <v>86.70 (86.11 to 87.29)</v>
      </c>
      <c r="S139" t="s">
        <v>24</v>
      </c>
    </row>
    <row r="140" spans="1:19" ht="17.25" thickBot="1" x14ac:dyDescent="0.35">
      <c r="A140" s="6"/>
      <c r="B140" s="12" t="s">
        <v>93</v>
      </c>
      <c r="C140" s="2">
        <v>15457</v>
      </c>
      <c r="D140" s="2">
        <v>7047841</v>
      </c>
      <c r="E140" s="2">
        <v>85770</v>
      </c>
      <c r="F140" s="2">
        <v>23.2972</v>
      </c>
      <c r="G140" s="2">
        <v>0.20880000000000001</v>
      </c>
      <c r="H140" s="2">
        <v>22.887599999999999</v>
      </c>
      <c r="I140" s="2">
        <v>23.706700000000001</v>
      </c>
      <c r="J140" s="2">
        <v>100</v>
      </c>
      <c r="K140" s="2"/>
      <c r="L140" s="2"/>
      <c r="M140" s="2"/>
      <c r="S140" t="s">
        <v>24</v>
      </c>
    </row>
    <row r="141" spans="1:19" ht="17.25" hidden="1" customHeight="1" thickBot="1" x14ac:dyDescent="0.35">
      <c r="A141" s="6">
        <v>2</v>
      </c>
      <c r="B141" s="12">
        <v>1</v>
      </c>
      <c r="C141" s="2">
        <v>36</v>
      </c>
      <c r="D141" s="2">
        <v>11590</v>
      </c>
      <c r="E141" s="2">
        <v>2414</v>
      </c>
      <c r="F141" s="2">
        <v>3.8300000000000001E-2</v>
      </c>
      <c r="G141" s="2">
        <v>8.0000000000000002E-3</v>
      </c>
      <c r="H141" s="2">
        <v>2.2599999999999999E-2</v>
      </c>
      <c r="I141" s="2">
        <v>5.3999999999999999E-2</v>
      </c>
      <c r="J141" s="2">
        <v>0.15409999999999999</v>
      </c>
      <c r="K141" s="2">
        <v>3.2199999999999999E-2</v>
      </c>
      <c r="L141" s="2">
        <v>9.0999999999999998E-2</v>
      </c>
      <c r="M141" s="2">
        <v>0.21709999999999999</v>
      </c>
    </row>
    <row r="142" spans="1:19" ht="17.25" hidden="1" customHeight="1" thickBot="1" x14ac:dyDescent="0.35">
      <c r="A142" s="6"/>
      <c r="B142" s="12">
        <v>2</v>
      </c>
      <c r="C142" s="2">
        <v>10749</v>
      </c>
      <c r="D142" s="2">
        <v>4642404</v>
      </c>
      <c r="E142" s="2">
        <v>61322</v>
      </c>
      <c r="F142" s="2">
        <v>15.345800000000001</v>
      </c>
      <c r="G142" s="2">
        <v>0.16300000000000001</v>
      </c>
      <c r="H142" s="2">
        <v>15.0261</v>
      </c>
      <c r="I142" s="2">
        <v>15.6655</v>
      </c>
      <c r="J142" s="2">
        <v>61.720700000000001</v>
      </c>
      <c r="K142" s="2">
        <v>0.44280000000000003</v>
      </c>
      <c r="L142" s="2">
        <v>60.852499999999999</v>
      </c>
      <c r="M142" s="2">
        <v>62.588900000000002</v>
      </c>
    </row>
    <row r="143" spans="1:19" ht="17.25" hidden="1" customHeight="1" thickBot="1" x14ac:dyDescent="0.35">
      <c r="A143" s="6"/>
      <c r="B143" s="12">
        <v>3</v>
      </c>
      <c r="C143" s="2">
        <v>5728</v>
      </c>
      <c r="D143" s="2">
        <v>2526579</v>
      </c>
      <c r="E143" s="2">
        <v>42715</v>
      </c>
      <c r="F143" s="2">
        <v>8.3518000000000008</v>
      </c>
      <c r="G143" s="2">
        <v>0.12520000000000001</v>
      </c>
      <c r="H143" s="2">
        <v>8.1064000000000007</v>
      </c>
      <c r="I143" s="2">
        <v>8.5972000000000008</v>
      </c>
      <c r="J143" s="2">
        <v>33.590800000000002</v>
      </c>
      <c r="K143" s="2">
        <v>0.43169999999999997</v>
      </c>
      <c r="L143" s="2">
        <v>32.744399999999999</v>
      </c>
      <c r="M143" s="2">
        <v>34.4373</v>
      </c>
    </row>
    <row r="144" spans="1:19" ht="17.25" hidden="1" customHeight="1" thickBot="1" x14ac:dyDescent="0.35">
      <c r="A144" s="6"/>
      <c r="B144" s="12">
        <v>4</v>
      </c>
      <c r="C144" s="2">
        <v>809</v>
      </c>
      <c r="D144" s="2">
        <v>341061</v>
      </c>
      <c r="E144" s="2">
        <v>13669</v>
      </c>
      <c r="F144" s="2">
        <v>1.1274</v>
      </c>
      <c r="G144" s="2">
        <v>4.4600000000000001E-2</v>
      </c>
      <c r="H144" s="2">
        <v>1.0399</v>
      </c>
      <c r="I144" s="2">
        <v>1.2149000000000001</v>
      </c>
      <c r="J144" s="2">
        <v>4.5343999999999998</v>
      </c>
      <c r="K144" s="2">
        <v>0.17760000000000001</v>
      </c>
      <c r="L144" s="2">
        <v>4.1862000000000004</v>
      </c>
      <c r="M144" s="2">
        <v>4.8826000000000001</v>
      </c>
    </row>
    <row r="145" spans="1:13" ht="17.25" hidden="1" customHeight="1" thickBot="1" x14ac:dyDescent="0.35">
      <c r="A145" s="6"/>
      <c r="B145" s="12" t="s">
        <v>93</v>
      </c>
      <c r="C145" s="2">
        <v>17322</v>
      </c>
      <c r="D145" s="2">
        <v>7521633</v>
      </c>
      <c r="E145" s="2">
        <v>82230</v>
      </c>
      <c r="F145" s="2">
        <v>24.863299999999999</v>
      </c>
      <c r="G145" s="2">
        <v>0.1913</v>
      </c>
      <c r="H145" s="2">
        <v>24.488199999999999</v>
      </c>
      <c r="I145" s="2">
        <v>25.238399999999999</v>
      </c>
      <c r="J145" s="2">
        <v>100</v>
      </c>
      <c r="K145" s="2"/>
      <c r="L145" s="2"/>
      <c r="M145" s="2"/>
    </row>
    <row r="146" spans="1:13" ht="17.25" hidden="1" customHeight="1" thickBot="1" x14ac:dyDescent="0.35">
      <c r="A146" s="6">
        <v>3</v>
      </c>
      <c r="B146" s="12">
        <v>1</v>
      </c>
      <c r="C146" s="2">
        <v>1</v>
      </c>
      <c r="D146" s="2">
        <v>262.50877000000003</v>
      </c>
      <c r="E146" s="2">
        <v>262.50877000000003</v>
      </c>
      <c r="F146" s="2">
        <v>8.9999999999999998E-4</v>
      </c>
      <c r="G146" s="2">
        <v>8.9999999999999998E-4</v>
      </c>
      <c r="H146" s="2">
        <v>0</v>
      </c>
      <c r="I146" s="2">
        <v>2.5999999999999999E-3</v>
      </c>
      <c r="J146" s="2">
        <v>3.5000000000000001E-3</v>
      </c>
      <c r="K146" s="2">
        <v>3.5000000000000001E-3</v>
      </c>
      <c r="L146" s="2">
        <v>0</v>
      </c>
      <c r="M146" s="2">
        <v>1.0200000000000001E-2</v>
      </c>
    </row>
    <row r="147" spans="1:13" ht="17.25" hidden="1" customHeight="1" thickBot="1" x14ac:dyDescent="0.35">
      <c r="A147" s="6"/>
      <c r="B147" s="12">
        <v>2</v>
      </c>
      <c r="C147" s="2">
        <v>2911</v>
      </c>
      <c r="D147" s="2">
        <v>1171175</v>
      </c>
      <c r="E147" s="2">
        <v>27572</v>
      </c>
      <c r="F147" s="2">
        <v>3.8714</v>
      </c>
      <c r="G147" s="2">
        <v>8.7300000000000003E-2</v>
      </c>
      <c r="H147" s="2">
        <v>3.7000999999999999</v>
      </c>
      <c r="I147" s="2">
        <v>4.0427</v>
      </c>
      <c r="J147" s="2">
        <v>15.4191</v>
      </c>
      <c r="K147" s="2">
        <v>0.32429999999999998</v>
      </c>
      <c r="L147" s="2">
        <v>14.783200000000001</v>
      </c>
      <c r="M147" s="2">
        <v>16.055099999999999</v>
      </c>
    </row>
    <row r="148" spans="1:13" ht="17.25" hidden="1" customHeight="1" thickBot="1" x14ac:dyDescent="0.35">
      <c r="A148" s="6"/>
      <c r="B148" s="12">
        <v>3</v>
      </c>
      <c r="C148" s="2">
        <v>8016</v>
      </c>
      <c r="D148" s="2">
        <v>3423160</v>
      </c>
      <c r="E148" s="2">
        <v>49328</v>
      </c>
      <c r="F148" s="2">
        <v>11.3155</v>
      </c>
      <c r="G148" s="2">
        <v>0.1406</v>
      </c>
      <c r="H148" s="2">
        <v>11.0398</v>
      </c>
      <c r="I148" s="2">
        <v>11.5913</v>
      </c>
      <c r="J148" s="2">
        <v>45.067700000000002</v>
      </c>
      <c r="K148" s="2">
        <v>0.44669999999999999</v>
      </c>
      <c r="L148" s="2">
        <v>44.191800000000001</v>
      </c>
      <c r="M148" s="2">
        <v>45.943600000000004</v>
      </c>
    </row>
    <row r="149" spans="1:13" ht="17.25" hidden="1" customHeight="1" thickBot="1" x14ac:dyDescent="0.35">
      <c r="A149" s="6"/>
      <c r="B149" s="12">
        <v>4</v>
      </c>
      <c r="C149" s="2">
        <v>6900</v>
      </c>
      <c r="D149" s="2">
        <v>3000997</v>
      </c>
      <c r="E149" s="2">
        <v>46102</v>
      </c>
      <c r="F149" s="2">
        <v>9.92</v>
      </c>
      <c r="G149" s="2">
        <v>0.1338</v>
      </c>
      <c r="H149" s="2">
        <v>9.6576000000000004</v>
      </c>
      <c r="I149" s="2">
        <v>10.182399999999999</v>
      </c>
      <c r="J149" s="2">
        <v>39.509700000000002</v>
      </c>
      <c r="K149" s="2">
        <v>0.432</v>
      </c>
      <c r="L149" s="2">
        <v>38.662599999999998</v>
      </c>
      <c r="M149" s="2">
        <v>40.3568</v>
      </c>
    </row>
    <row r="150" spans="1:13" ht="17.25" hidden="1" customHeight="1" thickBot="1" x14ac:dyDescent="0.35">
      <c r="A150" s="6"/>
      <c r="B150" s="12" t="s">
        <v>93</v>
      </c>
      <c r="C150" s="2">
        <v>17828</v>
      </c>
      <c r="D150" s="2">
        <v>7595594</v>
      </c>
      <c r="E150" s="2">
        <v>80574</v>
      </c>
      <c r="F150" s="2">
        <v>25.107800000000001</v>
      </c>
      <c r="G150" s="2">
        <v>0.19489999999999999</v>
      </c>
      <c r="H150" s="2">
        <v>24.7257</v>
      </c>
      <c r="I150" s="2">
        <v>25.489899999999999</v>
      </c>
      <c r="J150" s="2">
        <v>100</v>
      </c>
      <c r="K150" s="2"/>
      <c r="L150" s="2"/>
      <c r="M150" s="2"/>
    </row>
    <row r="151" spans="1:13" ht="17.25" hidden="1" customHeight="1" thickBot="1" x14ac:dyDescent="0.35">
      <c r="A151" s="6">
        <v>4</v>
      </c>
      <c r="B151" s="12">
        <v>1</v>
      </c>
      <c r="C151" s="2">
        <v>0</v>
      </c>
      <c r="D151" s="2" t="s">
        <v>118</v>
      </c>
      <c r="E151" s="2" t="s">
        <v>118</v>
      </c>
      <c r="F151" s="2" t="s">
        <v>118</v>
      </c>
      <c r="G151" s="2" t="s">
        <v>118</v>
      </c>
      <c r="H151" s="2" t="s">
        <v>118</v>
      </c>
      <c r="I151" s="2" t="s">
        <v>118</v>
      </c>
      <c r="J151" s="2" t="s">
        <v>118</v>
      </c>
      <c r="K151" s="2" t="s">
        <v>118</v>
      </c>
      <c r="L151" s="2" t="s">
        <v>118</v>
      </c>
      <c r="M151" s="2" t="s">
        <v>118</v>
      </c>
    </row>
    <row r="152" spans="1:13" ht="17.25" hidden="1" customHeight="1" thickBot="1" x14ac:dyDescent="0.35">
      <c r="A152" s="6"/>
      <c r="B152" s="12">
        <v>2</v>
      </c>
      <c r="C152" s="2">
        <v>311</v>
      </c>
      <c r="D152" s="2">
        <v>127460</v>
      </c>
      <c r="E152" s="2">
        <v>8711</v>
      </c>
      <c r="F152" s="2">
        <v>0.42130000000000001</v>
      </c>
      <c r="G152" s="2">
        <v>2.87E-2</v>
      </c>
      <c r="H152" s="2">
        <v>0.36520000000000002</v>
      </c>
      <c r="I152" s="2">
        <v>0.47749999999999998</v>
      </c>
      <c r="J152" s="2">
        <v>1.5761000000000001</v>
      </c>
      <c r="K152" s="2">
        <v>0.1062</v>
      </c>
      <c r="L152" s="2">
        <v>1.3680000000000001</v>
      </c>
      <c r="M152" s="2">
        <v>1.7843</v>
      </c>
    </row>
    <row r="153" spans="1:13" ht="17.25" hidden="1" customHeight="1" thickBot="1" x14ac:dyDescent="0.35">
      <c r="A153" s="6"/>
      <c r="B153" s="12">
        <v>3</v>
      </c>
      <c r="C153" s="2">
        <v>2268</v>
      </c>
      <c r="D153" s="2">
        <v>948199</v>
      </c>
      <c r="E153" s="2">
        <v>24872</v>
      </c>
      <c r="F153" s="2">
        <v>3.1343000000000001</v>
      </c>
      <c r="G153" s="2">
        <v>0.08</v>
      </c>
      <c r="H153" s="2">
        <v>2.9775</v>
      </c>
      <c r="I153" s="2">
        <v>3.2911999999999999</v>
      </c>
      <c r="J153" s="2">
        <v>11.725199999999999</v>
      </c>
      <c r="K153" s="2">
        <v>0.28699999999999998</v>
      </c>
      <c r="L153" s="2">
        <v>11.1625</v>
      </c>
      <c r="M153" s="2">
        <v>12.2879</v>
      </c>
    </row>
    <row r="154" spans="1:13" ht="17.25" hidden="1" customHeight="1" thickBot="1" x14ac:dyDescent="0.35">
      <c r="A154" s="6"/>
      <c r="B154" s="12">
        <v>4</v>
      </c>
      <c r="C154" s="2">
        <v>15449</v>
      </c>
      <c r="D154" s="2">
        <v>7011209</v>
      </c>
      <c r="E154" s="2">
        <v>79089</v>
      </c>
      <c r="F154" s="2">
        <v>23.176100000000002</v>
      </c>
      <c r="G154" s="2">
        <v>0.20169999999999999</v>
      </c>
      <c r="H154" s="2">
        <v>22.7805</v>
      </c>
      <c r="I154" s="2">
        <v>23.5716</v>
      </c>
      <c r="J154" s="2">
        <v>86.698700000000002</v>
      </c>
      <c r="K154" s="2">
        <v>0.30120000000000002</v>
      </c>
      <c r="L154" s="2">
        <v>86.108099999999993</v>
      </c>
      <c r="M154" s="2">
        <v>87.289299999999997</v>
      </c>
    </row>
    <row r="155" spans="1:13" ht="17.25" hidden="1" customHeight="1" thickBot="1" x14ac:dyDescent="0.35">
      <c r="A155" s="6"/>
      <c r="B155" s="12" t="s">
        <v>93</v>
      </c>
      <c r="C155" s="2">
        <v>18028</v>
      </c>
      <c r="D155" s="2">
        <v>8086868</v>
      </c>
      <c r="E155" s="2">
        <v>85733</v>
      </c>
      <c r="F155" s="2">
        <v>26.7317</v>
      </c>
      <c r="G155" s="2">
        <v>0.2117</v>
      </c>
      <c r="H155" s="2">
        <v>26.316600000000001</v>
      </c>
      <c r="I155" s="2">
        <v>27.146899999999999</v>
      </c>
      <c r="J155" s="2">
        <v>100</v>
      </c>
      <c r="K155" s="2"/>
      <c r="L155" s="2"/>
      <c r="M155" s="2"/>
    </row>
    <row r="156" spans="1:13" ht="17.25" hidden="1" customHeight="1" thickBot="1" x14ac:dyDescent="0.35">
      <c r="A156" s="6" t="s">
        <v>93</v>
      </c>
      <c r="B156" s="12">
        <v>1</v>
      </c>
      <c r="C156" s="2">
        <v>2777</v>
      </c>
      <c r="D156" s="2">
        <v>1296193</v>
      </c>
      <c r="E156" s="2">
        <v>31560</v>
      </c>
      <c r="F156" s="2">
        <v>4.2847</v>
      </c>
      <c r="G156" s="2">
        <v>9.8500000000000004E-2</v>
      </c>
      <c r="H156" s="2">
        <v>4.0914999999999999</v>
      </c>
      <c r="I156" s="2">
        <v>4.4778000000000002</v>
      </c>
      <c r="J156" s="2"/>
      <c r="K156" s="2"/>
      <c r="L156" s="2"/>
      <c r="M156" s="2"/>
    </row>
    <row r="157" spans="1:13" ht="17.25" hidden="1" customHeight="1" thickBot="1" x14ac:dyDescent="0.35">
      <c r="A157" s="6"/>
      <c r="B157" s="12">
        <v>2</v>
      </c>
      <c r="C157" s="2">
        <v>26435</v>
      </c>
      <c r="D157" s="2">
        <v>11585647</v>
      </c>
      <c r="E157" s="2">
        <v>115210</v>
      </c>
      <c r="F157" s="2">
        <v>38.297199999999997</v>
      </c>
      <c r="G157" s="2">
        <v>0.2286</v>
      </c>
      <c r="H157" s="2">
        <v>37.848999999999997</v>
      </c>
      <c r="I157" s="2">
        <v>38.745399999999997</v>
      </c>
      <c r="J157" s="2"/>
      <c r="K157" s="2"/>
      <c r="L157" s="2"/>
      <c r="M157" s="2"/>
    </row>
    <row r="158" spans="1:13" ht="17.25" hidden="1" customHeight="1" thickBot="1" x14ac:dyDescent="0.35">
      <c r="A158" s="6"/>
      <c r="B158" s="12">
        <v>3</v>
      </c>
      <c r="C158" s="2">
        <v>16265</v>
      </c>
      <c r="D158" s="2">
        <v>7016830</v>
      </c>
      <c r="E158" s="2">
        <v>76881</v>
      </c>
      <c r="F158" s="2">
        <v>23.194600000000001</v>
      </c>
      <c r="G158" s="2">
        <v>0.189</v>
      </c>
      <c r="H158" s="2">
        <v>22.824000000000002</v>
      </c>
      <c r="I158" s="2">
        <v>23.565300000000001</v>
      </c>
      <c r="J158" s="2"/>
      <c r="K158" s="2"/>
      <c r="L158" s="2"/>
      <c r="M158" s="2"/>
    </row>
    <row r="159" spans="1:13" ht="17.25" hidden="1" customHeight="1" thickBot="1" x14ac:dyDescent="0.35">
      <c r="A159" s="6"/>
      <c r="B159" s="12">
        <v>4</v>
      </c>
      <c r="C159" s="2">
        <v>23158</v>
      </c>
      <c r="D159" s="2">
        <v>10353266</v>
      </c>
      <c r="E159" s="2">
        <v>102556</v>
      </c>
      <c r="F159" s="2">
        <v>34.223500000000001</v>
      </c>
      <c r="G159" s="2">
        <v>0.23269999999999999</v>
      </c>
      <c r="H159" s="2">
        <v>33.767099999999999</v>
      </c>
      <c r="I159" s="2">
        <v>34.6798</v>
      </c>
      <c r="J159" s="2"/>
      <c r="K159" s="2"/>
      <c r="L159" s="2"/>
      <c r="M159" s="2"/>
    </row>
    <row r="160" spans="1:13" ht="16.5" hidden="1" customHeight="1" x14ac:dyDescent="0.3">
      <c r="A160" s="6"/>
      <c r="B160" s="15" t="s">
        <v>93</v>
      </c>
      <c r="C160" s="2">
        <v>68635</v>
      </c>
      <c r="D160" s="2">
        <v>30251936</v>
      </c>
      <c r="E160" s="2">
        <v>228758</v>
      </c>
      <c r="F160" s="2">
        <v>100</v>
      </c>
      <c r="G160" s="2"/>
      <c r="H160" s="2"/>
      <c r="I160" s="2"/>
      <c r="J160" s="2"/>
      <c r="K160" s="2"/>
      <c r="L160" s="2"/>
      <c r="M160" s="2"/>
    </row>
    <row r="161" spans="1:19" ht="16.5" hidden="1" customHeight="1" x14ac:dyDescent="0.3"/>
    <row r="162" spans="1:19" ht="16.5" hidden="1" customHeight="1" x14ac:dyDescent="0.3">
      <c r="A162" s="24" t="s">
        <v>119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</row>
    <row r="163" spans="1:19" ht="33" hidden="1" customHeight="1" x14ac:dyDescent="0.3">
      <c r="A163" s="25" t="s">
        <v>28</v>
      </c>
      <c r="B163" s="27" t="s">
        <v>10</v>
      </c>
      <c r="C163" s="27" t="s">
        <v>86</v>
      </c>
      <c r="D163" s="3" t="s">
        <v>87</v>
      </c>
      <c r="E163" s="3" t="s">
        <v>88</v>
      </c>
      <c r="F163" s="27" t="s">
        <v>90</v>
      </c>
      <c r="G163" s="3" t="s">
        <v>88</v>
      </c>
      <c r="H163" s="27" t="s">
        <v>91</v>
      </c>
      <c r="I163" s="27"/>
      <c r="J163" s="3" t="s">
        <v>109</v>
      </c>
      <c r="K163" s="3" t="s">
        <v>88</v>
      </c>
      <c r="L163" s="27" t="s">
        <v>91</v>
      </c>
      <c r="M163" s="27"/>
    </row>
    <row r="164" spans="1:19" ht="33" hidden="1" customHeight="1" x14ac:dyDescent="0.3">
      <c r="A164" s="25"/>
      <c r="B164" s="27"/>
      <c r="C164" s="27"/>
      <c r="D164" s="3" t="s">
        <v>86</v>
      </c>
      <c r="E164" s="3" t="s">
        <v>89</v>
      </c>
      <c r="F164" s="27"/>
      <c r="G164" s="3" t="s">
        <v>90</v>
      </c>
      <c r="H164" s="27" t="s">
        <v>92</v>
      </c>
      <c r="I164" s="27"/>
      <c r="J164" s="3" t="s">
        <v>90</v>
      </c>
      <c r="K164" s="3" t="s">
        <v>110</v>
      </c>
      <c r="L164" s="27" t="s">
        <v>111</v>
      </c>
      <c r="M164" s="27"/>
    </row>
    <row r="165" spans="1:19" ht="17.25" thickBot="1" x14ac:dyDescent="0.35">
      <c r="A165" s="6">
        <v>1</v>
      </c>
      <c r="B165" s="12">
        <v>1</v>
      </c>
      <c r="C165" s="2">
        <v>10963</v>
      </c>
      <c r="D165" s="2">
        <v>4416055</v>
      </c>
      <c r="E165" s="2">
        <v>59403</v>
      </c>
      <c r="F165" s="2">
        <v>14.5976</v>
      </c>
      <c r="G165" s="2">
        <v>0.16289999999999999</v>
      </c>
      <c r="H165" s="2">
        <v>14.2783</v>
      </c>
      <c r="I165" s="2">
        <v>14.9169</v>
      </c>
      <c r="J165" s="2">
        <v>62.658299999999997</v>
      </c>
      <c r="K165" s="2">
        <v>0.53769999999999996</v>
      </c>
      <c r="L165" s="2">
        <v>61.603900000000003</v>
      </c>
      <c r="M165" s="2">
        <v>63.712600000000002</v>
      </c>
      <c r="O165" s="8" t="str">
        <f>TEXT(J165,"0.00")&amp;" ("&amp;TEXT(L165,"0.00")&amp;" to "&amp;TEXT(M165,"0.00")&amp;")"</f>
        <v>62.66 (61.60 to 63.71)</v>
      </c>
      <c r="P165" s="8" t="str">
        <f>TEXT(J168,"0.00")&amp;" ("&amp;TEXT(L168,"0.00")&amp;" to "&amp;TEXT(M168,"0.00")&amp;")"</f>
        <v>75.91 (74.98 to 76.85)</v>
      </c>
      <c r="Q165" s="8" t="str">
        <f>TEXT(J171,"0.00")&amp;" ("&amp;TEXT(L171,"0.00")&amp;" to "&amp;TEXT(M171,"0.00")&amp;")"</f>
        <v>81.73 (80.87 to 82.58)</v>
      </c>
      <c r="R165" s="8" t="str">
        <f>TEXT(J174,"0.00")&amp;" ("&amp;TEXT(L174,"0.00")&amp;" to "&amp;TEXT(M174,"0.00")&amp;")"</f>
        <v>81.18 (80.37 to 81.99)</v>
      </c>
      <c r="S165" t="s">
        <v>24</v>
      </c>
    </row>
    <row r="166" spans="1:19" ht="17.25" thickBot="1" x14ac:dyDescent="0.35">
      <c r="A166" s="6"/>
      <c r="B166" s="12">
        <v>2</v>
      </c>
      <c r="C166" s="2">
        <v>4494</v>
      </c>
      <c r="D166" s="2">
        <v>2631785</v>
      </c>
      <c r="E166" s="2">
        <v>54186</v>
      </c>
      <c r="F166" s="2">
        <v>8.6996000000000002</v>
      </c>
      <c r="G166" s="2">
        <v>0.1598</v>
      </c>
      <c r="H166" s="2">
        <v>8.3863000000000003</v>
      </c>
      <c r="I166" s="2">
        <v>9.0128000000000004</v>
      </c>
      <c r="J166" s="2">
        <v>37.341700000000003</v>
      </c>
      <c r="K166" s="2">
        <v>0.53769999999999996</v>
      </c>
      <c r="L166" s="2">
        <v>36.287399999999998</v>
      </c>
      <c r="M166" s="2">
        <v>38.396099999999997</v>
      </c>
      <c r="O166" s="8" t="str">
        <f>TEXT(J166,"0.00")&amp;" ("&amp;TEXT(L166,"0.00")&amp;" to "&amp;TEXT(M166,"0.00")&amp;")"</f>
        <v>37.34 (36.29 to 38.40)</v>
      </c>
      <c r="P166" s="8" t="str">
        <f>TEXT(J169,"0.00")&amp;" ("&amp;TEXT(L169,"0.00")&amp;" to "&amp;TEXT(M169,"0.00")&amp;")"</f>
        <v>24.09 (23.15 to 25.02)</v>
      </c>
      <c r="Q166" s="8" t="str">
        <f>TEXT(J172,"0.00")&amp;" ("&amp;TEXT(L172,"0.00")&amp;" to "&amp;TEXT(M172,"0.00")&amp;")"</f>
        <v>18.27 (17.42 to 19.13)</v>
      </c>
      <c r="R166" s="8" t="str">
        <f>TEXT(J175,"0.00")&amp;" ("&amp;TEXT(L175,"0.00")&amp;" to "&amp;TEXT(M175,"0.00")&amp;")"</f>
        <v>18.82 (18.01 to 19.63)</v>
      </c>
      <c r="S166" t="s">
        <v>24</v>
      </c>
    </row>
    <row r="167" spans="1:19" ht="17.25" thickBot="1" x14ac:dyDescent="0.35">
      <c r="A167" s="6"/>
      <c r="B167" s="12" t="s">
        <v>93</v>
      </c>
      <c r="C167" s="2">
        <v>15457</v>
      </c>
      <c r="D167" s="2">
        <v>7047841</v>
      </c>
      <c r="E167" s="2">
        <v>85770</v>
      </c>
      <c r="F167" s="2">
        <v>23.2972</v>
      </c>
      <c r="G167" s="2">
        <v>0.20880000000000001</v>
      </c>
      <c r="H167" s="2">
        <v>22.887599999999999</v>
      </c>
      <c r="I167" s="2">
        <v>23.706700000000001</v>
      </c>
      <c r="J167" s="2">
        <v>100</v>
      </c>
      <c r="K167" s="2"/>
      <c r="L167" s="2"/>
      <c r="M167" s="2"/>
      <c r="S167" t="s">
        <v>24</v>
      </c>
    </row>
    <row r="168" spans="1:19" ht="17.25" hidden="1" customHeight="1" thickBot="1" x14ac:dyDescent="0.35">
      <c r="A168" s="6">
        <v>2</v>
      </c>
      <c r="B168" s="12">
        <v>1</v>
      </c>
      <c r="C168" s="2">
        <v>14447</v>
      </c>
      <c r="D168" s="2">
        <v>5709797</v>
      </c>
      <c r="E168" s="2">
        <v>67474</v>
      </c>
      <c r="F168" s="2">
        <v>18.874199999999998</v>
      </c>
      <c r="G168" s="2">
        <v>0.17549999999999999</v>
      </c>
      <c r="H168" s="2">
        <v>18.530100000000001</v>
      </c>
      <c r="I168" s="2">
        <v>19.218299999999999</v>
      </c>
      <c r="J168" s="2">
        <v>75.911699999999996</v>
      </c>
      <c r="K168" s="2">
        <v>0.47739999999999999</v>
      </c>
      <c r="L168" s="2">
        <v>74.9756</v>
      </c>
      <c r="M168" s="2">
        <v>76.847800000000007</v>
      </c>
    </row>
    <row r="169" spans="1:19" ht="17.25" hidden="1" customHeight="1" thickBot="1" x14ac:dyDescent="0.35">
      <c r="A169" s="6"/>
      <c r="B169" s="12">
        <v>2</v>
      </c>
      <c r="C169" s="2">
        <v>2875</v>
      </c>
      <c r="D169" s="2">
        <v>1811836</v>
      </c>
      <c r="E169" s="2">
        <v>43390</v>
      </c>
      <c r="F169" s="2">
        <v>5.9892000000000003</v>
      </c>
      <c r="G169" s="2">
        <v>0.13270000000000001</v>
      </c>
      <c r="H169" s="2">
        <v>5.7290000000000001</v>
      </c>
      <c r="I169" s="2">
        <v>6.2492999999999999</v>
      </c>
      <c r="J169" s="2">
        <v>24.0883</v>
      </c>
      <c r="K169" s="2">
        <v>0.47739999999999999</v>
      </c>
      <c r="L169" s="2">
        <v>23.152200000000001</v>
      </c>
      <c r="M169" s="2">
        <v>25.0244</v>
      </c>
    </row>
    <row r="170" spans="1:19" ht="17.25" hidden="1" customHeight="1" thickBot="1" x14ac:dyDescent="0.35">
      <c r="A170" s="6"/>
      <c r="B170" s="12" t="s">
        <v>93</v>
      </c>
      <c r="C170" s="2">
        <v>17322</v>
      </c>
      <c r="D170" s="2">
        <v>7521633</v>
      </c>
      <c r="E170" s="2">
        <v>82230</v>
      </c>
      <c r="F170" s="2">
        <v>24.863299999999999</v>
      </c>
      <c r="G170" s="2">
        <v>0.1913</v>
      </c>
      <c r="H170" s="2">
        <v>24.488199999999999</v>
      </c>
      <c r="I170" s="2">
        <v>25.238399999999999</v>
      </c>
      <c r="J170" s="2">
        <v>100</v>
      </c>
      <c r="K170" s="2"/>
      <c r="L170" s="2"/>
      <c r="M170" s="2"/>
    </row>
    <row r="171" spans="1:19" ht="17.25" hidden="1" customHeight="1" thickBot="1" x14ac:dyDescent="0.35">
      <c r="A171" s="6">
        <v>3</v>
      </c>
      <c r="B171" s="12">
        <v>1</v>
      </c>
      <c r="C171" s="2">
        <v>15695</v>
      </c>
      <c r="D171" s="2">
        <v>6207773</v>
      </c>
      <c r="E171" s="2">
        <v>68787</v>
      </c>
      <c r="F171" s="2">
        <v>20.520199999999999</v>
      </c>
      <c r="G171" s="2">
        <v>0.1817</v>
      </c>
      <c r="H171" s="2">
        <v>20.164000000000001</v>
      </c>
      <c r="I171" s="2">
        <v>20.8765</v>
      </c>
      <c r="J171" s="2">
        <v>81.7286</v>
      </c>
      <c r="K171" s="2">
        <v>0.43590000000000001</v>
      </c>
      <c r="L171" s="2">
        <v>80.873800000000003</v>
      </c>
      <c r="M171" s="2">
        <v>82.583399999999997</v>
      </c>
    </row>
    <row r="172" spans="1:19" ht="17.25" hidden="1" customHeight="1" thickBot="1" x14ac:dyDescent="0.35">
      <c r="A172" s="6"/>
      <c r="B172" s="12">
        <v>2</v>
      </c>
      <c r="C172" s="2">
        <v>2133</v>
      </c>
      <c r="D172" s="2">
        <v>1387821</v>
      </c>
      <c r="E172" s="2">
        <v>38339</v>
      </c>
      <c r="F172" s="2">
        <v>4.5875000000000004</v>
      </c>
      <c r="G172" s="2">
        <v>0.1192</v>
      </c>
      <c r="H172" s="2">
        <v>4.3536999999999999</v>
      </c>
      <c r="I172" s="2">
        <v>4.8213999999999997</v>
      </c>
      <c r="J172" s="2">
        <v>18.2714</v>
      </c>
      <c r="K172" s="2">
        <v>0.43590000000000001</v>
      </c>
      <c r="L172" s="2">
        <v>17.416599999999999</v>
      </c>
      <c r="M172" s="2">
        <v>19.126200000000001</v>
      </c>
    </row>
    <row r="173" spans="1:19" ht="17.25" hidden="1" customHeight="1" thickBot="1" x14ac:dyDescent="0.35">
      <c r="A173" s="6"/>
      <c r="B173" s="12" t="s">
        <v>93</v>
      </c>
      <c r="C173" s="2">
        <v>17828</v>
      </c>
      <c r="D173" s="2">
        <v>7595594</v>
      </c>
      <c r="E173" s="2">
        <v>80574</v>
      </c>
      <c r="F173" s="2">
        <v>25.107800000000001</v>
      </c>
      <c r="G173" s="2">
        <v>0.19489999999999999</v>
      </c>
      <c r="H173" s="2">
        <v>24.7257</v>
      </c>
      <c r="I173" s="2">
        <v>25.489899999999999</v>
      </c>
      <c r="J173" s="2">
        <v>100</v>
      </c>
      <c r="K173" s="2"/>
      <c r="L173" s="2"/>
      <c r="M173" s="2"/>
    </row>
    <row r="174" spans="1:19" ht="17.25" hidden="1" customHeight="1" thickBot="1" x14ac:dyDescent="0.35">
      <c r="A174" s="6">
        <v>4</v>
      </c>
      <c r="B174" s="12">
        <v>1</v>
      </c>
      <c r="C174" s="2">
        <v>15709</v>
      </c>
      <c r="D174" s="2">
        <v>6565141</v>
      </c>
      <c r="E174" s="2">
        <v>74496</v>
      </c>
      <c r="F174" s="2">
        <v>21.701599999999999</v>
      </c>
      <c r="G174" s="2">
        <v>0.19589999999999999</v>
      </c>
      <c r="H174" s="2">
        <v>21.317499999999999</v>
      </c>
      <c r="I174" s="2">
        <v>22.085599999999999</v>
      </c>
      <c r="J174" s="2">
        <v>81.182699999999997</v>
      </c>
      <c r="K174" s="2">
        <v>0.41389999999999999</v>
      </c>
      <c r="L174" s="2">
        <v>80.371099999999998</v>
      </c>
      <c r="M174" s="2">
        <v>81.994399999999999</v>
      </c>
    </row>
    <row r="175" spans="1:19" ht="17.25" hidden="1" customHeight="1" thickBot="1" x14ac:dyDescent="0.35">
      <c r="A175" s="6"/>
      <c r="B175" s="12">
        <v>2</v>
      </c>
      <c r="C175" s="2">
        <v>2319</v>
      </c>
      <c r="D175" s="2">
        <v>1521727</v>
      </c>
      <c r="E175" s="2">
        <v>38431</v>
      </c>
      <c r="F175" s="2">
        <v>5.0301999999999998</v>
      </c>
      <c r="G175" s="2">
        <v>0.12089999999999999</v>
      </c>
      <c r="H175" s="2">
        <v>4.7930999999999999</v>
      </c>
      <c r="I175" s="2">
        <v>5.2672999999999996</v>
      </c>
      <c r="J175" s="2">
        <v>18.817299999999999</v>
      </c>
      <c r="K175" s="2">
        <v>0.41389999999999999</v>
      </c>
      <c r="L175" s="2">
        <v>18.005600000000001</v>
      </c>
      <c r="M175" s="2">
        <v>19.628900000000002</v>
      </c>
    </row>
    <row r="176" spans="1:19" ht="17.25" hidden="1" customHeight="1" thickBot="1" x14ac:dyDescent="0.35">
      <c r="A176" s="6"/>
      <c r="B176" s="12" t="s">
        <v>93</v>
      </c>
      <c r="C176" s="2">
        <v>18028</v>
      </c>
      <c r="D176" s="2">
        <v>8086868</v>
      </c>
      <c r="E176" s="2">
        <v>85733</v>
      </c>
      <c r="F176" s="2">
        <v>26.7317</v>
      </c>
      <c r="G176" s="2">
        <v>0.2117</v>
      </c>
      <c r="H176" s="2">
        <v>26.316600000000001</v>
      </c>
      <c r="I176" s="2">
        <v>27.146899999999999</v>
      </c>
      <c r="J176" s="2">
        <v>100</v>
      </c>
      <c r="K176" s="2"/>
      <c r="L176" s="2"/>
      <c r="M176" s="2"/>
    </row>
    <row r="177" spans="1:19" ht="17.25" hidden="1" customHeight="1" thickBot="1" x14ac:dyDescent="0.35">
      <c r="A177" s="6" t="s">
        <v>93</v>
      </c>
      <c r="B177" s="12">
        <v>1</v>
      </c>
      <c r="C177" s="2">
        <v>56814</v>
      </c>
      <c r="D177" s="2">
        <v>22898766</v>
      </c>
      <c r="E177" s="2">
        <v>183193</v>
      </c>
      <c r="F177" s="2">
        <v>75.693600000000004</v>
      </c>
      <c r="G177" s="2">
        <v>0.28570000000000001</v>
      </c>
      <c r="H177" s="2">
        <v>75.133300000000006</v>
      </c>
      <c r="I177" s="2">
        <v>76.253799999999998</v>
      </c>
      <c r="J177" s="2"/>
      <c r="K177" s="2"/>
      <c r="L177" s="2"/>
      <c r="M177" s="2"/>
    </row>
    <row r="178" spans="1:19" ht="17.25" hidden="1" customHeight="1" thickBot="1" x14ac:dyDescent="0.35">
      <c r="A178" s="6"/>
      <c r="B178" s="12">
        <v>2</v>
      </c>
      <c r="C178" s="2">
        <v>11821</v>
      </c>
      <c r="D178" s="2">
        <v>7353170</v>
      </c>
      <c r="E178" s="2">
        <v>108690</v>
      </c>
      <c r="F178" s="2">
        <v>24.3064</v>
      </c>
      <c r="G178" s="2">
        <v>0.28570000000000001</v>
      </c>
      <c r="H178" s="2">
        <v>23.746200000000002</v>
      </c>
      <c r="I178" s="2">
        <v>24.866700000000002</v>
      </c>
      <c r="J178" s="2"/>
      <c r="K178" s="2"/>
      <c r="L178" s="2"/>
      <c r="M178" s="2"/>
    </row>
    <row r="179" spans="1:19" ht="16.5" hidden="1" customHeight="1" x14ac:dyDescent="0.3">
      <c r="A179" s="6"/>
      <c r="B179" s="15" t="s">
        <v>93</v>
      </c>
      <c r="C179" s="2">
        <v>68635</v>
      </c>
      <c r="D179" s="2">
        <v>30251936</v>
      </c>
      <c r="E179" s="2">
        <v>228758</v>
      </c>
      <c r="F179" s="2">
        <v>100</v>
      </c>
      <c r="G179" s="2"/>
      <c r="H179" s="2"/>
      <c r="I179" s="2"/>
      <c r="J179" s="2"/>
      <c r="K179" s="2"/>
      <c r="L179" s="2"/>
      <c r="M179" s="2"/>
    </row>
    <row r="180" spans="1:19" ht="16.5" hidden="1" customHeight="1" x14ac:dyDescent="0.3"/>
    <row r="181" spans="1:19" ht="16.5" hidden="1" customHeight="1" x14ac:dyDescent="0.3">
      <c r="A181" s="24" t="s">
        <v>120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</row>
    <row r="182" spans="1:19" ht="33" hidden="1" customHeight="1" x14ac:dyDescent="0.3">
      <c r="A182" s="25" t="s">
        <v>28</v>
      </c>
      <c r="B182" s="27" t="s">
        <v>11</v>
      </c>
      <c r="C182" s="27" t="s">
        <v>86</v>
      </c>
      <c r="D182" s="3" t="s">
        <v>87</v>
      </c>
      <c r="E182" s="3" t="s">
        <v>88</v>
      </c>
      <c r="F182" s="27" t="s">
        <v>90</v>
      </c>
      <c r="G182" s="3" t="s">
        <v>88</v>
      </c>
      <c r="H182" s="27" t="s">
        <v>91</v>
      </c>
      <c r="I182" s="27"/>
      <c r="J182" s="3" t="s">
        <v>109</v>
      </c>
      <c r="K182" s="3" t="s">
        <v>88</v>
      </c>
      <c r="L182" s="27" t="s">
        <v>91</v>
      </c>
      <c r="M182" s="27"/>
    </row>
    <row r="183" spans="1:19" ht="33" hidden="1" customHeight="1" x14ac:dyDescent="0.3">
      <c r="A183" s="25"/>
      <c r="B183" s="27"/>
      <c r="C183" s="27"/>
      <c r="D183" s="3" t="s">
        <v>86</v>
      </c>
      <c r="E183" s="3" t="s">
        <v>89</v>
      </c>
      <c r="F183" s="27"/>
      <c r="G183" s="3" t="s">
        <v>90</v>
      </c>
      <c r="H183" s="27" t="s">
        <v>92</v>
      </c>
      <c r="I183" s="27"/>
      <c r="J183" s="3" t="s">
        <v>90</v>
      </c>
      <c r="K183" s="3" t="s">
        <v>110</v>
      </c>
      <c r="L183" s="27" t="s">
        <v>111</v>
      </c>
      <c r="M183" s="27"/>
    </row>
    <row r="184" spans="1:19" ht="17.25" thickBot="1" x14ac:dyDescent="0.35">
      <c r="A184" s="6">
        <v>1</v>
      </c>
      <c r="B184" s="12">
        <v>1</v>
      </c>
      <c r="C184" s="2">
        <v>5526</v>
      </c>
      <c r="D184" s="2">
        <v>2609186</v>
      </c>
      <c r="E184" s="2">
        <v>48302</v>
      </c>
      <c r="F184" s="2">
        <v>8.6249000000000002</v>
      </c>
      <c r="G184" s="2">
        <v>0.14099999999999999</v>
      </c>
      <c r="H184" s="2">
        <v>8.3483000000000001</v>
      </c>
      <c r="I184" s="2">
        <v>8.9014000000000006</v>
      </c>
      <c r="J184" s="2">
        <v>37.021099999999997</v>
      </c>
      <c r="K184" s="2">
        <v>0.48280000000000001</v>
      </c>
      <c r="L184" s="2">
        <v>36.0745</v>
      </c>
      <c r="M184" s="2">
        <v>37.967700000000001</v>
      </c>
      <c r="O184" s="8" t="str">
        <f>TEXT(J184,"0.00")&amp;" ("&amp;TEXT(L184,"0.00")&amp;" to "&amp;TEXT(M184,"0.00")&amp;")"</f>
        <v>37.02 (36.07 to 37.97)</v>
      </c>
      <c r="P184" s="8" t="str">
        <f>TEXT(J188,"0.00")&amp;" ("&amp;TEXT(L188,"0.00")&amp;" to "&amp;TEXT(M188,"0.00")&amp;")"</f>
        <v>38.31 (37.42 to 39.20)</v>
      </c>
      <c r="Q184" s="8" t="str">
        <f>TEXT(J192,"0.00")&amp;" ("&amp;TEXT(L192,"0.00")&amp;" to "&amp;TEXT(M192,"0.00")&amp;")"</f>
        <v>34.83 (33.98 to 35.69)</v>
      </c>
      <c r="R184" s="8" t="str">
        <f>TEXT(J196,"0.00")&amp;" ("&amp;TEXT(L196,"0.00")&amp;" to "&amp;TEXT(M196,"0.00")&amp;")"</f>
        <v>28.27 (27.47 to 29.06)</v>
      </c>
      <c r="S184" t="s">
        <v>24</v>
      </c>
    </row>
    <row r="185" spans="1:19" ht="17.25" thickBot="1" x14ac:dyDescent="0.35">
      <c r="A185" s="6"/>
      <c r="B185" s="12">
        <v>2</v>
      </c>
      <c r="C185" s="2">
        <v>7556</v>
      </c>
      <c r="D185" s="2">
        <v>3446704</v>
      </c>
      <c r="E185" s="2">
        <v>55459</v>
      </c>
      <c r="F185" s="2">
        <v>11.3933</v>
      </c>
      <c r="G185" s="2">
        <v>0.15570000000000001</v>
      </c>
      <c r="H185" s="2">
        <v>11.087999999999999</v>
      </c>
      <c r="I185" s="2">
        <v>11.698700000000001</v>
      </c>
      <c r="J185" s="2">
        <v>48.904400000000003</v>
      </c>
      <c r="K185" s="2">
        <v>0.50829999999999997</v>
      </c>
      <c r="L185" s="2">
        <v>47.907800000000002</v>
      </c>
      <c r="M185" s="2">
        <v>49.901000000000003</v>
      </c>
      <c r="O185" s="8" t="str">
        <f t="shared" ref="O185:O186" si="16">TEXT(J185,"0.00")&amp;" ("&amp;TEXT(L185,"0.00")&amp;" to "&amp;TEXT(M185,"0.00")&amp;")"</f>
        <v>48.90 (47.91 to 49.90)</v>
      </c>
      <c r="P185" s="8" t="str">
        <f>TEXT(J189,"0.00")&amp;" ("&amp;TEXT(L189,"0.00")&amp;" to "&amp;TEXT(M189,"0.00")&amp;")"</f>
        <v>47.51 (46.59 to 48.42)</v>
      </c>
      <c r="Q185" s="8" t="str">
        <f t="shared" ref="Q185:Q186" si="17">TEXT(J193,"0.00")&amp;" ("&amp;TEXT(L193,"0.00")&amp;" to "&amp;TEXT(M193,"0.00")&amp;")"</f>
        <v>49.37 (48.47 to 50.27)</v>
      </c>
      <c r="R185" s="8" t="str">
        <f t="shared" ref="R185:R186" si="18">TEXT(J197,"0.00")&amp;" ("&amp;TEXT(L197,"0.00")&amp;" to "&amp;TEXT(M197,"0.00")&amp;")"</f>
        <v>50.92 (50.03 to 51.81)</v>
      </c>
      <c r="S185" t="s">
        <v>24</v>
      </c>
    </row>
    <row r="186" spans="1:19" ht="17.25" thickBot="1" x14ac:dyDescent="0.35">
      <c r="A186" s="6"/>
      <c r="B186" s="12">
        <v>3</v>
      </c>
      <c r="C186" s="2">
        <v>2375</v>
      </c>
      <c r="D186" s="2">
        <v>991950</v>
      </c>
      <c r="E186" s="2">
        <v>24741</v>
      </c>
      <c r="F186" s="2">
        <v>3.2789999999999999</v>
      </c>
      <c r="G186" s="2">
        <v>7.9600000000000004E-2</v>
      </c>
      <c r="H186" s="2">
        <v>3.1229</v>
      </c>
      <c r="I186" s="2">
        <v>3.4350999999999998</v>
      </c>
      <c r="J186" s="2">
        <v>14.0745</v>
      </c>
      <c r="K186" s="2">
        <v>0.3296</v>
      </c>
      <c r="L186" s="2">
        <v>13.4283</v>
      </c>
      <c r="M186" s="2">
        <v>14.720700000000001</v>
      </c>
      <c r="O186" s="8" t="str">
        <f t="shared" si="16"/>
        <v>14.07 (13.43 to 14.72)</v>
      </c>
      <c r="P186" s="8" t="str">
        <f t="shared" ref="P186" si="19">TEXT(J190,"0.00")&amp;" ("&amp;TEXT(L190,"0.00")&amp;" to "&amp;TEXT(M190,"0.00")&amp;")"</f>
        <v>14.18 (13.58 to 14.78)</v>
      </c>
      <c r="Q186" s="8" t="str">
        <f t="shared" si="17"/>
        <v>15.79 (15.18 to 16.41)</v>
      </c>
      <c r="R186" s="8" t="str">
        <f t="shared" si="18"/>
        <v>20.82 (20.11 to 21.52)</v>
      </c>
      <c r="S186" t="s">
        <v>24</v>
      </c>
    </row>
    <row r="187" spans="1:19" ht="17.25" thickBot="1" x14ac:dyDescent="0.35">
      <c r="A187" s="6"/>
      <c r="B187" s="12" t="s">
        <v>93</v>
      </c>
      <c r="C187" s="2">
        <v>15457</v>
      </c>
      <c r="D187" s="2">
        <v>7047841</v>
      </c>
      <c r="E187" s="2">
        <v>85770</v>
      </c>
      <c r="F187" s="2">
        <v>23.2972</v>
      </c>
      <c r="G187" s="2">
        <v>0.20880000000000001</v>
      </c>
      <c r="H187" s="2">
        <v>22.887599999999999</v>
      </c>
      <c r="I187" s="2">
        <v>23.706700000000001</v>
      </c>
      <c r="J187" s="2">
        <v>100</v>
      </c>
      <c r="K187" s="2"/>
      <c r="L187" s="2"/>
      <c r="M187" s="2"/>
      <c r="S187" t="s">
        <v>24</v>
      </c>
    </row>
    <row r="188" spans="1:19" ht="17.25" hidden="1" customHeight="1" thickBot="1" x14ac:dyDescent="0.35">
      <c r="A188" s="6">
        <v>2</v>
      </c>
      <c r="B188" s="12">
        <v>1</v>
      </c>
      <c r="C188" s="2">
        <v>6338</v>
      </c>
      <c r="D188" s="2">
        <v>2881851</v>
      </c>
      <c r="E188" s="2">
        <v>47714</v>
      </c>
      <c r="F188" s="2">
        <v>9.5261999999999993</v>
      </c>
      <c r="G188" s="2">
        <v>0.13619999999999999</v>
      </c>
      <c r="H188" s="2">
        <v>9.2591000000000001</v>
      </c>
      <c r="I188" s="2">
        <v>9.7932000000000006</v>
      </c>
      <c r="J188" s="2">
        <v>38.3142</v>
      </c>
      <c r="K188" s="2">
        <v>0.45390000000000003</v>
      </c>
      <c r="L188" s="2">
        <v>37.424100000000003</v>
      </c>
      <c r="M188" s="2">
        <v>39.204300000000003</v>
      </c>
    </row>
    <row r="189" spans="1:19" ht="17.25" hidden="1" customHeight="1" thickBot="1" x14ac:dyDescent="0.35">
      <c r="A189" s="6"/>
      <c r="B189" s="12">
        <v>2</v>
      </c>
      <c r="C189" s="2">
        <v>8180</v>
      </c>
      <c r="D189" s="2">
        <v>3573322</v>
      </c>
      <c r="E189" s="2">
        <v>52067</v>
      </c>
      <c r="F189" s="2">
        <v>11.8119</v>
      </c>
      <c r="G189" s="2">
        <v>0.14630000000000001</v>
      </c>
      <c r="H189" s="2">
        <v>11.5251</v>
      </c>
      <c r="I189" s="2">
        <v>12.098699999999999</v>
      </c>
      <c r="J189" s="2">
        <v>47.507300000000001</v>
      </c>
      <c r="K189" s="2">
        <v>0.4667</v>
      </c>
      <c r="L189" s="2">
        <v>46.592199999999998</v>
      </c>
      <c r="M189" s="2">
        <v>48.4223</v>
      </c>
    </row>
    <row r="190" spans="1:19" ht="17.25" hidden="1" customHeight="1" thickBot="1" x14ac:dyDescent="0.35">
      <c r="A190" s="6"/>
      <c r="B190" s="12">
        <v>3</v>
      </c>
      <c r="C190" s="2">
        <v>2804</v>
      </c>
      <c r="D190" s="2">
        <v>1066461</v>
      </c>
      <c r="E190" s="2">
        <v>25331</v>
      </c>
      <c r="F190" s="2">
        <v>3.5253000000000001</v>
      </c>
      <c r="G190" s="2">
        <v>8.0799999999999997E-2</v>
      </c>
      <c r="H190" s="2">
        <v>3.3668999999999998</v>
      </c>
      <c r="I190" s="2">
        <v>3.6836000000000002</v>
      </c>
      <c r="J190" s="2">
        <v>14.178599999999999</v>
      </c>
      <c r="K190" s="2">
        <v>0.30759999999999998</v>
      </c>
      <c r="L190" s="2">
        <v>13.5754</v>
      </c>
      <c r="M190" s="2">
        <v>14.7818</v>
      </c>
    </row>
    <row r="191" spans="1:19" ht="17.25" hidden="1" customHeight="1" thickBot="1" x14ac:dyDescent="0.35">
      <c r="A191" s="6"/>
      <c r="B191" s="12" t="s">
        <v>93</v>
      </c>
      <c r="C191" s="2">
        <v>17322</v>
      </c>
      <c r="D191" s="2">
        <v>7521633</v>
      </c>
      <c r="E191" s="2">
        <v>82230</v>
      </c>
      <c r="F191" s="2">
        <v>24.863299999999999</v>
      </c>
      <c r="G191" s="2">
        <v>0.1913</v>
      </c>
      <c r="H191" s="2">
        <v>24.488199999999999</v>
      </c>
      <c r="I191" s="2">
        <v>25.238399999999999</v>
      </c>
      <c r="J191" s="2">
        <v>100</v>
      </c>
      <c r="K191" s="2"/>
      <c r="L191" s="2"/>
      <c r="M191" s="2"/>
    </row>
    <row r="192" spans="1:19" ht="17.25" hidden="1" customHeight="1" thickBot="1" x14ac:dyDescent="0.35">
      <c r="A192" s="6">
        <v>3</v>
      </c>
      <c r="B192" s="12">
        <v>1</v>
      </c>
      <c r="C192" s="2">
        <v>5954</v>
      </c>
      <c r="D192" s="2">
        <v>2645917</v>
      </c>
      <c r="E192" s="2">
        <v>44349</v>
      </c>
      <c r="F192" s="2">
        <v>8.7462999999999997</v>
      </c>
      <c r="G192" s="2">
        <v>0.12770000000000001</v>
      </c>
      <c r="H192" s="2">
        <v>8.4957999999999991</v>
      </c>
      <c r="I192" s="2">
        <v>8.9967000000000006</v>
      </c>
      <c r="J192" s="2">
        <v>34.834899999999998</v>
      </c>
      <c r="K192" s="2">
        <v>0.4365</v>
      </c>
      <c r="L192" s="2">
        <v>33.978999999999999</v>
      </c>
      <c r="M192" s="2">
        <v>35.690800000000003</v>
      </c>
    </row>
    <row r="193" spans="1:19" ht="17.25" hidden="1" customHeight="1" thickBot="1" x14ac:dyDescent="0.35">
      <c r="A193" s="6"/>
      <c r="B193" s="12">
        <v>2</v>
      </c>
      <c r="C193" s="2">
        <v>8627</v>
      </c>
      <c r="D193" s="2">
        <v>3750039</v>
      </c>
      <c r="E193" s="2">
        <v>53641</v>
      </c>
      <c r="F193" s="2">
        <v>12.396000000000001</v>
      </c>
      <c r="G193" s="2">
        <v>0.15190000000000001</v>
      </c>
      <c r="H193" s="2">
        <v>12.0982</v>
      </c>
      <c r="I193" s="2">
        <v>12.6938</v>
      </c>
      <c r="J193" s="2">
        <v>49.371200000000002</v>
      </c>
      <c r="K193" s="2">
        <v>0.4607</v>
      </c>
      <c r="L193" s="2">
        <v>48.467799999999997</v>
      </c>
      <c r="M193" s="2">
        <v>50.274700000000003</v>
      </c>
    </row>
    <row r="194" spans="1:19" ht="17.25" hidden="1" customHeight="1" thickBot="1" x14ac:dyDescent="0.35">
      <c r="A194" s="6"/>
      <c r="B194" s="12">
        <v>3</v>
      </c>
      <c r="C194" s="2">
        <v>3247</v>
      </c>
      <c r="D194" s="2">
        <v>1199638</v>
      </c>
      <c r="E194" s="2">
        <v>25996</v>
      </c>
      <c r="F194" s="2">
        <v>3.9655</v>
      </c>
      <c r="G194" s="2">
        <v>8.4900000000000003E-2</v>
      </c>
      <c r="H194" s="2">
        <v>3.7989999999999999</v>
      </c>
      <c r="I194" s="2">
        <v>4.1318999999999999</v>
      </c>
      <c r="J194" s="2">
        <v>15.793900000000001</v>
      </c>
      <c r="K194" s="2">
        <v>0.315</v>
      </c>
      <c r="L194" s="2">
        <v>15.1762</v>
      </c>
      <c r="M194" s="2">
        <v>16.4115</v>
      </c>
    </row>
    <row r="195" spans="1:19" ht="17.25" hidden="1" customHeight="1" thickBot="1" x14ac:dyDescent="0.35">
      <c r="A195" s="6"/>
      <c r="B195" s="12" t="s">
        <v>93</v>
      </c>
      <c r="C195" s="2">
        <v>17828</v>
      </c>
      <c r="D195" s="2">
        <v>7595594</v>
      </c>
      <c r="E195" s="2">
        <v>80574</v>
      </c>
      <c r="F195" s="2">
        <v>25.107800000000001</v>
      </c>
      <c r="G195" s="2">
        <v>0.19489999999999999</v>
      </c>
      <c r="H195" s="2">
        <v>24.7257</v>
      </c>
      <c r="I195" s="2">
        <v>25.489899999999999</v>
      </c>
      <c r="J195" s="2">
        <v>100</v>
      </c>
      <c r="K195" s="2"/>
      <c r="L195" s="2"/>
      <c r="M195" s="2"/>
    </row>
    <row r="196" spans="1:19" ht="17.25" hidden="1" customHeight="1" thickBot="1" x14ac:dyDescent="0.35">
      <c r="A196" s="6">
        <v>4</v>
      </c>
      <c r="B196" s="12">
        <v>1</v>
      </c>
      <c r="C196" s="2">
        <v>5058</v>
      </c>
      <c r="D196" s="2">
        <v>2286069</v>
      </c>
      <c r="E196" s="2">
        <v>41204</v>
      </c>
      <c r="F196" s="2">
        <v>7.5568</v>
      </c>
      <c r="G196" s="2">
        <v>0.12520000000000001</v>
      </c>
      <c r="H196" s="2">
        <v>7.3112000000000004</v>
      </c>
      <c r="I196" s="2">
        <v>7.8022999999999998</v>
      </c>
      <c r="J196" s="2">
        <v>28.268899999999999</v>
      </c>
      <c r="K196" s="2">
        <v>0.40579999999999999</v>
      </c>
      <c r="L196" s="2">
        <v>27.473099999999999</v>
      </c>
      <c r="M196" s="2">
        <v>29.064699999999998</v>
      </c>
    </row>
    <row r="197" spans="1:19" ht="17.25" hidden="1" customHeight="1" thickBot="1" x14ac:dyDescent="0.35">
      <c r="A197" s="6"/>
      <c r="B197" s="12">
        <v>2</v>
      </c>
      <c r="C197" s="2">
        <v>8847</v>
      </c>
      <c r="D197" s="2">
        <v>4117511</v>
      </c>
      <c r="E197" s="2">
        <v>57482</v>
      </c>
      <c r="F197" s="2">
        <v>13.6107</v>
      </c>
      <c r="G197" s="2">
        <v>0.16120000000000001</v>
      </c>
      <c r="H197" s="2">
        <v>13.294700000000001</v>
      </c>
      <c r="I197" s="2">
        <v>13.9268</v>
      </c>
      <c r="J197" s="2">
        <v>50.915999999999997</v>
      </c>
      <c r="K197" s="2">
        <v>0.45369999999999999</v>
      </c>
      <c r="L197" s="2">
        <v>50.026299999999999</v>
      </c>
      <c r="M197" s="2">
        <v>51.805700000000002</v>
      </c>
    </row>
    <row r="198" spans="1:19" ht="17.25" hidden="1" customHeight="1" thickBot="1" x14ac:dyDescent="0.35">
      <c r="A198" s="6"/>
      <c r="B198" s="12">
        <v>3</v>
      </c>
      <c r="C198" s="2">
        <v>4123</v>
      </c>
      <c r="D198" s="2">
        <v>1683288</v>
      </c>
      <c r="E198" s="2">
        <v>33369</v>
      </c>
      <c r="F198" s="2">
        <v>5.5641999999999996</v>
      </c>
      <c r="G198" s="2">
        <v>0.105</v>
      </c>
      <c r="H198" s="2">
        <v>5.3582999999999998</v>
      </c>
      <c r="I198" s="2">
        <v>5.7702</v>
      </c>
      <c r="J198" s="2">
        <v>20.815100000000001</v>
      </c>
      <c r="K198" s="2">
        <v>0.35859999999999997</v>
      </c>
      <c r="L198" s="2">
        <v>20.111999999999998</v>
      </c>
      <c r="M198" s="2">
        <v>21.5182</v>
      </c>
    </row>
    <row r="199" spans="1:19" ht="17.25" hidden="1" customHeight="1" thickBot="1" x14ac:dyDescent="0.35">
      <c r="A199" s="6"/>
      <c r="B199" s="12" t="s">
        <v>93</v>
      </c>
      <c r="C199" s="2">
        <v>18028</v>
      </c>
      <c r="D199" s="2">
        <v>8086868</v>
      </c>
      <c r="E199" s="2">
        <v>85733</v>
      </c>
      <c r="F199" s="2">
        <v>26.7317</v>
      </c>
      <c r="G199" s="2">
        <v>0.2117</v>
      </c>
      <c r="H199" s="2">
        <v>26.316600000000001</v>
      </c>
      <c r="I199" s="2">
        <v>27.146899999999999</v>
      </c>
      <c r="J199" s="2">
        <v>100</v>
      </c>
      <c r="K199" s="2"/>
      <c r="L199" s="2"/>
      <c r="M199" s="2"/>
    </row>
    <row r="200" spans="1:19" ht="17.25" hidden="1" customHeight="1" thickBot="1" x14ac:dyDescent="0.35">
      <c r="A200" s="6" t="s">
        <v>93</v>
      </c>
      <c r="B200" s="12">
        <v>1</v>
      </c>
      <c r="C200" s="2">
        <v>22876</v>
      </c>
      <c r="D200" s="2">
        <v>10423023</v>
      </c>
      <c r="E200" s="2">
        <v>111794</v>
      </c>
      <c r="F200" s="2">
        <v>34.454099999999997</v>
      </c>
      <c r="G200" s="2">
        <v>0.2404</v>
      </c>
      <c r="H200" s="2">
        <v>33.982599999999998</v>
      </c>
      <c r="I200" s="2">
        <v>34.9255</v>
      </c>
      <c r="J200" s="2"/>
      <c r="K200" s="2"/>
      <c r="L200" s="2"/>
      <c r="M200" s="2"/>
    </row>
    <row r="201" spans="1:19" ht="17.25" hidden="1" customHeight="1" thickBot="1" x14ac:dyDescent="0.35">
      <c r="A201" s="6"/>
      <c r="B201" s="12">
        <v>2</v>
      </c>
      <c r="C201" s="2">
        <v>33210</v>
      </c>
      <c r="D201" s="2">
        <v>14887576</v>
      </c>
      <c r="E201" s="2">
        <v>139026</v>
      </c>
      <c r="F201" s="2">
        <v>49.212000000000003</v>
      </c>
      <c r="G201" s="2">
        <v>0.25819999999999999</v>
      </c>
      <c r="H201" s="2">
        <v>48.7057</v>
      </c>
      <c r="I201" s="2">
        <v>49.718200000000003</v>
      </c>
      <c r="J201" s="2"/>
      <c r="K201" s="2"/>
      <c r="L201" s="2"/>
      <c r="M201" s="2"/>
    </row>
    <row r="202" spans="1:19" ht="17.25" hidden="1" customHeight="1" thickBot="1" x14ac:dyDescent="0.35">
      <c r="A202" s="6"/>
      <c r="B202" s="12">
        <v>3</v>
      </c>
      <c r="C202" s="2">
        <v>12549</v>
      </c>
      <c r="D202" s="2">
        <v>4941337</v>
      </c>
      <c r="E202" s="2">
        <v>60754</v>
      </c>
      <c r="F202" s="2">
        <v>16.334</v>
      </c>
      <c r="G202" s="2">
        <v>0.17949999999999999</v>
      </c>
      <c r="H202" s="2">
        <v>15.9819</v>
      </c>
      <c r="I202" s="2">
        <v>16.686</v>
      </c>
      <c r="J202" s="2"/>
      <c r="K202" s="2"/>
      <c r="L202" s="2"/>
      <c r="M202" s="2"/>
    </row>
    <row r="203" spans="1:19" ht="16.5" hidden="1" customHeight="1" x14ac:dyDescent="0.3">
      <c r="A203" s="6"/>
      <c r="B203" s="15" t="s">
        <v>93</v>
      </c>
      <c r="C203" s="2">
        <v>68635</v>
      </c>
      <c r="D203" s="2">
        <v>30251936</v>
      </c>
      <c r="E203" s="2">
        <v>228758</v>
      </c>
      <c r="F203" s="2">
        <v>100</v>
      </c>
      <c r="G203" s="2"/>
      <c r="H203" s="2"/>
      <c r="I203" s="2"/>
      <c r="J203" s="2"/>
      <c r="K203" s="2"/>
      <c r="L203" s="2"/>
      <c r="M203" s="2"/>
    </row>
    <row r="204" spans="1:19" ht="16.5" hidden="1" customHeight="1" x14ac:dyDescent="0.3"/>
    <row r="205" spans="1:19" ht="16.5" hidden="1" customHeight="1" x14ac:dyDescent="0.3">
      <c r="A205" s="24" t="s">
        <v>121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</row>
    <row r="206" spans="1:19" ht="33" hidden="1" customHeight="1" x14ac:dyDescent="0.3">
      <c r="A206" s="25" t="s">
        <v>28</v>
      </c>
      <c r="B206" s="27" t="s">
        <v>12</v>
      </c>
      <c r="C206" s="27" t="s">
        <v>86</v>
      </c>
      <c r="D206" s="3" t="s">
        <v>87</v>
      </c>
      <c r="E206" s="3" t="s">
        <v>88</v>
      </c>
      <c r="F206" s="27" t="s">
        <v>90</v>
      </c>
      <c r="G206" s="3" t="s">
        <v>88</v>
      </c>
      <c r="H206" s="27" t="s">
        <v>91</v>
      </c>
      <c r="I206" s="27"/>
      <c r="J206" s="3" t="s">
        <v>109</v>
      </c>
      <c r="K206" s="3" t="s">
        <v>88</v>
      </c>
      <c r="L206" s="27" t="s">
        <v>91</v>
      </c>
      <c r="M206" s="27"/>
    </row>
    <row r="207" spans="1:19" ht="33" hidden="1" customHeight="1" x14ac:dyDescent="0.3">
      <c r="A207" s="25"/>
      <c r="B207" s="27"/>
      <c r="C207" s="27"/>
      <c r="D207" s="3" t="s">
        <v>86</v>
      </c>
      <c r="E207" s="3" t="s">
        <v>89</v>
      </c>
      <c r="F207" s="27"/>
      <c r="G207" s="3" t="s">
        <v>90</v>
      </c>
      <c r="H207" s="27" t="s">
        <v>92</v>
      </c>
      <c r="I207" s="27"/>
      <c r="J207" s="3" t="s">
        <v>90</v>
      </c>
      <c r="K207" s="3" t="s">
        <v>110</v>
      </c>
      <c r="L207" s="27" t="s">
        <v>111</v>
      </c>
      <c r="M207" s="27"/>
    </row>
    <row r="208" spans="1:19" ht="17.25" thickBot="1" x14ac:dyDescent="0.35">
      <c r="A208" s="6">
        <v>1</v>
      </c>
      <c r="B208" s="12">
        <v>1</v>
      </c>
      <c r="C208" s="2">
        <v>4412</v>
      </c>
      <c r="D208" s="2">
        <v>2051087</v>
      </c>
      <c r="E208" s="2">
        <v>39352</v>
      </c>
      <c r="F208" s="2">
        <v>6.78</v>
      </c>
      <c r="G208" s="2">
        <v>0.11799999999999999</v>
      </c>
      <c r="H208" s="2">
        <v>6.5487000000000002</v>
      </c>
      <c r="I208" s="2">
        <v>7.0113000000000003</v>
      </c>
      <c r="J208" s="2">
        <v>29.102399999999999</v>
      </c>
      <c r="K208" s="2">
        <v>0.43840000000000001</v>
      </c>
      <c r="L208" s="2">
        <v>28.242699999999999</v>
      </c>
      <c r="M208" s="2">
        <v>29.962</v>
      </c>
      <c r="O208" s="8" t="str">
        <f>TEXT(J208,"0.00")&amp;" ("&amp;TEXT(L208,"0.00")&amp;" to "&amp;TEXT(M208,"0.00")&amp;")"</f>
        <v>29.10 (28.24 to 29.96)</v>
      </c>
      <c r="P208" s="8" t="str">
        <f>TEXT(J212,"0.00")&amp;" ("&amp;TEXT(L212,"0.00")&amp;" to "&amp;TEXT(M212,"0.00")&amp;")"</f>
        <v>26.62 (25.81 to 27.44)</v>
      </c>
      <c r="Q208" s="8" t="str">
        <f>TEXT(J216,"0.00")&amp;" ("&amp;TEXT(L216,"0.00")&amp;" to "&amp;TEXT(M216,"0.00")&amp;")"</f>
        <v>25.82 (25.03 to 26.60)</v>
      </c>
      <c r="R208" s="8" t="str">
        <f>TEXT(J220,"0.00")&amp;" ("&amp;TEXT(L220,"0.00")&amp;" to "&amp;TEXT(M220,"0.00")&amp;")"</f>
        <v>29.66 (28.85 to 30.47)</v>
      </c>
      <c r="S208" t="s">
        <v>24</v>
      </c>
    </row>
    <row r="209" spans="1:19" ht="17.25" thickBot="1" x14ac:dyDescent="0.35">
      <c r="A209" s="6"/>
      <c r="B209" s="12">
        <v>2</v>
      </c>
      <c r="C209" s="2">
        <v>9059</v>
      </c>
      <c r="D209" s="2">
        <v>4187221</v>
      </c>
      <c r="E209" s="2">
        <v>62796</v>
      </c>
      <c r="F209" s="2">
        <v>13.841200000000001</v>
      </c>
      <c r="G209" s="2">
        <v>0.17050000000000001</v>
      </c>
      <c r="H209" s="2">
        <v>13.5069</v>
      </c>
      <c r="I209" s="2">
        <v>14.1754</v>
      </c>
      <c r="J209" s="2">
        <v>59.4114</v>
      </c>
      <c r="K209" s="2">
        <v>0.47099999999999997</v>
      </c>
      <c r="L209" s="2">
        <v>58.487900000000003</v>
      </c>
      <c r="M209" s="2">
        <v>60.334899999999998</v>
      </c>
      <c r="O209" s="8" t="str">
        <f t="shared" ref="O209:O210" si="20">TEXT(J209,"0.00")&amp;" ("&amp;TEXT(L209,"0.00")&amp;" to "&amp;TEXT(M209,"0.00")&amp;")"</f>
        <v>59.41 (58.49 to 60.33)</v>
      </c>
      <c r="P209" s="8" t="str">
        <f>TEXT(J213,"0.00")&amp;" ("&amp;TEXT(L213,"0.00")&amp;" to "&amp;TEXT(M213,"0.00")&amp;")"</f>
        <v>59.30 (58.42 to 60.19)</v>
      </c>
      <c r="Q209" s="8" t="str">
        <f t="shared" ref="Q209:Q210" si="21">TEXT(J217,"0.00")&amp;" ("&amp;TEXT(L217,"0.00")&amp;" to "&amp;TEXT(M217,"0.00")&amp;")"</f>
        <v>58.70 (57.82 to 59.58)</v>
      </c>
      <c r="R209" s="8" t="str">
        <f t="shared" ref="R209:R210" si="22">TEXT(J221,"0.00")&amp;" ("&amp;TEXT(L221,"0.00")&amp;" to "&amp;TEXT(M221,"0.00")&amp;")"</f>
        <v>55.84 (54.99 to 56.68)</v>
      </c>
      <c r="S209" t="s">
        <v>24</v>
      </c>
    </row>
    <row r="210" spans="1:19" ht="17.25" thickBot="1" x14ac:dyDescent="0.35">
      <c r="A210" s="6"/>
      <c r="B210" s="12">
        <v>3</v>
      </c>
      <c r="C210" s="2">
        <v>1986</v>
      </c>
      <c r="D210" s="2">
        <v>809532</v>
      </c>
      <c r="E210" s="2">
        <v>22439</v>
      </c>
      <c r="F210" s="2">
        <v>2.6760000000000002</v>
      </c>
      <c r="G210" s="2">
        <v>7.1999999999999995E-2</v>
      </c>
      <c r="H210" s="2">
        <v>2.5348999999999999</v>
      </c>
      <c r="I210" s="2">
        <v>2.8170999999999999</v>
      </c>
      <c r="J210" s="2">
        <v>11.4862</v>
      </c>
      <c r="K210" s="2">
        <v>0.2984</v>
      </c>
      <c r="L210" s="2">
        <v>10.9011</v>
      </c>
      <c r="M210" s="2">
        <v>12.071300000000001</v>
      </c>
      <c r="O210" s="8" t="str">
        <f t="shared" si="20"/>
        <v>11.49 (10.90 to 12.07)</v>
      </c>
      <c r="P210" s="8" t="str">
        <f t="shared" ref="P210" si="23">TEXT(J214,"0.00")&amp;" ("&amp;TEXT(L214,"0.00")&amp;" to "&amp;TEXT(M214,"0.00")&amp;")"</f>
        <v>14.08 (13.46 to 14.69)</v>
      </c>
      <c r="Q210" s="8" t="str">
        <f t="shared" si="21"/>
        <v>15.49 (14.85 to 16.12)</v>
      </c>
      <c r="R210" s="8" t="str">
        <f t="shared" si="22"/>
        <v>14.50 (13.90 to 15.10)</v>
      </c>
      <c r="S210" t="s">
        <v>24</v>
      </c>
    </row>
    <row r="211" spans="1:19" ht="17.25" thickBot="1" x14ac:dyDescent="0.35">
      <c r="A211" s="6"/>
      <c r="B211" s="12" t="s">
        <v>93</v>
      </c>
      <c r="C211" s="2">
        <v>15457</v>
      </c>
      <c r="D211" s="2">
        <v>7047841</v>
      </c>
      <c r="E211" s="2">
        <v>85770</v>
      </c>
      <c r="F211" s="2">
        <v>23.2972</v>
      </c>
      <c r="G211" s="2">
        <v>0.20880000000000001</v>
      </c>
      <c r="H211" s="2">
        <v>22.887599999999999</v>
      </c>
      <c r="I211" s="2">
        <v>23.706700000000001</v>
      </c>
      <c r="J211" s="2">
        <v>100</v>
      </c>
      <c r="K211" s="2"/>
      <c r="L211" s="2"/>
      <c r="M211" s="2"/>
      <c r="S211" t="s">
        <v>24</v>
      </c>
    </row>
    <row r="212" spans="1:19" ht="17.25" hidden="1" customHeight="1" thickBot="1" x14ac:dyDescent="0.35">
      <c r="A212" s="6">
        <v>2</v>
      </c>
      <c r="B212" s="12">
        <v>1</v>
      </c>
      <c r="C212" s="2">
        <v>4459</v>
      </c>
      <c r="D212" s="2">
        <v>2002548</v>
      </c>
      <c r="E212" s="2">
        <v>38226</v>
      </c>
      <c r="F212" s="2">
        <v>6.6196000000000002</v>
      </c>
      <c r="G212" s="2">
        <v>0.11550000000000001</v>
      </c>
      <c r="H212" s="2">
        <v>6.3929999999999998</v>
      </c>
      <c r="I212" s="2">
        <v>6.8460999999999999</v>
      </c>
      <c r="J212" s="2">
        <v>26.623799999999999</v>
      </c>
      <c r="K212" s="2">
        <v>0.4153</v>
      </c>
      <c r="L212" s="2">
        <v>25.8096</v>
      </c>
      <c r="M212" s="2">
        <v>27.438099999999999</v>
      </c>
    </row>
    <row r="213" spans="1:19" ht="17.25" hidden="1" customHeight="1" thickBot="1" x14ac:dyDescent="0.35">
      <c r="A213" s="6"/>
      <c r="B213" s="12">
        <v>2</v>
      </c>
      <c r="C213" s="2">
        <v>10158</v>
      </c>
      <c r="D213" s="2">
        <v>4460374</v>
      </c>
      <c r="E213" s="2">
        <v>59996</v>
      </c>
      <c r="F213" s="2">
        <v>14.7441</v>
      </c>
      <c r="G213" s="2">
        <v>0.1613</v>
      </c>
      <c r="H213" s="2">
        <v>14.4278</v>
      </c>
      <c r="I213" s="2">
        <v>15.0604</v>
      </c>
      <c r="J213" s="2">
        <v>59.300600000000003</v>
      </c>
      <c r="K213" s="2">
        <v>0.45129999999999998</v>
      </c>
      <c r="L213" s="2">
        <v>58.415599999999998</v>
      </c>
      <c r="M213" s="2">
        <v>60.185600000000001</v>
      </c>
    </row>
    <row r="214" spans="1:19" ht="17.25" hidden="1" customHeight="1" thickBot="1" x14ac:dyDescent="0.35">
      <c r="A214" s="6"/>
      <c r="B214" s="12">
        <v>3</v>
      </c>
      <c r="C214" s="2">
        <v>2705</v>
      </c>
      <c r="D214" s="2">
        <v>1058711</v>
      </c>
      <c r="E214" s="2">
        <v>25756</v>
      </c>
      <c r="F214" s="2">
        <v>3.4996</v>
      </c>
      <c r="G214" s="2">
        <v>8.09E-2</v>
      </c>
      <c r="H214" s="2">
        <v>3.3410000000000002</v>
      </c>
      <c r="I214" s="2">
        <v>3.6583000000000001</v>
      </c>
      <c r="J214" s="2">
        <v>14.0755</v>
      </c>
      <c r="K214" s="2">
        <v>0.31159999999999999</v>
      </c>
      <c r="L214" s="2">
        <v>13.464600000000001</v>
      </c>
      <c r="M214" s="2">
        <v>14.686500000000001</v>
      </c>
    </row>
    <row r="215" spans="1:19" ht="17.25" hidden="1" customHeight="1" thickBot="1" x14ac:dyDescent="0.35">
      <c r="A215" s="6"/>
      <c r="B215" s="12" t="s">
        <v>93</v>
      </c>
      <c r="C215" s="2">
        <v>17322</v>
      </c>
      <c r="D215" s="2">
        <v>7521633</v>
      </c>
      <c r="E215" s="2">
        <v>82230</v>
      </c>
      <c r="F215" s="2">
        <v>24.863299999999999</v>
      </c>
      <c r="G215" s="2">
        <v>0.1913</v>
      </c>
      <c r="H215" s="2">
        <v>24.488199999999999</v>
      </c>
      <c r="I215" s="2">
        <v>25.238399999999999</v>
      </c>
      <c r="J215" s="2">
        <v>100</v>
      </c>
      <c r="K215" s="2"/>
      <c r="L215" s="2"/>
      <c r="M215" s="2"/>
    </row>
    <row r="216" spans="1:19" ht="17.25" hidden="1" customHeight="1" thickBot="1" x14ac:dyDescent="0.35">
      <c r="A216" s="6">
        <v>3</v>
      </c>
      <c r="B216" s="12">
        <v>1</v>
      </c>
      <c r="C216" s="2">
        <v>4344</v>
      </c>
      <c r="D216" s="2">
        <v>1960831</v>
      </c>
      <c r="E216" s="2">
        <v>36840</v>
      </c>
      <c r="F216" s="2">
        <v>6.4817</v>
      </c>
      <c r="G216" s="2">
        <v>0.1129</v>
      </c>
      <c r="H216" s="2">
        <v>6.2602000000000002</v>
      </c>
      <c r="I216" s="2">
        <v>6.7031000000000001</v>
      </c>
      <c r="J216" s="2">
        <v>25.8154</v>
      </c>
      <c r="K216" s="2">
        <v>0.39929999999999999</v>
      </c>
      <c r="L216" s="2">
        <v>25.032499999999999</v>
      </c>
      <c r="M216" s="2">
        <v>26.598299999999998</v>
      </c>
    </row>
    <row r="217" spans="1:19" ht="17.25" hidden="1" customHeight="1" thickBot="1" x14ac:dyDescent="0.35">
      <c r="A217" s="6"/>
      <c r="B217" s="12">
        <v>2</v>
      </c>
      <c r="C217" s="2">
        <v>10322</v>
      </c>
      <c r="D217" s="2">
        <v>4458509</v>
      </c>
      <c r="E217" s="2">
        <v>58917</v>
      </c>
      <c r="F217" s="2">
        <v>14.7379</v>
      </c>
      <c r="G217" s="2">
        <v>0.1588</v>
      </c>
      <c r="H217" s="2">
        <v>14.426500000000001</v>
      </c>
      <c r="I217" s="2">
        <v>15.049300000000001</v>
      </c>
      <c r="J217" s="2">
        <v>58.698599999999999</v>
      </c>
      <c r="K217" s="2">
        <v>0.44969999999999999</v>
      </c>
      <c r="L217" s="2">
        <v>57.816899999999997</v>
      </c>
      <c r="M217" s="2">
        <v>59.580300000000001</v>
      </c>
    </row>
    <row r="218" spans="1:19" ht="17.25" hidden="1" customHeight="1" thickBot="1" x14ac:dyDescent="0.35">
      <c r="A218" s="6"/>
      <c r="B218" s="12">
        <v>3</v>
      </c>
      <c r="C218" s="2">
        <v>3162</v>
      </c>
      <c r="D218" s="2">
        <v>1176254</v>
      </c>
      <c r="E218" s="2">
        <v>27119</v>
      </c>
      <c r="F218" s="2">
        <v>3.8881999999999999</v>
      </c>
      <c r="G218" s="2">
        <v>8.6800000000000002E-2</v>
      </c>
      <c r="H218" s="2">
        <v>3.718</v>
      </c>
      <c r="I218" s="2">
        <v>4.0583</v>
      </c>
      <c r="J218" s="2">
        <v>15.486000000000001</v>
      </c>
      <c r="K218" s="2">
        <v>0.3226</v>
      </c>
      <c r="L218" s="2">
        <v>14.853400000000001</v>
      </c>
      <c r="M218" s="2">
        <v>16.118600000000001</v>
      </c>
    </row>
    <row r="219" spans="1:19" ht="17.25" hidden="1" customHeight="1" thickBot="1" x14ac:dyDescent="0.35">
      <c r="A219" s="6"/>
      <c r="B219" s="12" t="s">
        <v>93</v>
      </c>
      <c r="C219" s="2">
        <v>17828</v>
      </c>
      <c r="D219" s="2">
        <v>7595594</v>
      </c>
      <c r="E219" s="2">
        <v>80574</v>
      </c>
      <c r="F219" s="2">
        <v>25.107800000000001</v>
      </c>
      <c r="G219" s="2">
        <v>0.19489999999999999</v>
      </c>
      <c r="H219" s="2">
        <v>24.7257</v>
      </c>
      <c r="I219" s="2">
        <v>25.489899999999999</v>
      </c>
      <c r="J219" s="2">
        <v>100</v>
      </c>
      <c r="K219" s="2"/>
      <c r="L219" s="2"/>
      <c r="M219" s="2"/>
    </row>
    <row r="220" spans="1:19" ht="17.25" hidden="1" customHeight="1" thickBot="1" x14ac:dyDescent="0.35">
      <c r="A220" s="6">
        <v>4</v>
      </c>
      <c r="B220" s="12">
        <v>1</v>
      </c>
      <c r="C220" s="2">
        <v>5042</v>
      </c>
      <c r="D220" s="2">
        <v>2398579</v>
      </c>
      <c r="E220" s="2">
        <v>41801</v>
      </c>
      <c r="F220" s="2">
        <v>7.9287000000000001</v>
      </c>
      <c r="G220" s="2">
        <v>0.12559999999999999</v>
      </c>
      <c r="H220" s="2">
        <v>7.6822999999999997</v>
      </c>
      <c r="I220" s="2">
        <v>8.1750000000000007</v>
      </c>
      <c r="J220" s="2">
        <v>29.6602</v>
      </c>
      <c r="K220" s="2">
        <v>0.41189999999999999</v>
      </c>
      <c r="L220" s="2">
        <v>28.852399999999999</v>
      </c>
      <c r="M220" s="2">
        <v>30.4679</v>
      </c>
    </row>
    <row r="221" spans="1:19" ht="17.25" hidden="1" customHeight="1" thickBot="1" x14ac:dyDescent="0.35">
      <c r="A221" s="6"/>
      <c r="B221" s="12">
        <v>2</v>
      </c>
      <c r="C221" s="2">
        <v>10012</v>
      </c>
      <c r="D221" s="2">
        <v>4515364</v>
      </c>
      <c r="E221" s="2">
        <v>60099</v>
      </c>
      <c r="F221" s="2">
        <v>14.9259</v>
      </c>
      <c r="G221" s="2">
        <v>0.16689999999999999</v>
      </c>
      <c r="H221" s="2">
        <v>14.598599999999999</v>
      </c>
      <c r="I221" s="2">
        <v>15.2532</v>
      </c>
      <c r="J221" s="2">
        <v>55.835799999999999</v>
      </c>
      <c r="K221" s="2">
        <v>0.43020000000000003</v>
      </c>
      <c r="L221" s="2">
        <v>54.992100000000001</v>
      </c>
      <c r="M221" s="2">
        <v>56.679400000000001</v>
      </c>
    </row>
    <row r="222" spans="1:19" ht="17.25" hidden="1" customHeight="1" thickBot="1" x14ac:dyDescent="0.35">
      <c r="A222" s="6"/>
      <c r="B222" s="12">
        <v>3</v>
      </c>
      <c r="C222" s="2">
        <v>2974</v>
      </c>
      <c r="D222" s="2">
        <v>1172925</v>
      </c>
      <c r="E222" s="2">
        <v>27277</v>
      </c>
      <c r="F222" s="2">
        <v>3.8772000000000002</v>
      </c>
      <c r="G222" s="2">
        <v>8.7300000000000003E-2</v>
      </c>
      <c r="H222" s="2">
        <v>3.7061000000000002</v>
      </c>
      <c r="I222" s="2">
        <v>4.0483000000000002</v>
      </c>
      <c r="J222" s="2">
        <v>14.504099999999999</v>
      </c>
      <c r="K222" s="2">
        <v>0.30630000000000002</v>
      </c>
      <c r="L222" s="2">
        <v>13.903499999999999</v>
      </c>
      <c r="M222" s="2">
        <v>15.104699999999999</v>
      </c>
    </row>
    <row r="223" spans="1:19" ht="17.25" hidden="1" customHeight="1" thickBot="1" x14ac:dyDescent="0.35">
      <c r="A223" s="6"/>
      <c r="B223" s="12" t="s">
        <v>93</v>
      </c>
      <c r="C223" s="2">
        <v>18028</v>
      </c>
      <c r="D223" s="2">
        <v>8086868</v>
      </c>
      <c r="E223" s="2">
        <v>85733</v>
      </c>
      <c r="F223" s="2">
        <v>26.7317</v>
      </c>
      <c r="G223" s="2">
        <v>0.2117</v>
      </c>
      <c r="H223" s="2">
        <v>26.316600000000001</v>
      </c>
      <c r="I223" s="2">
        <v>27.146899999999999</v>
      </c>
      <c r="J223" s="2">
        <v>100</v>
      </c>
      <c r="K223" s="2"/>
      <c r="L223" s="2"/>
      <c r="M223" s="2"/>
    </row>
    <row r="224" spans="1:19" ht="17.25" hidden="1" customHeight="1" thickBot="1" x14ac:dyDescent="0.35">
      <c r="A224" s="6" t="s">
        <v>93</v>
      </c>
      <c r="B224" s="12">
        <v>1</v>
      </c>
      <c r="C224" s="2">
        <v>18257</v>
      </c>
      <c r="D224" s="2">
        <v>8413045</v>
      </c>
      <c r="E224" s="2">
        <v>91908</v>
      </c>
      <c r="F224" s="2">
        <v>27.809899999999999</v>
      </c>
      <c r="G224" s="2">
        <v>0.22020000000000001</v>
      </c>
      <c r="H224" s="2">
        <v>27.378299999999999</v>
      </c>
      <c r="I224" s="2">
        <v>28.241599999999998</v>
      </c>
      <c r="J224" s="2"/>
      <c r="K224" s="2"/>
      <c r="L224" s="2"/>
      <c r="M224" s="2"/>
    </row>
    <row r="225" spans="1:19" ht="17.25" hidden="1" customHeight="1" thickBot="1" x14ac:dyDescent="0.35">
      <c r="A225" s="6"/>
      <c r="B225" s="12">
        <v>2</v>
      </c>
      <c r="C225" s="2">
        <v>39551</v>
      </c>
      <c r="D225" s="2">
        <v>17621468</v>
      </c>
      <c r="E225" s="2">
        <v>153953</v>
      </c>
      <c r="F225" s="2">
        <v>58.249099999999999</v>
      </c>
      <c r="G225" s="2">
        <v>0.22770000000000001</v>
      </c>
      <c r="H225" s="2">
        <v>57.802599999999998</v>
      </c>
      <c r="I225" s="2">
        <v>58.695500000000003</v>
      </c>
      <c r="J225" s="2"/>
      <c r="K225" s="2"/>
      <c r="L225" s="2"/>
      <c r="M225" s="2"/>
    </row>
    <row r="226" spans="1:19" ht="17.25" hidden="1" customHeight="1" thickBot="1" x14ac:dyDescent="0.35">
      <c r="A226" s="6"/>
      <c r="B226" s="12">
        <v>3</v>
      </c>
      <c r="C226" s="2">
        <v>10827</v>
      </c>
      <c r="D226" s="2">
        <v>4217422</v>
      </c>
      <c r="E226" s="2">
        <v>56411</v>
      </c>
      <c r="F226" s="2">
        <v>13.941000000000001</v>
      </c>
      <c r="G226" s="2">
        <v>0.16309999999999999</v>
      </c>
      <c r="H226" s="2">
        <v>13.6212</v>
      </c>
      <c r="I226" s="2">
        <v>14.2608</v>
      </c>
      <c r="J226" s="2"/>
      <c r="K226" s="2"/>
      <c r="L226" s="2"/>
      <c r="M226" s="2"/>
    </row>
    <row r="227" spans="1:19" ht="16.5" hidden="1" customHeight="1" x14ac:dyDescent="0.3">
      <c r="A227" s="6"/>
      <c r="B227" s="15" t="s">
        <v>93</v>
      </c>
      <c r="C227" s="2">
        <v>68635</v>
      </c>
      <c r="D227" s="2">
        <v>30251936</v>
      </c>
      <c r="E227" s="2">
        <v>228758</v>
      </c>
      <c r="F227" s="2">
        <v>100</v>
      </c>
      <c r="G227" s="2"/>
      <c r="H227" s="2"/>
      <c r="I227" s="2"/>
      <c r="J227" s="2"/>
      <c r="K227" s="2"/>
      <c r="L227" s="2"/>
      <c r="M227" s="2"/>
    </row>
    <row r="228" spans="1:19" ht="16.5" hidden="1" customHeight="1" x14ac:dyDescent="0.3"/>
    <row r="229" spans="1:19" ht="16.5" hidden="1" customHeight="1" x14ac:dyDescent="0.3">
      <c r="A229" s="24" t="s">
        <v>122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</row>
    <row r="230" spans="1:19" ht="33" hidden="1" customHeight="1" x14ac:dyDescent="0.3">
      <c r="A230" s="25" t="s">
        <v>28</v>
      </c>
      <c r="B230" s="27" t="s">
        <v>13</v>
      </c>
      <c r="C230" s="27" t="s">
        <v>86</v>
      </c>
      <c r="D230" s="3" t="s">
        <v>87</v>
      </c>
      <c r="E230" s="3" t="s">
        <v>88</v>
      </c>
      <c r="F230" s="27" t="s">
        <v>90</v>
      </c>
      <c r="G230" s="3" t="s">
        <v>88</v>
      </c>
      <c r="H230" s="27" t="s">
        <v>91</v>
      </c>
      <c r="I230" s="27"/>
      <c r="J230" s="3" t="s">
        <v>109</v>
      </c>
      <c r="K230" s="3" t="s">
        <v>88</v>
      </c>
      <c r="L230" s="27" t="s">
        <v>91</v>
      </c>
      <c r="M230" s="27"/>
    </row>
    <row r="231" spans="1:19" ht="33" hidden="1" customHeight="1" x14ac:dyDescent="0.3">
      <c r="A231" s="25"/>
      <c r="B231" s="27"/>
      <c r="C231" s="27"/>
      <c r="D231" s="3" t="s">
        <v>86</v>
      </c>
      <c r="E231" s="3" t="s">
        <v>89</v>
      </c>
      <c r="F231" s="27"/>
      <c r="G231" s="3" t="s">
        <v>90</v>
      </c>
      <c r="H231" s="27" t="s">
        <v>92</v>
      </c>
      <c r="I231" s="27"/>
      <c r="J231" s="3" t="s">
        <v>90</v>
      </c>
      <c r="K231" s="3" t="s">
        <v>110</v>
      </c>
      <c r="L231" s="27" t="s">
        <v>111</v>
      </c>
      <c r="M231" s="27"/>
    </row>
    <row r="232" spans="1:19" ht="17.25" thickBot="1" x14ac:dyDescent="0.35">
      <c r="A232" s="6">
        <v>1</v>
      </c>
      <c r="B232" s="12">
        <v>1</v>
      </c>
      <c r="C232" s="2">
        <v>6223</v>
      </c>
      <c r="D232" s="2">
        <v>2640214</v>
      </c>
      <c r="E232" s="2">
        <v>44860</v>
      </c>
      <c r="F232" s="2">
        <v>8.7273999999999994</v>
      </c>
      <c r="G232" s="2">
        <v>0.13150000000000001</v>
      </c>
      <c r="H232" s="2">
        <v>8.4695</v>
      </c>
      <c r="I232" s="2">
        <v>8.9853000000000005</v>
      </c>
      <c r="J232" s="2">
        <v>37.461300000000001</v>
      </c>
      <c r="K232" s="2">
        <v>0.47039999999999998</v>
      </c>
      <c r="L232" s="2">
        <v>36.539000000000001</v>
      </c>
      <c r="M232" s="2">
        <v>38.383600000000001</v>
      </c>
      <c r="O232" s="8" t="str">
        <f>TEXT(J232,"0.00")&amp;" ("&amp;TEXT(L232,"0.00")&amp;" to "&amp;TEXT(M232,"0.00")&amp;")"</f>
        <v>37.46 (36.54 to 38.38)</v>
      </c>
      <c r="P232" s="8" t="str">
        <f>TEXT(J236,"0.00")&amp;" ("&amp;TEXT(L236,"0.00")&amp;" to "&amp;TEXT(M236,"0.00")&amp;")"</f>
        <v>36.25 (35.41 to 37.09)</v>
      </c>
      <c r="Q232" s="8" t="str">
        <f>TEXT(J240,"0.00")&amp;" ("&amp;TEXT(L240,"0.00")&amp;" to "&amp;TEXT(M240,"0.00")&amp;")"</f>
        <v>34.44 (33.62 to 35.25)</v>
      </c>
      <c r="R232" s="8" t="str">
        <f>TEXT(J244,"0.00")&amp;" ("&amp;TEXT(L244,"0.00")&amp;" to "&amp;TEXT(M244,"0.00")&amp;")"</f>
        <v>34.09 (33.25 to 34.93)</v>
      </c>
      <c r="S232" t="s">
        <v>24</v>
      </c>
    </row>
    <row r="233" spans="1:19" ht="17.25" thickBot="1" x14ac:dyDescent="0.35">
      <c r="A233" s="6"/>
      <c r="B233" s="12">
        <v>2</v>
      </c>
      <c r="C233" s="2">
        <v>6025</v>
      </c>
      <c r="D233" s="2">
        <v>2931149</v>
      </c>
      <c r="E233" s="2">
        <v>52380</v>
      </c>
      <c r="F233" s="2">
        <v>9.6890999999999998</v>
      </c>
      <c r="G233" s="2">
        <v>0.14829999999999999</v>
      </c>
      <c r="H233" s="2">
        <v>9.3983000000000008</v>
      </c>
      <c r="I233" s="2">
        <v>9.98</v>
      </c>
      <c r="J233" s="2">
        <v>41.589300000000001</v>
      </c>
      <c r="K233" s="2">
        <v>0.48599999999999999</v>
      </c>
      <c r="L233" s="2">
        <v>40.636299999999999</v>
      </c>
      <c r="M233" s="2">
        <v>42.542299999999997</v>
      </c>
      <c r="O233" s="8" t="str">
        <f t="shared" ref="O233:O234" si="24">TEXT(J233,"0.00")&amp;" ("&amp;TEXT(L233,"0.00")&amp;" to "&amp;TEXT(M233,"0.00")&amp;")"</f>
        <v>41.59 (40.64 to 42.54)</v>
      </c>
      <c r="P233" s="8" t="str">
        <f>TEXT(J237,"0.00")&amp;" ("&amp;TEXT(L237,"0.00")&amp;" to "&amp;TEXT(M237,"0.00")&amp;")"</f>
        <v>39.62 (38.73 to 40.51)</v>
      </c>
      <c r="Q233" s="8" t="str">
        <f t="shared" ref="Q233:Q234" si="25">TEXT(J241,"0.00")&amp;" ("&amp;TEXT(L241,"0.00")&amp;" to "&amp;TEXT(M241,"0.00")&amp;")"</f>
        <v>37.88 (37.01 to 38.75)</v>
      </c>
      <c r="R233" s="8" t="str">
        <f t="shared" ref="R233:R234" si="26">TEXT(J245,"0.00")&amp;" ("&amp;TEXT(L245,"0.00")&amp;" to "&amp;TEXT(M245,"0.00")&amp;")"</f>
        <v>36.50 (35.63 to 37.37)</v>
      </c>
      <c r="S233" t="s">
        <v>24</v>
      </c>
    </row>
    <row r="234" spans="1:19" ht="17.25" thickBot="1" x14ac:dyDescent="0.35">
      <c r="A234" s="6"/>
      <c r="B234" s="12">
        <v>3</v>
      </c>
      <c r="C234" s="2">
        <v>3209</v>
      </c>
      <c r="D234" s="2">
        <v>1476478</v>
      </c>
      <c r="E234" s="2">
        <v>32270</v>
      </c>
      <c r="F234" s="2">
        <v>4.8806000000000003</v>
      </c>
      <c r="G234" s="2">
        <v>0.1016</v>
      </c>
      <c r="H234" s="2">
        <v>4.6814</v>
      </c>
      <c r="I234" s="2">
        <v>5.0797999999999996</v>
      </c>
      <c r="J234" s="2">
        <v>20.949400000000001</v>
      </c>
      <c r="K234" s="2">
        <v>0.40179999999999999</v>
      </c>
      <c r="L234" s="2">
        <v>20.1615</v>
      </c>
      <c r="M234" s="2">
        <v>21.737300000000001</v>
      </c>
      <c r="O234" s="8" t="str">
        <f t="shared" si="24"/>
        <v>20.95 (20.16 to 21.74)</v>
      </c>
      <c r="P234" s="8" t="str">
        <f t="shared" ref="P234" si="27">TEXT(J238,"0.00")&amp;" ("&amp;TEXT(L238,"0.00")&amp;" to "&amp;TEXT(M238,"0.00")&amp;")"</f>
        <v>24.13 (23.35 to 24.92)</v>
      </c>
      <c r="Q234" s="8" t="str">
        <f t="shared" si="25"/>
        <v>27.68 (26.89 to 28.48)</v>
      </c>
      <c r="R234" s="8" t="str">
        <f t="shared" si="26"/>
        <v>29.41 (28.60 to 30.22)</v>
      </c>
      <c r="S234" t="s">
        <v>24</v>
      </c>
    </row>
    <row r="235" spans="1:19" ht="17.25" thickBot="1" x14ac:dyDescent="0.35">
      <c r="A235" s="6"/>
      <c r="B235" s="12" t="s">
        <v>93</v>
      </c>
      <c r="C235" s="2">
        <v>15457</v>
      </c>
      <c r="D235" s="2">
        <v>7047841</v>
      </c>
      <c r="E235" s="2">
        <v>85770</v>
      </c>
      <c r="F235" s="2">
        <v>23.2972</v>
      </c>
      <c r="G235" s="2">
        <v>0.20880000000000001</v>
      </c>
      <c r="H235" s="2">
        <v>22.887599999999999</v>
      </c>
      <c r="I235" s="2">
        <v>23.706700000000001</v>
      </c>
      <c r="J235" s="2">
        <v>100</v>
      </c>
      <c r="K235" s="2"/>
      <c r="L235" s="2"/>
      <c r="M235" s="2"/>
      <c r="S235" t="s">
        <v>24</v>
      </c>
    </row>
    <row r="236" spans="1:19" ht="17.25" hidden="1" customHeight="1" thickBot="1" x14ac:dyDescent="0.35">
      <c r="A236" s="6">
        <v>2</v>
      </c>
      <c r="B236" s="12">
        <v>1</v>
      </c>
      <c r="C236" s="2">
        <v>6905</v>
      </c>
      <c r="D236" s="2">
        <v>2726386</v>
      </c>
      <c r="E236" s="2">
        <v>42049</v>
      </c>
      <c r="F236" s="2">
        <v>9.0122999999999998</v>
      </c>
      <c r="G236" s="2">
        <v>0.1227</v>
      </c>
      <c r="H236" s="2">
        <v>8.7716999999999992</v>
      </c>
      <c r="I236" s="2">
        <v>9.2528000000000006</v>
      </c>
      <c r="J236" s="2">
        <v>36.247300000000003</v>
      </c>
      <c r="K236" s="2">
        <v>0.42749999999999999</v>
      </c>
      <c r="L236" s="2">
        <v>35.408999999999999</v>
      </c>
      <c r="M236" s="2">
        <v>37.085599999999999</v>
      </c>
    </row>
    <row r="237" spans="1:19" ht="17.25" hidden="1" customHeight="1" thickBot="1" x14ac:dyDescent="0.35">
      <c r="A237" s="6"/>
      <c r="B237" s="12">
        <v>2</v>
      </c>
      <c r="C237" s="2">
        <v>6428</v>
      </c>
      <c r="D237" s="2">
        <v>2980223</v>
      </c>
      <c r="E237" s="2">
        <v>49192</v>
      </c>
      <c r="F237" s="2">
        <v>9.8513000000000002</v>
      </c>
      <c r="G237" s="2">
        <v>0.14000000000000001</v>
      </c>
      <c r="H237" s="2">
        <v>9.5768000000000004</v>
      </c>
      <c r="I237" s="2">
        <v>10.1259</v>
      </c>
      <c r="J237" s="2">
        <v>39.622</v>
      </c>
      <c r="K237" s="2">
        <v>0.45340000000000003</v>
      </c>
      <c r="L237" s="2">
        <v>38.732999999999997</v>
      </c>
      <c r="M237" s="2">
        <v>40.511000000000003</v>
      </c>
    </row>
    <row r="238" spans="1:19" ht="17.25" hidden="1" customHeight="1" thickBot="1" x14ac:dyDescent="0.35">
      <c r="A238" s="6"/>
      <c r="B238" s="12">
        <v>3</v>
      </c>
      <c r="C238" s="2">
        <v>3989</v>
      </c>
      <c r="D238" s="2">
        <v>1815024</v>
      </c>
      <c r="E238" s="2">
        <v>35825</v>
      </c>
      <c r="F238" s="2">
        <v>5.9996999999999998</v>
      </c>
      <c r="G238" s="2">
        <v>0.10970000000000001</v>
      </c>
      <c r="H238" s="2">
        <v>5.7846000000000002</v>
      </c>
      <c r="I238" s="2">
        <v>6.2148000000000003</v>
      </c>
      <c r="J238" s="2">
        <v>24.130700000000001</v>
      </c>
      <c r="K238" s="2">
        <v>0.4002</v>
      </c>
      <c r="L238" s="2">
        <v>23.3461</v>
      </c>
      <c r="M238" s="2">
        <v>24.915299999999998</v>
      </c>
    </row>
    <row r="239" spans="1:19" ht="17.25" hidden="1" customHeight="1" thickBot="1" x14ac:dyDescent="0.35">
      <c r="A239" s="6"/>
      <c r="B239" s="12" t="s">
        <v>93</v>
      </c>
      <c r="C239" s="2">
        <v>17322</v>
      </c>
      <c r="D239" s="2">
        <v>7521633</v>
      </c>
      <c r="E239" s="2">
        <v>82230</v>
      </c>
      <c r="F239" s="2">
        <v>24.863299999999999</v>
      </c>
      <c r="G239" s="2">
        <v>0.1913</v>
      </c>
      <c r="H239" s="2">
        <v>24.488199999999999</v>
      </c>
      <c r="I239" s="2">
        <v>25.238399999999999</v>
      </c>
      <c r="J239" s="2">
        <v>100</v>
      </c>
      <c r="K239" s="2"/>
      <c r="L239" s="2"/>
      <c r="M239" s="2"/>
    </row>
    <row r="240" spans="1:19" ht="17.25" hidden="1" customHeight="1" thickBot="1" x14ac:dyDescent="0.35">
      <c r="A240" s="6">
        <v>3</v>
      </c>
      <c r="B240" s="12">
        <v>1</v>
      </c>
      <c r="C240" s="2">
        <v>6912</v>
      </c>
      <c r="D240" s="2">
        <v>2615607</v>
      </c>
      <c r="E240" s="2">
        <v>40251</v>
      </c>
      <c r="F240" s="2">
        <v>8.6461000000000006</v>
      </c>
      <c r="G240" s="2">
        <v>0.1232</v>
      </c>
      <c r="H240" s="2">
        <v>8.4044000000000008</v>
      </c>
      <c r="I240" s="2">
        <v>8.8878000000000004</v>
      </c>
      <c r="J240" s="2">
        <v>34.4358</v>
      </c>
      <c r="K240" s="2">
        <v>0.41570000000000001</v>
      </c>
      <c r="L240" s="2">
        <v>33.620699999999999</v>
      </c>
      <c r="M240" s="2">
        <v>35.250999999999998</v>
      </c>
    </row>
    <row r="241" spans="1:19" ht="17.25" hidden="1" customHeight="1" thickBot="1" x14ac:dyDescent="0.35">
      <c r="A241" s="6"/>
      <c r="B241" s="12">
        <v>2</v>
      </c>
      <c r="C241" s="2">
        <v>6293</v>
      </c>
      <c r="D241" s="2">
        <v>2877418</v>
      </c>
      <c r="E241" s="2">
        <v>47702</v>
      </c>
      <c r="F241" s="2">
        <v>9.5114999999999998</v>
      </c>
      <c r="G241" s="2">
        <v>0.13600000000000001</v>
      </c>
      <c r="H241" s="2">
        <v>9.2448999999999995</v>
      </c>
      <c r="I241" s="2">
        <v>9.7782</v>
      </c>
      <c r="J241" s="2">
        <v>37.8827</v>
      </c>
      <c r="K241" s="2">
        <v>0.44419999999999998</v>
      </c>
      <c r="L241" s="2">
        <v>37.011800000000001</v>
      </c>
      <c r="M241" s="2">
        <v>38.753599999999999</v>
      </c>
    </row>
    <row r="242" spans="1:19" ht="17.25" hidden="1" customHeight="1" thickBot="1" x14ac:dyDescent="0.35">
      <c r="A242" s="6"/>
      <c r="B242" s="12">
        <v>3</v>
      </c>
      <c r="C242" s="2">
        <v>4623</v>
      </c>
      <c r="D242" s="2">
        <v>2102569</v>
      </c>
      <c r="E242" s="2">
        <v>37638</v>
      </c>
      <c r="F242" s="2">
        <v>6.9501999999999997</v>
      </c>
      <c r="G242" s="2">
        <v>0.1142</v>
      </c>
      <c r="H242" s="2">
        <v>6.7263999999999999</v>
      </c>
      <c r="I242" s="2">
        <v>7.1740000000000004</v>
      </c>
      <c r="J242" s="2">
        <v>27.6814</v>
      </c>
      <c r="K242" s="2">
        <v>0.40610000000000002</v>
      </c>
      <c r="L242" s="2">
        <v>26.885200000000001</v>
      </c>
      <c r="M242" s="2">
        <v>28.477699999999999</v>
      </c>
    </row>
    <row r="243" spans="1:19" ht="17.25" hidden="1" customHeight="1" thickBot="1" x14ac:dyDescent="0.35">
      <c r="A243" s="6"/>
      <c r="B243" s="12" t="s">
        <v>93</v>
      </c>
      <c r="C243" s="2">
        <v>17828</v>
      </c>
      <c r="D243" s="2">
        <v>7595594</v>
      </c>
      <c r="E243" s="2">
        <v>80574</v>
      </c>
      <c r="F243" s="2">
        <v>25.107800000000001</v>
      </c>
      <c r="G243" s="2">
        <v>0.19489999999999999</v>
      </c>
      <c r="H243" s="2">
        <v>24.7257</v>
      </c>
      <c r="I243" s="2">
        <v>25.489899999999999</v>
      </c>
      <c r="J243" s="2">
        <v>100</v>
      </c>
      <c r="K243" s="2"/>
      <c r="L243" s="2"/>
      <c r="M243" s="2"/>
    </row>
    <row r="244" spans="1:19" ht="17.25" hidden="1" customHeight="1" thickBot="1" x14ac:dyDescent="0.35">
      <c r="A244" s="6">
        <v>4</v>
      </c>
      <c r="B244" s="12">
        <v>1</v>
      </c>
      <c r="C244" s="2">
        <v>6868</v>
      </c>
      <c r="D244" s="2">
        <v>2756863</v>
      </c>
      <c r="E244" s="2">
        <v>44380</v>
      </c>
      <c r="F244" s="2">
        <v>9.1129999999999995</v>
      </c>
      <c r="G244" s="2">
        <v>0.13539999999999999</v>
      </c>
      <c r="H244" s="2">
        <v>8.8475000000000001</v>
      </c>
      <c r="I244" s="2">
        <v>9.3786000000000005</v>
      </c>
      <c r="J244" s="2">
        <v>34.090600000000002</v>
      </c>
      <c r="K244" s="2">
        <v>0.42809999999999998</v>
      </c>
      <c r="L244" s="2">
        <v>33.251199999999997</v>
      </c>
      <c r="M244" s="2">
        <v>34.930100000000003</v>
      </c>
    </row>
    <row r="245" spans="1:19" ht="17.25" hidden="1" customHeight="1" thickBot="1" x14ac:dyDescent="0.35">
      <c r="A245" s="6"/>
      <c r="B245" s="12">
        <v>2</v>
      </c>
      <c r="C245" s="2">
        <v>6253</v>
      </c>
      <c r="D245" s="2">
        <v>2951768</v>
      </c>
      <c r="E245" s="2">
        <v>47949</v>
      </c>
      <c r="F245" s="2">
        <v>9.7573000000000008</v>
      </c>
      <c r="G245" s="2">
        <v>0.1419</v>
      </c>
      <c r="H245" s="2">
        <v>9.4791000000000007</v>
      </c>
      <c r="I245" s="2">
        <v>10.035500000000001</v>
      </c>
      <c r="J245" s="2">
        <v>36.500799999999998</v>
      </c>
      <c r="K245" s="2">
        <v>0.44350000000000001</v>
      </c>
      <c r="L245" s="2">
        <v>35.6312</v>
      </c>
      <c r="M245" s="2">
        <v>37.3703</v>
      </c>
    </row>
    <row r="246" spans="1:19" ht="17.25" hidden="1" customHeight="1" thickBot="1" x14ac:dyDescent="0.35">
      <c r="A246" s="6"/>
      <c r="B246" s="12">
        <v>3</v>
      </c>
      <c r="C246" s="2">
        <v>4907</v>
      </c>
      <c r="D246" s="2">
        <v>2378237</v>
      </c>
      <c r="E246" s="2">
        <v>42328</v>
      </c>
      <c r="F246" s="2">
        <v>7.8613999999999997</v>
      </c>
      <c r="G246" s="2">
        <v>0.12609999999999999</v>
      </c>
      <c r="H246" s="2">
        <v>7.6140999999999996</v>
      </c>
      <c r="I246" s="2">
        <v>8.1087000000000007</v>
      </c>
      <c r="J246" s="2">
        <v>29.4086</v>
      </c>
      <c r="K246" s="2">
        <v>0.41220000000000001</v>
      </c>
      <c r="L246" s="2">
        <v>28.600300000000001</v>
      </c>
      <c r="M246" s="2">
        <v>30.216899999999999</v>
      </c>
    </row>
    <row r="247" spans="1:19" ht="17.25" hidden="1" customHeight="1" thickBot="1" x14ac:dyDescent="0.35">
      <c r="A247" s="6"/>
      <c r="B247" s="12" t="s">
        <v>93</v>
      </c>
      <c r="C247" s="2">
        <v>18028</v>
      </c>
      <c r="D247" s="2">
        <v>8086868</v>
      </c>
      <c r="E247" s="2">
        <v>85733</v>
      </c>
      <c r="F247" s="2">
        <v>26.7317</v>
      </c>
      <c r="G247" s="2">
        <v>0.2117</v>
      </c>
      <c r="H247" s="2">
        <v>26.316600000000001</v>
      </c>
      <c r="I247" s="2">
        <v>27.146899999999999</v>
      </c>
      <c r="J247" s="2">
        <v>100</v>
      </c>
      <c r="K247" s="2"/>
      <c r="L247" s="2"/>
      <c r="M247" s="2"/>
    </row>
    <row r="248" spans="1:19" ht="17.25" hidden="1" customHeight="1" thickBot="1" x14ac:dyDescent="0.35">
      <c r="A248" s="6" t="s">
        <v>93</v>
      </c>
      <c r="B248" s="12">
        <v>1</v>
      </c>
      <c r="C248" s="2">
        <v>26908</v>
      </c>
      <c r="D248" s="2">
        <v>10739070</v>
      </c>
      <c r="E248" s="2">
        <v>101823</v>
      </c>
      <c r="F248" s="2">
        <v>35.498800000000003</v>
      </c>
      <c r="G248" s="2">
        <v>0.23380000000000001</v>
      </c>
      <c r="H248" s="2">
        <v>35.040300000000002</v>
      </c>
      <c r="I248" s="2">
        <v>35.957299999999996</v>
      </c>
      <c r="J248" s="2"/>
      <c r="K248" s="2"/>
      <c r="L248" s="2"/>
      <c r="M248" s="2"/>
    </row>
    <row r="249" spans="1:19" ht="17.25" hidden="1" customHeight="1" thickBot="1" x14ac:dyDescent="0.35">
      <c r="A249" s="6"/>
      <c r="B249" s="12">
        <v>2</v>
      </c>
      <c r="C249" s="2">
        <v>24999</v>
      </c>
      <c r="D249" s="2">
        <v>11740558</v>
      </c>
      <c r="E249" s="2">
        <v>121651</v>
      </c>
      <c r="F249" s="2">
        <v>38.8093</v>
      </c>
      <c r="G249" s="2">
        <v>0.23860000000000001</v>
      </c>
      <c r="H249" s="2">
        <v>38.3414</v>
      </c>
      <c r="I249" s="2">
        <v>39.277200000000001</v>
      </c>
      <c r="J249" s="2"/>
      <c r="K249" s="2"/>
      <c r="L249" s="2"/>
      <c r="M249" s="2"/>
    </row>
    <row r="250" spans="1:19" ht="17.25" hidden="1" customHeight="1" thickBot="1" x14ac:dyDescent="0.35">
      <c r="A250" s="6"/>
      <c r="B250" s="12">
        <v>3</v>
      </c>
      <c r="C250" s="2">
        <v>16728</v>
      </c>
      <c r="D250" s="2">
        <v>7772308</v>
      </c>
      <c r="E250" s="2">
        <v>85013</v>
      </c>
      <c r="F250" s="2">
        <v>25.6919</v>
      </c>
      <c r="G250" s="2">
        <v>0.2094</v>
      </c>
      <c r="H250" s="2">
        <v>25.281400000000001</v>
      </c>
      <c r="I250" s="2">
        <v>26.102499999999999</v>
      </c>
      <c r="J250" s="2"/>
      <c r="K250" s="2"/>
      <c r="L250" s="2"/>
      <c r="M250" s="2"/>
    </row>
    <row r="251" spans="1:19" ht="16.5" hidden="1" customHeight="1" x14ac:dyDescent="0.3">
      <c r="A251" s="6"/>
      <c r="B251" s="15" t="s">
        <v>93</v>
      </c>
      <c r="C251" s="2">
        <v>68635</v>
      </c>
      <c r="D251" s="2">
        <v>30251936</v>
      </c>
      <c r="E251" s="2">
        <v>228758</v>
      </c>
      <c r="F251" s="2">
        <v>100</v>
      </c>
      <c r="G251" s="2"/>
      <c r="H251" s="2"/>
      <c r="I251" s="2"/>
      <c r="J251" s="2"/>
      <c r="K251" s="2"/>
      <c r="L251" s="2"/>
      <c r="M251" s="2"/>
    </row>
    <row r="252" spans="1:19" ht="16.5" hidden="1" customHeight="1" x14ac:dyDescent="0.3"/>
    <row r="253" spans="1:19" ht="16.5" hidden="1" customHeight="1" x14ac:dyDescent="0.3">
      <c r="A253" s="24" t="s">
        <v>123</v>
      </c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</row>
    <row r="254" spans="1:19" ht="33" hidden="1" customHeight="1" x14ac:dyDescent="0.3">
      <c r="A254" s="25" t="s">
        <v>28</v>
      </c>
      <c r="B254" s="27" t="s">
        <v>14</v>
      </c>
      <c r="C254" s="27" t="s">
        <v>86</v>
      </c>
      <c r="D254" s="3" t="s">
        <v>87</v>
      </c>
      <c r="E254" s="3" t="s">
        <v>88</v>
      </c>
      <c r="F254" s="27" t="s">
        <v>90</v>
      </c>
      <c r="G254" s="3" t="s">
        <v>88</v>
      </c>
      <c r="H254" s="27" t="s">
        <v>91</v>
      </c>
      <c r="I254" s="27"/>
      <c r="J254" s="3" t="s">
        <v>109</v>
      </c>
      <c r="K254" s="3" t="s">
        <v>88</v>
      </c>
      <c r="L254" s="27" t="s">
        <v>91</v>
      </c>
      <c r="M254" s="27"/>
    </row>
    <row r="255" spans="1:19" ht="33" hidden="1" customHeight="1" x14ac:dyDescent="0.3">
      <c r="A255" s="25"/>
      <c r="B255" s="27"/>
      <c r="C255" s="27"/>
      <c r="D255" s="3" t="s">
        <v>86</v>
      </c>
      <c r="E255" s="3" t="s">
        <v>89</v>
      </c>
      <c r="F255" s="27"/>
      <c r="G255" s="3" t="s">
        <v>90</v>
      </c>
      <c r="H255" s="27" t="s">
        <v>92</v>
      </c>
      <c r="I255" s="27"/>
      <c r="J255" s="3" t="s">
        <v>90</v>
      </c>
      <c r="K255" s="3" t="s">
        <v>110</v>
      </c>
      <c r="L255" s="27" t="s">
        <v>111</v>
      </c>
      <c r="M255" s="27"/>
    </row>
    <row r="256" spans="1:19" ht="17.25" thickBot="1" x14ac:dyDescent="0.35">
      <c r="A256" s="6">
        <v>1</v>
      </c>
      <c r="B256" s="12">
        <v>0</v>
      </c>
      <c r="C256" s="2">
        <v>12778</v>
      </c>
      <c r="D256" s="2">
        <v>5698536</v>
      </c>
      <c r="E256" s="2">
        <v>76148</v>
      </c>
      <c r="F256" s="2">
        <v>18.8369</v>
      </c>
      <c r="G256" s="2">
        <v>0.1953</v>
      </c>
      <c r="H256" s="2">
        <v>18.454000000000001</v>
      </c>
      <c r="I256" s="2">
        <v>19.219899999999999</v>
      </c>
      <c r="J256" s="2">
        <v>80.855099999999993</v>
      </c>
      <c r="K256" s="2">
        <v>0.40970000000000001</v>
      </c>
      <c r="L256" s="2">
        <v>80.051699999999997</v>
      </c>
      <c r="M256" s="2">
        <v>81.6584</v>
      </c>
      <c r="O256" s="8" t="str">
        <f>TEXT(J256,"0.00")&amp;" ("&amp;TEXT(L256,"0.00")&amp;" to "&amp;TEXT(M256,"0.00")&amp;")"</f>
        <v>80.86 (80.05 to 81.66)</v>
      </c>
      <c r="P256" s="8" t="str">
        <f>TEXT(J259,"0.00")&amp;" ("&amp;TEXT(L259,"0.00")&amp;" to "&amp;TEXT(M259,"0.00")&amp;")"</f>
        <v>76.18 (75.36 to 77.00)</v>
      </c>
      <c r="Q256" s="8" t="str">
        <f>TEXT(J262,"0.00")&amp;" ("&amp;TEXT(L262,"0.00")&amp;" to "&amp;TEXT(M262,"0.00")&amp;")"</f>
        <v>71.23 (70.38 to 72.09)</v>
      </c>
      <c r="R256" s="8" t="str">
        <f>TEXT(J265,"0.00")&amp;" ("&amp;TEXT(L265,"0.00")&amp;" to "&amp;TEXT(M265,"0.00")&amp;")"</f>
        <v>64.66 (63.81 to 65.51)</v>
      </c>
      <c r="S256" t="s">
        <v>24</v>
      </c>
    </row>
    <row r="257" spans="1:19" ht="17.25" thickBot="1" x14ac:dyDescent="0.35">
      <c r="A257" s="6"/>
      <c r="B257" s="12">
        <v>1</v>
      </c>
      <c r="C257" s="2">
        <v>2679</v>
      </c>
      <c r="D257" s="2">
        <v>1349305</v>
      </c>
      <c r="E257" s="2">
        <v>32658</v>
      </c>
      <c r="F257" s="2">
        <v>4.4602000000000004</v>
      </c>
      <c r="G257" s="2">
        <v>0.10290000000000001</v>
      </c>
      <c r="H257" s="2">
        <v>4.2584999999999997</v>
      </c>
      <c r="I257" s="2">
        <v>4.6619999999999999</v>
      </c>
      <c r="J257" s="2">
        <v>19.1449</v>
      </c>
      <c r="K257" s="2">
        <v>0.40970000000000001</v>
      </c>
      <c r="L257" s="2">
        <v>18.3416</v>
      </c>
      <c r="M257" s="2">
        <v>19.9483</v>
      </c>
      <c r="O257" s="8" t="str">
        <f>TEXT(J257,"0.00")&amp;" ("&amp;TEXT(L257,"0.00")&amp;" to "&amp;TEXT(M257,"0.00")&amp;")"</f>
        <v>19.14 (18.34 to 19.95)</v>
      </c>
      <c r="P257" s="8" t="str">
        <f>TEXT(J260,"0.00")&amp;" ("&amp;TEXT(L260,"0.00")&amp;" to "&amp;TEXT(M260,"0.00")&amp;")"</f>
        <v>23.82 (23.00 to 24.64)</v>
      </c>
      <c r="Q257" s="8" t="str">
        <f>TEXT(J263,"0.00")&amp;" ("&amp;TEXT(L263,"0.00")&amp;" to "&amp;TEXT(M263,"0.00")&amp;")"</f>
        <v>28.77 (27.91 to 29.62)</v>
      </c>
      <c r="R257" s="8" t="str">
        <f>TEXT(J266,"0.00")&amp;" ("&amp;TEXT(L266,"0.00")&amp;" to "&amp;TEXT(M266,"0.00")&amp;")"</f>
        <v>35.34 (34.49 to 36.19)</v>
      </c>
      <c r="S257" t="s">
        <v>24</v>
      </c>
    </row>
    <row r="258" spans="1:19" ht="17.25" thickBot="1" x14ac:dyDescent="0.35">
      <c r="A258" s="6"/>
      <c r="B258" s="12" t="s">
        <v>93</v>
      </c>
      <c r="C258" s="2">
        <v>15457</v>
      </c>
      <c r="D258" s="2">
        <v>7047841</v>
      </c>
      <c r="E258" s="2">
        <v>85770</v>
      </c>
      <c r="F258" s="2">
        <v>23.2972</v>
      </c>
      <c r="G258" s="2">
        <v>0.20880000000000001</v>
      </c>
      <c r="H258" s="2">
        <v>22.887599999999999</v>
      </c>
      <c r="I258" s="2">
        <v>23.706700000000001</v>
      </c>
      <c r="J258" s="2">
        <v>100</v>
      </c>
      <c r="K258" s="2"/>
      <c r="L258" s="2"/>
      <c r="M258" s="2"/>
      <c r="S258" t="s">
        <v>24</v>
      </c>
    </row>
    <row r="259" spans="1:19" ht="17.25" hidden="1" customHeight="1" thickBot="1" x14ac:dyDescent="0.35">
      <c r="A259" s="6">
        <v>2</v>
      </c>
      <c r="B259" s="12">
        <v>0</v>
      </c>
      <c r="C259" s="2">
        <v>13608</v>
      </c>
      <c r="D259" s="2">
        <v>5729955</v>
      </c>
      <c r="E259" s="2">
        <v>70844</v>
      </c>
      <c r="F259" s="2">
        <v>18.940799999999999</v>
      </c>
      <c r="G259" s="2">
        <v>0.17680000000000001</v>
      </c>
      <c r="H259" s="2">
        <v>18.594100000000001</v>
      </c>
      <c r="I259" s="2">
        <v>19.287400000000002</v>
      </c>
      <c r="J259" s="2">
        <v>76.179699999999997</v>
      </c>
      <c r="K259" s="2">
        <v>0.41589999999999999</v>
      </c>
      <c r="L259" s="2">
        <v>75.364099999999993</v>
      </c>
      <c r="M259" s="2">
        <v>76.995199999999997</v>
      </c>
    </row>
    <row r="260" spans="1:19" ht="17.25" hidden="1" customHeight="1" thickBot="1" x14ac:dyDescent="0.35">
      <c r="A260" s="6"/>
      <c r="B260" s="12">
        <v>1</v>
      </c>
      <c r="C260" s="2">
        <v>3714</v>
      </c>
      <c r="D260" s="2">
        <v>1791678</v>
      </c>
      <c r="E260" s="2">
        <v>36415</v>
      </c>
      <c r="F260" s="2">
        <v>5.9225000000000003</v>
      </c>
      <c r="G260" s="2">
        <v>0.1139</v>
      </c>
      <c r="H260" s="2">
        <v>5.6990999999999996</v>
      </c>
      <c r="I260" s="2">
        <v>6.1459000000000001</v>
      </c>
      <c r="J260" s="2">
        <v>23.8203</v>
      </c>
      <c r="K260" s="2">
        <v>0.41589999999999999</v>
      </c>
      <c r="L260" s="2">
        <v>23.004799999999999</v>
      </c>
      <c r="M260" s="2">
        <v>24.635899999999999</v>
      </c>
    </row>
    <row r="261" spans="1:19" ht="17.25" hidden="1" customHeight="1" thickBot="1" x14ac:dyDescent="0.35">
      <c r="A261" s="6"/>
      <c r="B261" s="12" t="s">
        <v>93</v>
      </c>
      <c r="C261" s="2">
        <v>17322</v>
      </c>
      <c r="D261" s="2">
        <v>7521633</v>
      </c>
      <c r="E261" s="2">
        <v>82230</v>
      </c>
      <c r="F261" s="2">
        <v>24.863299999999999</v>
      </c>
      <c r="G261" s="2">
        <v>0.1913</v>
      </c>
      <c r="H261" s="2">
        <v>24.488199999999999</v>
      </c>
      <c r="I261" s="2">
        <v>25.238399999999999</v>
      </c>
      <c r="J261" s="2">
        <v>100</v>
      </c>
      <c r="K261" s="2"/>
      <c r="L261" s="2"/>
      <c r="M261" s="2"/>
    </row>
    <row r="262" spans="1:19" ht="17.25" hidden="1" customHeight="1" thickBot="1" x14ac:dyDescent="0.35">
      <c r="A262" s="6">
        <v>3</v>
      </c>
      <c r="B262" s="12">
        <v>0</v>
      </c>
      <c r="C262" s="2">
        <v>13315</v>
      </c>
      <c r="D262" s="2">
        <v>5410568</v>
      </c>
      <c r="E262" s="2">
        <v>65197</v>
      </c>
      <c r="F262" s="2">
        <v>17.885000000000002</v>
      </c>
      <c r="G262" s="2">
        <v>0.17380000000000001</v>
      </c>
      <c r="H262" s="2">
        <v>17.5442</v>
      </c>
      <c r="I262" s="2">
        <v>18.225899999999999</v>
      </c>
      <c r="J262" s="2">
        <v>71.233000000000004</v>
      </c>
      <c r="K262" s="2">
        <v>0.43619999999999998</v>
      </c>
      <c r="L262" s="2">
        <v>70.377600000000001</v>
      </c>
      <c r="M262" s="2">
        <v>72.088399999999993</v>
      </c>
    </row>
    <row r="263" spans="1:19" ht="17.25" hidden="1" customHeight="1" thickBot="1" x14ac:dyDescent="0.35">
      <c r="A263" s="6"/>
      <c r="B263" s="12">
        <v>1</v>
      </c>
      <c r="C263" s="2">
        <v>4513</v>
      </c>
      <c r="D263" s="2">
        <v>2185026</v>
      </c>
      <c r="E263" s="2">
        <v>41138</v>
      </c>
      <c r="F263" s="2">
        <v>7.2228000000000003</v>
      </c>
      <c r="G263" s="2">
        <v>0.12479999999999999</v>
      </c>
      <c r="H263" s="2">
        <v>6.9781000000000004</v>
      </c>
      <c r="I263" s="2">
        <v>7.4673999999999996</v>
      </c>
      <c r="J263" s="2">
        <v>28.766999999999999</v>
      </c>
      <c r="K263" s="2">
        <v>0.43619999999999998</v>
      </c>
      <c r="L263" s="2">
        <v>27.9116</v>
      </c>
      <c r="M263" s="2">
        <v>29.622399999999999</v>
      </c>
    </row>
    <row r="264" spans="1:19" ht="17.25" hidden="1" customHeight="1" thickBot="1" x14ac:dyDescent="0.35">
      <c r="A264" s="6"/>
      <c r="B264" s="12" t="s">
        <v>93</v>
      </c>
      <c r="C264" s="2">
        <v>17828</v>
      </c>
      <c r="D264" s="2">
        <v>7595594</v>
      </c>
      <c r="E264" s="2">
        <v>80574</v>
      </c>
      <c r="F264" s="2">
        <v>25.107800000000001</v>
      </c>
      <c r="G264" s="2">
        <v>0.19489999999999999</v>
      </c>
      <c r="H264" s="2">
        <v>24.7257</v>
      </c>
      <c r="I264" s="2">
        <v>25.489899999999999</v>
      </c>
      <c r="J264" s="2">
        <v>100</v>
      </c>
      <c r="K264" s="2"/>
      <c r="L264" s="2"/>
      <c r="M264" s="2"/>
    </row>
    <row r="265" spans="1:19" ht="17.25" hidden="1" customHeight="1" thickBot="1" x14ac:dyDescent="0.35">
      <c r="A265" s="6">
        <v>4</v>
      </c>
      <c r="B265" s="12">
        <v>0</v>
      </c>
      <c r="C265" s="2">
        <v>12363</v>
      </c>
      <c r="D265" s="2">
        <v>5229104</v>
      </c>
      <c r="E265" s="2">
        <v>65705</v>
      </c>
      <c r="F265" s="2">
        <v>17.2852</v>
      </c>
      <c r="G265" s="2">
        <v>0.17979999999999999</v>
      </c>
      <c r="H265" s="2">
        <v>16.932500000000001</v>
      </c>
      <c r="I265" s="2">
        <v>17.637799999999999</v>
      </c>
      <c r="J265" s="2">
        <v>64.661699999999996</v>
      </c>
      <c r="K265" s="2">
        <v>0.43459999999999999</v>
      </c>
      <c r="L265" s="2">
        <v>63.8095</v>
      </c>
      <c r="M265" s="2">
        <v>65.513800000000003</v>
      </c>
    </row>
    <row r="266" spans="1:19" ht="17.25" hidden="1" customHeight="1" thickBot="1" x14ac:dyDescent="0.35">
      <c r="A266" s="6"/>
      <c r="B266" s="12">
        <v>1</v>
      </c>
      <c r="C266" s="2">
        <v>5665</v>
      </c>
      <c r="D266" s="2">
        <v>2857764</v>
      </c>
      <c r="E266" s="2">
        <v>46349</v>
      </c>
      <c r="F266" s="2">
        <v>9.4466000000000001</v>
      </c>
      <c r="G266" s="2">
        <v>0.13800000000000001</v>
      </c>
      <c r="H266" s="2">
        <v>9.1760000000000002</v>
      </c>
      <c r="I266" s="2">
        <v>9.7171000000000003</v>
      </c>
      <c r="J266" s="2">
        <v>35.338299999999997</v>
      </c>
      <c r="K266" s="2">
        <v>0.43459999999999999</v>
      </c>
      <c r="L266" s="2">
        <v>34.486199999999997</v>
      </c>
      <c r="M266" s="2">
        <v>36.1905</v>
      </c>
    </row>
    <row r="267" spans="1:19" ht="17.25" hidden="1" customHeight="1" thickBot="1" x14ac:dyDescent="0.35">
      <c r="A267" s="6"/>
      <c r="B267" s="12" t="s">
        <v>93</v>
      </c>
      <c r="C267" s="2">
        <v>18028</v>
      </c>
      <c r="D267" s="2">
        <v>8086868</v>
      </c>
      <c r="E267" s="2">
        <v>85733</v>
      </c>
      <c r="F267" s="2">
        <v>26.7317</v>
      </c>
      <c r="G267" s="2">
        <v>0.2117</v>
      </c>
      <c r="H267" s="2">
        <v>26.316600000000001</v>
      </c>
      <c r="I267" s="2">
        <v>27.146899999999999</v>
      </c>
      <c r="J267" s="2">
        <v>100</v>
      </c>
      <c r="K267" s="2"/>
      <c r="L267" s="2"/>
      <c r="M267" s="2"/>
    </row>
    <row r="268" spans="1:19" ht="17.25" hidden="1" customHeight="1" thickBot="1" x14ac:dyDescent="0.35">
      <c r="A268" s="6" t="s">
        <v>93</v>
      </c>
      <c r="B268" s="12">
        <v>0</v>
      </c>
      <c r="C268" s="2">
        <v>52064</v>
      </c>
      <c r="D268" s="2">
        <v>22068163</v>
      </c>
      <c r="E268" s="2">
        <v>184428</v>
      </c>
      <c r="F268" s="2">
        <v>72.947900000000004</v>
      </c>
      <c r="G268" s="2">
        <v>0.23330000000000001</v>
      </c>
      <c r="H268" s="2">
        <v>72.490499999999997</v>
      </c>
      <c r="I268" s="2">
        <v>73.405299999999997</v>
      </c>
      <c r="J268" s="2"/>
      <c r="K268" s="2"/>
      <c r="L268" s="2"/>
      <c r="M268" s="2"/>
    </row>
    <row r="269" spans="1:19" ht="17.25" hidden="1" customHeight="1" thickBot="1" x14ac:dyDescent="0.35">
      <c r="A269" s="6"/>
      <c r="B269" s="12">
        <v>1</v>
      </c>
      <c r="C269" s="2">
        <v>16571</v>
      </c>
      <c r="D269" s="2">
        <v>8183773</v>
      </c>
      <c r="E269" s="2">
        <v>91483</v>
      </c>
      <c r="F269" s="2">
        <v>27.052099999999999</v>
      </c>
      <c r="G269" s="2">
        <v>0.23330000000000001</v>
      </c>
      <c r="H269" s="2">
        <v>26.5947</v>
      </c>
      <c r="I269" s="2">
        <v>27.509499999999999</v>
      </c>
      <c r="J269" s="2"/>
      <c r="K269" s="2"/>
      <c r="L269" s="2"/>
      <c r="M269" s="2"/>
    </row>
    <row r="270" spans="1:19" ht="16.5" hidden="1" customHeight="1" x14ac:dyDescent="0.3">
      <c r="A270" s="6"/>
      <c r="B270" s="15" t="s">
        <v>93</v>
      </c>
      <c r="C270" s="2">
        <v>68635</v>
      </c>
      <c r="D270" s="2">
        <v>30251936</v>
      </c>
      <c r="E270" s="2">
        <v>228758</v>
      </c>
      <c r="F270" s="2">
        <v>100</v>
      </c>
      <c r="G270" s="2"/>
      <c r="H270" s="2"/>
      <c r="I270" s="2"/>
      <c r="J270" s="2"/>
      <c r="K270" s="2"/>
      <c r="L270" s="2"/>
      <c r="M270" s="2"/>
    </row>
    <row r="271" spans="1:19" ht="16.5" hidden="1" customHeight="1" x14ac:dyDescent="0.3"/>
    <row r="272" spans="1:19" ht="16.5" hidden="1" customHeight="1" x14ac:dyDescent="0.3">
      <c r="A272" s="24" t="s">
        <v>124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</row>
    <row r="273" spans="1:19" ht="33" hidden="1" customHeight="1" x14ac:dyDescent="0.3">
      <c r="A273" s="25" t="s">
        <v>28</v>
      </c>
      <c r="B273" s="27" t="s">
        <v>15</v>
      </c>
      <c r="C273" s="27" t="s">
        <v>86</v>
      </c>
      <c r="D273" s="3" t="s">
        <v>87</v>
      </c>
      <c r="E273" s="3" t="s">
        <v>88</v>
      </c>
      <c r="F273" s="27" t="s">
        <v>90</v>
      </c>
      <c r="G273" s="3" t="s">
        <v>88</v>
      </c>
      <c r="H273" s="27" t="s">
        <v>91</v>
      </c>
      <c r="I273" s="27"/>
      <c r="J273" s="3" t="s">
        <v>109</v>
      </c>
      <c r="K273" s="3" t="s">
        <v>88</v>
      </c>
      <c r="L273" s="27" t="s">
        <v>91</v>
      </c>
      <c r="M273" s="27"/>
    </row>
    <row r="274" spans="1:19" ht="33" hidden="1" customHeight="1" x14ac:dyDescent="0.3">
      <c r="A274" s="25"/>
      <c r="B274" s="27"/>
      <c r="C274" s="27"/>
      <c r="D274" s="3" t="s">
        <v>86</v>
      </c>
      <c r="E274" s="3" t="s">
        <v>89</v>
      </c>
      <c r="F274" s="27"/>
      <c r="G274" s="3" t="s">
        <v>90</v>
      </c>
      <c r="H274" s="27" t="s">
        <v>92</v>
      </c>
      <c r="I274" s="27"/>
      <c r="J274" s="3" t="s">
        <v>90</v>
      </c>
      <c r="K274" s="3" t="s">
        <v>110</v>
      </c>
      <c r="L274" s="27" t="s">
        <v>111</v>
      </c>
      <c r="M274" s="27"/>
    </row>
    <row r="275" spans="1:19" ht="17.25" thickBot="1" x14ac:dyDescent="0.35">
      <c r="A275" s="6">
        <v>1</v>
      </c>
      <c r="B275" s="12">
        <v>0</v>
      </c>
      <c r="C275" s="2">
        <v>14270</v>
      </c>
      <c r="D275" s="2">
        <v>6644413</v>
      </c>
      <c r="E275" s="2">
        <v>84094</v>
      </c>
      <c r="F275" s="2">
        <v>21.9636</v>
      </c>
      <c r="G275" s="2">
        <v>0.20669999999999999</v>
      </c>
      <c r="H275" s="2">
        <v>21.558299999999999</v>
      </c>
      <c r="I275" s="2">
        <v>22.3689</v>
      </c>
      <c r="J275" s="2">
        <v>94.275899999999993</v>
      </c>
      <c r="K275" s="2">
        <v>0.2</v>
      </c>
      <c r="L275" s="2">
        <v>93.883700000000005</v>
      </c>
      <c r="M275" s="2">
        <v>94.668000000000006</v>
      </c>
      <c r="O275" s="8" t="str">
        <f>TEXT(J275,"0.00")&amp;" ("&amp;TEXT(L275,"0.00")&amp;" to "&amp;TEXT(M275,"0.00")&amp;")"</f>
        <v>94.28 (93.88 to 94.67)</v>
      </c>
      <c r="P275" s="8" t="str">
        <f>TEXT(J278,"0.00")&amp;" ("&amp;TEXT(L278,"0.00")&amp;" to "&amp;TEXT(M278,"0.00")&amp;")"</f>
        <v>87.87 (87.33 to 88.42)</v>
      </c>
      <c r="Q275" s="8" t="str">
        <f>TEXT(J281,"0.00")&amp;" ("&amp;TEXT(L281,"0.00")&amp;" to "&amp;TEXT(M281,"0.00")&amp;")"</f>
        <v>79.24 (78.52 to 79.96)</v>
      </c>
      <c r="R275" s="8" t="str">
        <f>TEXT(J284,"0.00")&amp;" ("&amp;TEXT(L284,"0.00")&amp;" to "&amp;TEXT(M284,"0.00")&amp;")"</f>
        <v>72.31 (71.52 to 73.11)</v>
      </c>
      <c r="S275" t="s">
        <v>24</v>
      </c>
    </row>
    <row r="276" spans="1:19" ht="17.25" thickBot="1" x14ac:dyDescent="0.35">
      <c r="A276" s="6"/>
      <c r="B276" s="12">
        <v>1</v>
      </c>
      <c r="C276" s="2">
        <v>1187</v>
      </c>
      <c r="D276" s="2">
        <v>403428</v>
      </c>
      <c r="E276" s="2">
        <v>14227</v>
      </c>
      <c r="F276" s="2">
        <v>1.3335999999999999</v>
      </c>
      <c r="G276" s="2">
        <v>4.7E-2</v>
      </c>
      <c r="H276" s="2">
        <v>1.2415</v>
      </c>
      <c r="I276" s="2">
        <v>1.4256</v>
      </c>
      <c r="J276" s="2">
        <v>5.7241</v>
      </c>
      <c r="K276" s="2">
        <v>0.2</v>
      </c>
      <c r="L276" s="2">
        <v>5.3319999999999999</v>
      </c>
      <c r="M276" s="2">
        <v>6.1162999999999998</v>
      </c>
      <c r="O276" s="8" t="str">
        <f>TEXT(J276,"0.00")&amp;" ("&amp;TEXT(L276,"0.00")&amp;" to "&amp;TEXT(M276,"0.00")&amp;")"</f>
        <v>5.72 (5.33 to 6.12)</v>
      </c>
      <c r="P276" s="8" t="str">
        <f>TEXT(J279,"0.00")&amp;" ("&amp;TEXT(L279,"0.00")&amp;" to "&amp;TEXT(M279,"0.00")&amp;")"</f>
        <v>12.13 (11.58 to 12.67)</v>
      </c>
      <c r="Q276" s="8" t="str">
        <f>TEXT(J282,"0.00")&amp;" ("&amp;TEXT(L282,"0.00")&amp;" to "&amp;TEXT(M282,"0.00")&amp;")"</f>
        <v>20.76 (20.04 to 21.48)</v>
      </c>
      <c r="R276" s="8" t="str">
        <f>TEXT(J285,"0.00")&amp;" ("&amp;TEXT(L285,"0.00")&amp;" to "&amp;TEXT(M285,"0.00")&amp;")"</f>
        <v>27.69 (26.90 to 28.48)</v>
      </c>
      <c r="S276" t="s">
        <v>24</v>
      </c>
    </row>
    <row r="277" spans="1:19" ht="17.25" thickBot="1" x14ac:dyDescent="0.35">
      <c r="A277" s="6"/>
      <c r="B277" s="12" t="s">
        <v>93</v>
      </c>
      <c r="C277" s="2">
        <v>15457</v>
      </c>
      <c r="D277" s="2">
        <v>7047841</v>
      </c>
      <c r="E277" s="2">
        <v>85770</v>
      </c>
      <c r="F277" s="2">
        <v>23.2972</v>
      </c>
      <c r="G277" s="2">
        <v>0.20880000000000001</v>
      </c>
      <c r="H277" s="2">
        <v>22.887599999999999</v>
      </c>
      <c r="I277" s="2">
        <v>23.706700000000001</v>
      </c>
      <c r="J277" s="2">
        <v>100</v>
      </c>
      <c r="K277" s="2"/>
      <c r="L277" s="2"/>
      <c r="M277" s="2"/>
      <c r="S277" t="s">
        <v>24</v>
      </c>
    </row>
    <row r="278" spans="1:19" ht="17.25" hidden="1" customHeight="1" thickBot="1" x14ac:dyDescent="0.35">
      <c r="A278" s="6">
        <v>2</v>
      </c>
      <c r="B278" s="12">
        <v>0</v>
      </c>
      <c r="C278" s="2">
        <v>14562</v>
      </c>
      <c r="D278" s="2">
        <v>6609494</v>
      </c>
      <c r="E278" s="2">
        <v>78487</v>
      </c>
      <c r="F278" s="2">
        <v>21.848199999999999</v>
      </c>
      <c r="G278" s="2">
        <v>0.18720000000000001</v>
      </c>
      <c r="H278" s="2">
        <v>21.481100000000001</v>
      </c>
      <c r="I278" s="2">
        <v>22.215299999999999</v>
      </c>
      <c r="J278" s="2">
        <v>87.873099999999994</v>
      </c>
      <c r="K278" s="2">
        <v>0.27860000000000001</v>
      </c>
      <c r="L278" s="2">
        <v>87.326800000000006</v>
      </c>
      <c r="M278" s="2">
        <v>88.419499999999999</v>
      </c>
    </row>
    <row r="279" spans="1:19" ht="17.25" hidden="1" customHeight="1" thickBot="1" x14ac:dyDescent="0.35">
      <c r="A279" s="6"/>
      <c r="B279" s="12">
        <v>1</v>
      </c>
      <c r="C279" s="2">
        <v>2760</v>
      </c>
      <c r="D279" s="2">
        <v>912139</v>
      </c>
      <c r="E279" s="2">
        <v>21673</v>
      </c>
      <c r="F279" s="2">
        <v>3.0150999999999999</v>
      </c>
      <c r="G279" s="2">
        <v>7.1199999999999999E-2</v>
      </c>
      <c r="H279" s="2">
        <v>2.8755999999999999</v>
      </c>
      <c r="I279" s="2">
        <v>3.1547000000000001</v>
      </c>
      <c r="J279" s="2">
        <v>12.126899999999999</v>
      </c>
      <c r="K279" s="2">
        <v>0.27860000000000001</v>
      </c>
      <c r="L279" s="2">
        <v>11.580500000000001</v>
      </c>
      <c r="M279" s="2">
        <v>12.6732</v>
      </c>
    </row>
    <row r="280" spans="1:19" ht="17.25" hidden="1" customHeight="1" thickBot="1" x14ac:dyDescent="0.35">
      <c r="A280" s="6"/>
      <c r="B280" s="12" t="s">
        <v>93</v>
      </c>
      <c r="C280" s="2">
        <v>17322</v>
      </c>
      <c r="D280" s="2">
        <v>7521633</v>
      </c>
      <c r="E280" s="2">
        <v>82230</v>
      </c>
      <c r="F280" s="2">
        <v>24.863299999999999</v>
      </c>
      <c r="G280" s="2">
        <v>0.1913</v>
      </c>
      <c r="H280" s="2">
        <v>24.488199999999999</v>
      </c>
      <c r="I280" s="2">
        <v>25.238399999999999</v>
      </c>
      <c r="J280" s="2">
        <v>100</v>
      </c>
      <c r="K280" s="2"/>
      <c r="L280" s="2"/>
      <c r="M280" s="2"/>
    </row>
    <row r="281" spans="1:19" ht="17.25" hidden="1" customHeight="1" thickBot="1" x14ac:dyDescent="0.35">
      <c r="A281" s="6">
        <v>3</v>
      </c>
      <c r="B281" s="12">
        <v>0</v>
      </c>
      <c r="C281" s="2">
        <v>13159</v>
      </c>
      <c r="D281" s="2">
        <v>6018899</v>
      </c>
      <c r="E281" s="2">
        <v>72776</v>
      </c>
      <c r="F281" s="2">
        <v>19.895900000000001</v>
      </c>
      <c r="G281" s="2">
        <v>0.18379999999999999</v>
      </c>
      <c r="H281" s="2">
        <v>19.535499999999999</v>
      </c>
      <c r="I281" s="2">
        <v>20.2563</v>
      </c>
      <c r="J281" s="2">
        <v>79.242000000000004</v>
      </c>
      <c r="K281" s="2">
        <v>0.3659</v>
      </c>
      <c r="L281" s="2">
        <v>78.524600000000007</v>
      </c>
      <c r="M281" s="2">
        <v>79.959400000000002</v>
      </c>
    </row>
    <row r="282" spans="1:19" ht="17.25" hidden="1" customHeight="1" thickBot="1" x14ac:dyDescent="0.35">
      <c r="A282" s="6"/>
      <c r="B282" s="12">
        <v>1</v>
      </c>
      <c r="C282" s="2">
        <v>4669</v>
      </c>
      <c r="D282" s="2">
        <v>1576695</v>
      </c>
      <c r="E282" s="2">
        <v>30574</v>
      </c>
      <c r="F282" s="2">
        <v>5.2119</v>
      </c>
      <c r="G282" s="2">
        <v>9.8400000000000001E-2</v>
      </c>
      <c r="H282" s="2">
        <v>5.0189000000000004</v>
      </c>
      <c r="I282" s="2">
        <v>5.4047999999999998</v>
      </c>
      <c r="J282" s="2">
        <v>20.757999999999999</v>
      </c>
      <c r="K282" s="2">
        <v>0.3659</v>
      </c>
      <c r="L282" s="2">
        <v>20.040600000000001</v>
      </c>
      <c r="M282" s="2">
        <v>21.4754</v>
      </c>
    </row>
    <row r="283" spans="1:19" ht="17.25" hidden="1" customHeight="1" thickBot="1" x14ac:dyDescent="0.35">
      <c r="A283" s="6"/>
      <c r="B283" s="12" t="s">
        <v>93</v>
      </c>
      <c r="C283" s="2">
        <v>17828</v>
      </c>
      <c r="D283" s="2">
        <v>7595594</v>
      </c>
      <c r="E283" s="2">
        <v>80574</v>
      </c>
      <c r="F283" s="2">
        <v>25.107800000000001</v>
      </c>
      <c r="G283" s="2">
        <v>0.19489999999999999</v>
      </c>
      <c r="H283" s="2">
        <v>24.7257</v>
      </c>
      <c r="I283" s="2">
        <v>25.489899999999999</v>
      </c>
      <c r="J283" s="2">
        <v>100</v>
      </c>
      <c r="K283" s="2"/>
      <c r="L283" s="2"/>
      <c r="M283" s="2"/>
    </row>
    <row r="284" spans="1:19" ht="17.25" hidden="1" customHeight="1" thickBot="1" x14ac:dyDescent="0.35">
      <c r="A284" s="6">
        <v>4</v>
      </c>
      <c r="B284" s="12">
        <v>0</v>
      </c>
      <c r="C284" s="2">
        <v>11919</v>
      </c>
      <c r="D284" s="2">
        <v>5847942</v>
      </c>
      <c r="E284" s="2">
        <v>71992</v>
      </c>
      <c r="F284" s="2">
        <v>19.3308</v>
      </c>
      <c r="G284" s="2">
        <v>0.1875</v>
      </c>
      <c r="H284" s="2">
        <v>18.963200000000001</v>
      </c>
      <c r="I284" s="2">
        <v>19.698399999999999</v>
      </c>
      <c r="J284" s="2">
        <v>72.313999999999993</v>
      </c>
      <c r="K284" s="2">
        <v>0.40339999999999998</v>
      </c>
      <c r="L284" s="2">
        <v>71.523099999999999</v>
      </c>
      <c r="M284" s="2">
        <v>73.105000000000004</v>
      </c>
    </row>
    <row r="285" spans="1:19" ht="17.25" hidden="1" customHeight="1" thickBot="1" x14ac:dyDescent="0.35">
      <c r="A285" s="6"/>
      <c r="B285" s="12">
        <v>1</v>
      </c>
      <c r="C285" s="2">
        <v>6109</v>
      </c>
      <c r="D285" s="2">
        <v>2238926</v>
      </c>
      <c r="E285" s="2">
        <v>39014</v>
      </c>
      <c r="F285" s="2">
        <v>7.4009</v>
      </c>
      <c r="G285" s="2">
        <v>0.1226</v>
      </c>
      <c r="H285" s="2">
        <v>7.1604999999999999</v>
      </c>
      <c r="I285" s="2">
        <v>7.6414</v>
      </c>
      <c r="J285" s="2">
        <v>27.686</v>
      </c>
      <c r="K285" s="2">
        <v>0.40339999999999998</v>
      </c>
      <c r="L285" s="2">
        <v>26.895</v>
      </c>
      <c r="M285" s="2">
        <v>28.476900000000001</v>
      </c>
    </row>
    <row r="286" spans="1:19" ht="17.25" hidden="1" customHeight="1" thickBot="1" x14ac:dyDescent="0.35">
      <c r="A286" s="6"/>
      <c r="B286" s="12" t="s">
        <v>93</v>
      </c>
      <c r="C286" s="2">
        <v>18028</v>
      </c>
      <c r="D286" s="2">
        <v>8086868</v>
      </c>
      <c r="E286" s="2">
        <v>85733</v>
      </c>
      <c r="F286" s="2">
        <v>26.7317</v>
      </c>
      <c r="G286" s="2">
        <v>0.2117</v>
      </c>
      <c r="H286" s="2">
        <v>26.316600000000001</v>
      </c>
      <c r="I286" s="2">
        <v>27.146899999999999</v>
      </c>
      <c r="J286" s="2">
        <v>100</v>
      </c>
      <c r="K286" s="2"/>
      <c r="L286" s="2"/>
      <c r="M286" s="2"/>
    </row>
    <row r="287" spans="1:19" ht="17.25" hidden="1" customHeight="1" thickBot="1" x14ac:dyDescent="0.35">
      <c r="A287" s="6" t="s">
        <v>93</v>
      </c>
      <c r="B287" s="12">
        <v>0</v>
      </c>
      <c r="C287" s="2">
        <v>53910</v>
      </c>
      <c r="D287" s="2">
        <v>25120748</v>
      </c>
      <c r="E287" s="2">
        <v>210229</v>
      </c>
      <c r="F287" s="2">
        <v>83.038499999999999</v>
      </c>
      <c r="G287" s="2">
        <v>0.19189999999999999</v>
      </c>
      <c r="H287" s="2">
        <v>82.662300000000002</v>
      </c>
      <c r="I287" s="2">
        <v>83.414699999999996</v>
      </c>
      <c r="J287" s="2"/>
      <c r="K287" s="2"/>
      <c r="L287" s="2"/>
      <c r="M287" s="2"/>
    </row>
    <row r="288" spans="1:19" ht="17.25" hidden="1" customHeight="1" thickBot="1" x14ac:dyDescent="0.35">
      <c r="A288" s="6"/>
      <c r="B288" s="12">
        <v>1</v>
      </c>
      <c r="C288" s="2">
        <v>14725</v>
      </c>
      <c r="D288" s="2">
        <v>5131188</v>
      </c>
      <c r="E288" s="2">
        <v>62498</v>
      </c>
      <c r="F288" s="2">
        <v>16.961500000000001</v>
      </c>
      <c r="G288" s="2">
        <v>0.19189999999999999</v>
      </c>
      <c r="H288" s="2">
        <v>16.5853</v>
      </c>
      <c r="I288" s="2">
        <v>17.337700000000002</v>
      </c>
      <c r="J288" s="2"/>
      <c r="K288" s="2"/>
      <c r="L288" s="2"/>
      <c r="M288" s="2"/>
    </row>
    <row r="289" spans="1:19" ht="16.5" hidden="1" customHeight="1" x14ac:dyDescent="0.3">
      <c r="A289" s="6"/>
      <c r="B289" s="15" t="s">
        <v>93</v>
      </c>
      <c r="C289" s="2">
        <v>68635</v>
      </c>
      <c r="D289" s="2">
        <v>30251936</v>
      </c>
      <c r="E289" s="2">
        <v>228758</v>
      </c>
      <c r="F289" s="2">
        <v>100</v>
      </c>
      <c r="G289" s="2"/>
      <c r="H289" s="2"/>
      <c r="I289" s="2"/>
      <c r="J289" s="2"/>
      <c r="K289" s="2"/>
      <c r="L289" s="2"/>
      <c r="M289" s="2"/>
    </row>
    <row r="290" spans="1:19" ht="16.5" hidden="1" customHeight="1" x14ac:dyDescent="0.3"/>
    <row r="291" spans="1:19" ht="16.5" hidden="1" customHeight="1" x14ac:dyDescent="0.3">
      <c r="A291" s="24" t="s">
        <v>125</v>
      </c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</row>
    <row r="292" spans="1:19" ht="33" hidden="1" customHeight="1" x14ac:dyDescent="0.3">
      <c r="A292" s="25" t="s">
        <v>28</v>
      </c>
      <c r="B292" s="27" t="s">
        <v>16</v>
      </c>
      <c r="C292" s="27" t="s">
        <v>86</v>
      </c>
      <c r="D292" s="3" t="s">
        <v>87</v>
      </c>
      <c r="E292" s="3" t="s">
        <v>88</v>
      </c>
      <c r="F292" s="27" t="s">
        <v>90</v>
      </c>
      <c r="G292" s="3" t="s">
        <v>88</v>
      </c>
      <c r="H292" s="27" t="s">
        <v>91</v>
      </c>
      <c r="I292" s="27"/>
      <c r="J292" s="3" t="s">
        <v>109</v>
      </c>
      <c r="K292" s="3" t="s">
        <v>88</v>
      </c>
      <c r="L292" s="27" t="s">
        <v>91</v>
      </c>
      <c r="M292" s="27"/>
    </row>
    <row r="293" spans="1:19" ht="33" hidden="1" customHeight="1" x14ac:dyDescent="0.3">
      <c r="A293" s="25"/>
      <c r="B293" s="27"/>
      <c r="C293" s="27"/>
      <c r="D293" s="3" t="s">
        <v>86</v>
      </c>
      <c r="E293" s="3" t="s">
        <v>89</v>
      </c>
      <c r="F293" s="27"/>
      <c r="G293" s="3" t="s">
        <v>90</v>
      </c>
      <c r="H293" s="27" t="s">
        <v>92</v>
      </c>
      <c r="I293" s="27"/>
      <c r="J293" s="3" t="s">
        <v>90</v>
      </c>
      <c r="K293" s="3" t="s">
        <v>110</v>
      </c>
      <c r="L293" s="27" t="s">
        <v>111</v>
      </c>
      <c r="M293" s="27"/>
    </row>
    <row r="294" spans="1:19" ht="17.25" thickBot="1" x14ac:dyDescent="0.35">
      <c r="A294" s="6">
        <v>1</v>
      </c>
      <c r="B294" s="12">
        <v>0</v>
      </c>
      <c r="C294" s="2">
        <v>14498</v>
      </c>
      <c r="D294" s="2">
        <v>6695472</v>
      </c>
      <c r="E294" s="2">
        <v>83002</v>
      </c>
      <c r="F294" s="2">
        <v>22.132400000000001</v>
      </c>
      <c r="G294" s="2">
        <v>0.2039</v>
      </c>
      <c r="H294" s="2">
        <v>21.732600000000001</v>
      </c>
      <c r="I294" s="2">
        <v>22.5321</v>
      </c>
      <c r="J294" s="2">
        <v>95.000299999999996</v>
      </c>
      <c r="K294" s="2">
        <v>0.187</v>
      </c>
      <c r="L294" s="2">
        <v>94.633700000000005</v>
      </c>
      <c r="M294" s="2">
        <v>95.367000000000004</v>
      </c>
      <c r="O294" s="8" t="str">
        <f>TEXT(J294,"0.00")&amp;" ("&amp;TEXT(L294,"0.00")&amp;" to "&amp;TEXT(M294,"0.00")&amp;")"</f>
        <v>95.00 (94.63 to 95.37)</v>
      </c>
      <c r="P294" s="8" t="str">
        <f>TEXT(J297,"0.00")&amp;" ("&amp;TEXT(L297,"0.00")&amp;" to "&amp;TEXT(M297,"0.00")&amp;")"</f>
        <v>89.82 (89.32 to 90.32)</v>
      </c>
      <c r="Q294" s="8" t="str">
        <f>TEXT(J300,"0.00")&amp;" ("&amp;TEXT(L300,"0.00")&amp;" to "&amp;TEXT(M300,"0.00")&amp;")"</f>
        <v>84.60 (83.99 to 85.22)</v>
      </c>
      <c r="R294" s="8" t="str">
        <f>TEXT(J303,"0.00")&amp;" ("&amp;TEXT(L303,"0.00")&amp;" to "&amp;TEXT(M303,"0.00")&amp;")"</f>
        <v>81.37 (80.70 to 82.03)</v>
      </c>
      <c r="S294" t="s">
        <v>24</v>
      </c>
    </row>
    <row r="295" spans="1:19" ht="17.25" thickBot="1" x14ac:dyDescent="0.35">
      <c r="A295" s="6"/>
      <c r="B295" s="12">
        <v>1</v>
      </c>
      <c r="C295" s="2">
        <v>959</v>
      </c>
      <c r="D295" s="2">
        <v>352369</v>
      </c>
      <c r="E295" s="2">
        <v>13714</v>
      </c>
      <c r="F295" s="2">
        <v>1.1648000000000001</v>
      </c>
      <c r="G295" s="2">
        <v>4.4600000000000001E-2</v>
      </c>
      <c r="H295" s="2">
        <v>1.0772999999999999</v>
      </c>
      <c r="I295" s="2">
        <v>1.2523</v>
      </c>
      <c r="J295" s="2">
        <v>4.9996999999999998</v>
      </c>
      <c r="K295" s="2">
        <v>0.187</v>
      </c>
      <c r="L295" s="2">
        <v>4.633</v>
      </c>
      <c r="M295" s="2">
        <v>5.3662999999999998</v>
      </c>
      <c r="O295" s="8" t="str">
        <f>TEXT(J295,"0.00")&amp;" ("&amp;TEXT(L295,"0.00")&amp;" to "&amp;TEXT(M295,"0.00")&amp;")"</f>
        <v>5.00 (4.63 to 5.37)</v>
      </c>
      <c r="P295" s="8" t="str">
        <f>TEXT(J298,"0.00")&amp;" ("&amp;TEXT(L298,"0.00")&amp;" to "&amp;TEXT(M298,"0.00")&amp;")"</f>
        <v>10.18 (9.68 to 10.68)</v>
      </c>
      <c r="Q295" s="8" t="str">
        <f>TEXT(J301,"0.00")&amp;" ("&amp;TEXT(L301,"0.00")&amp;" to "&amp;TEXT(M301,"0.00")&amp;")"</f>
        <v>15.40 (14.78 to 16.01)</v>
      </c>
      <c r="R295" s="8" t="str">
        <f>TEXT(J304,"0.00")&amp;" ("&amp;TEXT(L304,"0.00")&amp;" to "&amp;TEXT(M304,"0.00")&amp;")"</f>
        <v>18.63 (17.97 to 19.30)</v>
      </c>
      <c r="S295" t="s">
        <v>24</v>
      </c>
    </row>
    <row r="296" spans="1:19" ht="17.25" thickBot="1" x14ac:dyDescent="0.35">
      <c r="A296" s="6"/>
      <c r="B296" s="12" t="s">
        <v>93</v>
      </c>
      <c r="C296" s="2">
        <v>15457</v>
      </c>
      <c r="D296" s="2">
        <v>7047841</v>
      </c>
      <c r="E296" s="2">
        <v>85770</v>
      </c>
      <c r="F296" s="2">
        <v>23.2972</v>
      </c>
      <c r="G296" s="2">
        <v>0.20880000000000001</v>
      </c>
      <c r="H296" s="2">
        <v>22.887599999999999</v>
      </c>
      <c r="I296" s="2">
        <v>23.706700000000001</v>
      </c>
      <c r="J296" s="2">
        <v>100</v>
      </c>
      <c r="K296" s="2"/>
      <c r="L296" s="2"/>
      <c r="M296" s="2"/>
      <c r="S296" t="s">
        <v>24</v>
      </c>
    </row>
    <row r="297" spans="1:19" ht="17.25" hidden="1" customHeight="1" thickBot="1" x14ac:dyDescent="0.35">
      <c r="A297" s="6">
        <v>2</v>
      </c>
      <c r="B297" s="12">
        <v>0</v>
      </c>
      <c r="C297" s="2">
        <v>15173</v>
      </c>
      <c r="D297" s="2">
        <v>6755605</v>
      </c>
      <c r="E297" s="2">
        <v>77720</v>
      </c>
      <c r="F297" s="2">
        <v>22.331099999999999</v>
      </c>
      <c r="G297" s="2">
        <v>0.18509999999999999</v>
      </c>
      <c r="H297" s="2">
        <v>21.9682</v>
      </c>
      <c r="I297" s="2">
        <v>22.694099999999999</v>
      </c>
      <c r="J297" s="2">
        <v>89.815700000000007</v>
      </c>
      <c r="K297" s="2">
        <v>0.25530000000000003</v>
      </c>
      <c r="L297" s="2">
        <v>89.315100000000001</v>
      </c>
      <c r="M297" s="2">
        <v>90.316299999999998</v>
      </c>
    </row>
    <row r="298" spans="1:19" ht="17.25" hidden="1" customHeight="1" thickBot="1" x14ac:dyDescent="0.35">
      <c r="A298" s="6"/>
      <c r="B298" s="12">
        <v>1</v>
      </c>
      <c r="C298" s="2">
        <v>2149</v>
      </c>
      <c r="D298" s="2">
        <v>766028</v>
      </c>
      <c r="E298" s="2">
        <v>20354</v>
      </c>
      <c r="F298" s="2">
        <v>2.5322</v>
      </c>
      <c r="G298" s="2">
        <v>6.5799999999999997E-2</v>
      </c>
      <c r="H298" s="2">
        <v>2.4032</v>
      </c>
      <c r="I298" s="2">
        <v>2.6612</v>
      </c>
      <c r="J298" s="2">
        <v>10.1843</v>
      </c>
      <c r="K298" s="2">
        <v>0.25530000000000003</v>
      </c>
      <c r="L298" s="2">
        <v>9.6837</v>
      </c>
      <c r="M298" s="2">
        <v>10.684900000000001</v>
      </c>
    </row>
    <row r="299" spans="1:19" ht="17.25" hidden="1" customHeight="1" thickBot="1" x14ac:dyDescent="0.35">
      <c r="A299" s="6"/>
      <c r="B299" s="12" t="s">
        <v>93</v>
      </c>
      <c r="C299" s="2">
        <v>17322</v>
      </c>
      <c r="D299" s="2">
        <v>7521633</v>
      </c>
      <c r="E299" s="2">
        <v>82230</v>
      </c>
      <c r="F299" s="2">
        <v>24.863299999999999</v>
      </c>
      <c r="G299" s="2">
        <v>0.1913</v>
      </c>
      <c r="H299" s="2">
        <v>24.488199999999999</v>
      </c>
      <c r="I299" s="2">
        <v>25.238399999999999</v>
      </c>
      <c r="J299" s="2">
        <v>100</v>
      </c>
      <c r="K299" s="2"/>
      <c r="L299" s="2"/>
      <c r="M299" s="2"/>
    </row>
    <row r="300" spans="1:19" ht="17.25" hidden="1" customHeight="1" thickBot="1" x14ac:dyDescent="0.35">
      <c r="A300" s="6">
        <v>3</v>
      </c>
      <c r="B300" s="12">
        <v>0</v>
      </c>
      <c r="C300" s="2">
        <v>14601</v>
      </c>
      <c r="D300" s="2">
        <v>6426194</v>
      </c>
      <c r="E300" s="2">
        <v>74194</v>
      </c>
      <c r="F300" s="2">
        <v>21.2423</v>
      </c>
      <c r="G300" s="2">
        <v>0.18640000000000001</v>
      </c>
      <c r="H300" s="2">
        <v>20.8767</v>
      </c>
      <c r="I300" s="2">
        <v>21.607800000000001</v>
      </c>
      <c r="J300" s="2">
        <v>84.604200000000006</v>
      </c>
      <c r="K300" s="2">
        <v>0.3115</v>
      </c>
      <c r="L300" s="2">
        <v>83.993399999999994</v>
      </c>
      <c r="M300" s="2">
        <v>85.215100000000007</v>
      </c>
    </row>
    <row r="301" spans="1:19" ht="17.25" hidden="1" customHeight="1" thickBot="1" x14ac:dyDescent="0.35">
      <c r="A301" s="6"/>
      <c r="B301" s="12">
        <v>1</v>
      </c>
      <c r="C301" s="2">
        <v>3227</v>
      </c>
      <c r="D301" s="2">
        <v>1169400</v>
      </c>
      <c r="E301" s="2">
        <v>25683</v>
      </c>
      <c r="F301" s="2">
        <v>3.8654999999999999</v>
      </c>
      <c r="G301" s="2">
        <v>8.2199999999999995E-2</v>
      </c>
      <c r="H301" s="2">
        <v>3.7044000000000001</v>
      </c>
      <c r="I301" s="2">
        <v>4.0266999999999999</v>
      </c>
      <c r="J301" s="2">
        <v>15.395799999999999</v>
      </c>
      <c r="K301" s="2">
        <v>0.3115</v>
      </c>
      <c r="L301" s="2">
        <v>14.7849</v>
      </c>
      <c r="M301" s="2">
        <v>16.006599999999999</v>
      </c>
    </row>
    <row r="302" spans="1:19" ht="17.25" hidden="1" customHeight="1" thickBot="1" x14ac:dyDescent="0.35">
      <c r="A302" s="6"/>
      <c r="B302" s="12" t="s">
        <v>93</v>
      </c>
      <c r="C302" s="2">
        <v>17828</v>
      </c>
      <c r="D302" s="2">
        <v>7595594</v>
      </c>
      <c r="E302" s="2">
        <v>80574</v>
      </c>
      <c r="F302" s="2">
        <v>25.107800000000001</v>
      </c>
      <c r="G302" s="2">
        <v>0.19489999999999999</v>
      </c>
      <c r="H302" s="2">
        <v>24.7257</v>
      </c>
      <c r="I302" s="2">
        <v>25.489899999999999</v>
      </c>
      <c r="J302" s="2">
        <v>100</v>
      </c>
      <c r="K302" s="2"/>
      <c r="L302" s="2"/>
      <c r="M302" s="2"/>
    </row>
    <row r="303" spans="1:19" ht="17.25" hidden="1" customHeight="1" thickBot="1" x14ac:dyDescent="0.35">
      <c r="A303" s="6">
        <v>4</v>
      </c>
      <c r="B303" s="12">
        <v>0</v>
      </c>
      <c r="C303" s="2">
        <v>14195</v>
      </c>
      <c r="D303" s="2">
        <v>6579936</v>
      </c>
      <c r="E303" s="2">
        <v>75330</v>
      </c>
      <c r="F303" s="2">
        <v>21.750499999999999</v>
      </c>
      <c r="G303" s="2">
        <v>0.1915</v>
      </c>
      <c r="H303" s="2">
        <v>21.3749</v>
      </c>
      <c r="I303" s="2">
        <v>22.126000000000001</v>
      </c>
      <c r="J303" s="2">
        <v>81.365700000000004</v>
      </c>
      <c r="K303" s="2">
        <v>0.3392</v>
      </c>
      <c r="L303" s="2">
        <v>80.700500000000005</v>
      </c>
      <c r="M303" s="2">
        <v>82.030900000000003</v>
      </c>
    </row>
    <row r="304" spans="1:19" ht="17.25" hidden="1" customHeight="1" thickBot="1" x14ac:dyDescent="0.35">
      <c r="A304" s="6"/>
      <c r="B304" s="12">
        <v>1</v>
      </c>
      <c r="C304" s="2">
        <v>3833</v>
      </c>
      <c r="D304" s="2">
        <v>1506932</v>
      </c>
      <c r="E304" s="2">
        <v>31544</v>
      </c>
      <c r="F304" s="2">
        <v>4.9813000000000001</v>
      </c>
      <c r="G304" s="2">
        <v>0.1003</v>
      </c>
      <c r="H304" s="2">
        <v>4.7846000000000002</v>
      </c>
      <c r="I304" s="2">
        <v>5.1779000000000002</v>
      </c>
      <c r="J304" s="2">
        <v>18.6343</v>
      </c>
      <c r="K304" s="2">
        <v>0.3392</v>
      </c>
      <c r="L304" s="2">
        <v>17.969100000000001</v>
      </c>
      <c r="M304" s="2">
        <v>19.299499999999998</v>
      </c>
    </row>
    <row r="305" spans="1:19" ht="17.25" hidden="1" customHeight="1" thickBot="1" x14ac:dyDescent="0.35">
      <c r="A305" s="6"/>
      <c r="B305" s="12" t="s">
        <v>93</v>
      </c>
      <c r="C305" s="2">
        <v>18028</v>
      </c>
      <c r="D305" s="2">
        <v>8086868</v>
      </c>
      <c r="E305" s="2">
        <v>85733</v>
      </c>
      <c r="F305" s="2">
        <v>26.7317</v>
      </c>
      <c r="G305" s="2">
        <v>0.2117</v>
      </c>
      <c r="H305" s="2">
        <v>26.316600000000001</v>
      </c>
      <c r="I305" s="2">
        <v>27.146899999999999</v>
      </c>
      <c r="J305" s="2">
        <v>100</v>
      </c>
      <c r="K305" s="2"/>
      <c r="L305" s="2"/>
      <c r="M305" s="2"/>
    </row>
    <row r="306" spans="1:19" ht="17.25" hidden="1" customHeight="1" thickBot="1" x14ac:dyDescent="0.35">
      <c r="A306" s="6" t="s">
        <v>93</v>
      </c>
      <c r="B306" s="12">
        <v>0</v>
      </c>
      <c r="C306" s="2">
        <v>58467</v>
      </c>
      <c r="D306" s="2">
        <v>26457207</v>
      </c>
      <c r="E306" s="2">
        <v>211261</v>
      </c>
      <c r="F306" s="2">
        <v>87.456199999999995</v>
      </c>
      <c r="G306" s="2">
        <v>0.1542</v>
      </c>
      <c r="H306" s="2">
        <v>87.153800000000004</v>
      </c>
      <c r="I306" s="2">
        <v>87.758700000000005</v>
      </c>
      <c r="J306" s="2"/>
      <c r="K306" s="2"/>
      <c r="L306" s="2"/>
      <c r="M306" s="2"/>
    </row>
    <row r="307" spans="1:19" ht="17.25" hidden="1" customHeight="1" thickBot="1" x14ac:dyDescent="0.35">
      <c r="A307" s="6"/>
      <c r="B307" s="12">
        <v>1</v>
      </c>
      <c r="C307" s="2">
        <v>10168</v>
      </c>
      <c r="D307" s="2">
        <v>3794729</v>
      </c>
      <c r="E307" s="2">
        <v>51502</v>
      </c>
      <c r="F307" s="2">
        <v>12.543799999999999</v>
      </c>
      <c r="G307" s="2">
        <v>0.1542</v>
      </c>
      <c r="H307" s="2">
        <v>12.241300000000001</v>
      </c>
      <c r="I307" s="2">
        <v>12.8462</v>
      </c>
      <c r="J307" s="2"/>
      <c r="K307" s="2"/>
      <c r="L307" s="2"/>
      <c r="M307" s="2"/>
    </row>
    <row r="308" spans="1:19" ht="16.5" hidden="1" customHeight="1" x14ac:dyDescent="0.3">
      <c r="A308" s="6"/>
      <c r="B308" s="15" t="s">
        <v>93</v>
      </c>
      <c r="C308" s="2">
        <v>68635</v>
      </c>
      <c r="D308" s="2">
        <v>30251936</v>
      </c>
      <c r="E308" s="2">
        <v>228758</v>
      </c>
      <c r="F308" s="2">
        <v>100</v>
      </c>
      <c r="G308" s="2"/>
      <c r="H308" s="2"/>
      <c r="I308" s="2"/>
      <c r="J308" s="2"/>
      <c r="K308" s="2"/>
      <c r="L308" s="2"/>
      <c r="M308" s="2"/>
    </row>
    <row r="309" spans="1:19" ht="16.5" hidden="1" customHeight="1" x14ac:dyDescent="0.3"/>
    <row r="310" spans="1:19" ht="16.5" hidden="1" customHeight="1" x14ac:dyDescent="0.3">
      <c r="A310" s="24" t="s">
        <v>126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</row>
    <row r="311" spans="1:19" ht="33" hidden="1" customHeight="1" x14ac:dyDescent="0.3">
      <c r="A311" s="25" t="s">
        <v>28</v>
      </c>
      <c r="B311" s="27" t="s">
        <v>17</v>
      </c>
      <c r="C311" s="27" t="s">
        <v>86</v>
      </c>
      <c r="D311" s="3" t="s">
        <v>87</v>
      </c>
      <c r="E311" s="3" t="s">
        <v>88</v>
      </c>
      <c r="F311" s="27" t="s">
        <v>90</v>
      </c>
      <c r="G311" s="3" t="s">
        <v>88</v>
      </c>
      <c r="H311" s="27" t="s">
        <v>91</v>
      </c>
      <c r="I311" s="27"/>
      <c r="J311" s="3" t="s">
        <v>109</v>
      </c>
      <c r="K311" s="3" t="s">
        <v>88</v>
      </c>
      <c r="L311" s="27" t="s">
        <v>91</v>
      </c>
      <c r="M311" s="27"/>
    </row>
    <row r="312" spans="1:19" ht="33" hidden="1" customHeight="1" x14ac:dyDescent="0.3">
      <c r="A312" s="25"/>
      <c r="B312" s="27"/>
      <c r="C312" s="27"/>
      <c r="D312" s="3" t="s">
        <v>86</v>
      </c>
      <c r="E312" s="3" t="s">
        <v>89</v>
      </c>
      <c r="F312" s="27"/>
      <c r="G312" s="3" t="s">
        <v>90</v>
      </c>
      <c r="H312" s="27" t="s">
        <v>92</v>
      </c>
      <c r="I312" s="27"/>
      <c r="J312" s="3" t="s">
        <v>90</v>
      </c>
      <c r="K312" s="3" t="s">
        <v>110</v>
      </c>
      <c r="L312" s="27" t="s">
        <v>111</v>
      </c>
      <c r="M312" s="27"/>
    </row>
    <row r="313" spans="1:19" ht="17.25" thickBot="1" x14ac:dyDescent="0.35">
      <c r="A313" s="6">
        <v>1</v>
      </c>
      <c r="B313" s="12">
        <v>0</v>
      </c>
      <c r="C313" s="2">
        <v>15343</v>
      </c>
      <c r="D313" s="2">
        <v>7012565</v>
      </c>
      <c r="E313" s="2">
        <v>85731</v>
      </c>
      <c r="F313" s="2">
        <v>23.180499999999999</v>
      </c>
      <c r="G313" s="2">
        <v>0.20880000000000001</v>
      </c>
      <c r="H313" s="2">
        <v>22.771000000000001</v>
      </c>
      <c r="I313" s="2">
        <v>23.5901</v>
      </c>
      <c r="J313" s="2">
        <v>99.499499999999998</v>
      </c>
      <c r="K313" s="2">
        <v>5.6300000000000003E-2</v>
      </c>
      <c r="L313" s="2">
        <v>99.389099999999999</v>
      </c>
      <c r="M313" s="2">
        <v>99.609899999999996</v>
      </c>
      <c r="O313" s="8" t="str">
        <f>TEXT(J313,"0.00")&amp;" ("&amp;TEXT(L313,"0.00")&amp;" to "&amp;TEXT(M313,"0.00")&amp;")"</f>
        <v>99.50 (99.39 to 99.61)</v>
      </c>
      <c r="P313" s="8" t="str">
        <f>TEXT(J316,"0.00")&amp;" ("&amp;TEXT(L316,"0.00")&amp;" to "&amp;TEXT(M316,"0.00")&amp;")"</f>
        <v>98.76 (98.59 to 98.94)</v>
      </c>
      <c r="Q313" s="8" t="str">
        <f>TEXT(J319,"0.00")&amp;" ("&amp;TEXT(L319,"0.00")&amp;" to "&amp;TEXT(M319,"0.00")&amp;")"</f>
        <v>98.18 (97.97 to 98.40)</v>
      </c>
      <c r="R313" s="8" t="str">
        <f>TEXT(J322,"0.00")&amp;" ("&amp;TEXT(L322,"0.00")&amp;" to "&amp;TEXT(M322,"0.00")&amp;")"</f>
        <v>98.19 (97.99 to 98.39)</v>
      </c>
      <c r="S313" t="s">
        <v>24</v>
      </c>
    </row>
    <row r="314" spans="1:19" ht="17.25" thickBot="1" x14ac:dyDescent="0.35">
      <c r="A314" s="6"/>
      <c r="B314" s="12">
        <v>1</v>
      </c>
      <c r="C314" s="2">
        <v>114</v>
      </c>
      <c r="D314" s="2">
        <v>35276</v>
      </c>
      <c r="E314" s="2">
        <v>3959</v>
      </c>
      <c r="F314" s="2">
        <v>0.1166</v>
      </c>
      <c r="G314" s="2">
        <v>1.3100000000000001E-2</v>
      </c>
      <c r="H314" s="2">
        <v>9.0899999999999995E-2</v>
      </c>
      <c r="I314" s="2">
        <v>0.14230000000000001</v>
      </c>
      <c r="J314" s="2">
        <v>0.50049999999999994</v>
      </c>
      <c r="K314" s="2">
        <v>5.6300000000000003E-2</v>
      </c>
      <c r="L314" s="2">
        <v>0.3901</v>
      </c>
      <c r="M314" s="2">
        <v>0.6109</v>
      </c>
      <c r="O314" s="8" t="str">
        <f>TEXT(J314,"0.00")&amp;" ("&amp;TEXT(L314,"0.00")&amp;" to "&amp;TEXT(M314,"0.00")&amp;")"</f>
        <v>0.50 (0.39 to 0.61)</v>
      </c>
      <c r="P314" s="8" t="str">
        <f>TEXT(J317,"0.00")&amp;" ("&amp;TEXT(L317,"0.00")&amp;" to "&amp;TEXT(M317,"0.00")&amp;")"</f>
        <v>1.24 (1.06 to 1.41)</v>
      </c>
      <c r="Q314" s="8" t="str">
        <f>TEXT(J320,"0.00")&amp;" ("&amp;TEXT(L320,"0.00")&amp;" to "&amp;TEXT(M320,"0.00")&amp;")"</f>
        <v>1.82 (1.60 to 2.03)</v>
      </c>
      <c r="R314" s="8" t="str">
        <f>TEXT(J323,"0.00")&amp;" ("&amp;TEXT(L323,"0.00")&amp;" to "&amp;TEXT(M323,"0.00")&amp;")"</f>
        <v>1.81 (1.61 to 2.01)</v>
      </c>
      <c r="S314" t="s">
        <v>24</v>
      </c>
    </row>
    <row r="315" spans="1:19" ht="17.25" thickBot="1" x14ac:dyDescent="0.35">
      <c r="A315" s="6"/>
      <c r="B315" s="12" t="s">
        <v>93</v>
      </c>
      <c r="C315" s="2">
        <v>15457</v>
      </c>
      <c r="D315" s="2">
        <v>7047841</v>
      </c>
      <c r="E315" s="2">
        <v>85770</v>
      </c>
      <c r="F315" s="2">
        <v>23.2972</v>
      </c>
      <c r="G315" s="2">
        <v>0.20880000000000001</v>
      </c>
      <c r="H315" s="2">
        <v>22.887599999999999</v>
      </c>
      <c r="I315" s="2">
        <v>23.706700000000001</v>
      </c>
      <c r="J315" s="2">
        <v>100</v>
      </c>
      <c r="K315" s="2"/>
      <c r="L315" s="2"/>
      <c r="M315" s="2"/>
      <c r="S315" t="s">
        <v>24</v>
      </c>
    </row>
    <row r="316" spans="1:19" ht="17.25" hidden="1" customHeight="1" thickBot="1" x14ac:dyDescent="0.35">
      <c r="A316" s="6">
        <v>2</v>
      </c>
      <c r="B316" s="12">
        <v>0</v>
      </c>
      <c r="C316" s="2">
        <v>17044</v>
      </c>
      <c r="D316" s="2">
        <v>7428480</v>
      </c>
      <c r="E316" s="2">
        <v>81817</v>
      </c>
      <c r="F316" s="2">
        <v>24.555399999999999</v>
      </c>
      <c r="G316" s="2">
        <v>0.19070000000000001</v>
      </c>
      <c r="H316" s="2">
        <v>24.1815</v>
      </c>
      <c r="I316" s="2">
        <v>24.929300000000001</v>
      </c>
      <c r="J316" s="2">
        <v>98.761499999999998</v>
      </c>
      <c r="K316" s="2">
        <v>8.9700000000000002E-2</v>
      </c>
      <c r="L316" s="2">
        <v>98.585700000000003</v>
      </c>
      <c r="M316" s="2">
        <v>98.937399999999997</v>
      </c>
    </row>
    <row r="317" spans="1:19" ht="17.25" hidden="1" customHeight="1" thickBot="1" x14ac:dyDescent="0.35">
      <c r="A317" s="6"/>
      <c r="B317" s="12">
        <v>1</v>
      </c>
      <c r="C317" s="2">
        <v>278</v>
      </c>
      <c r="D317" s="2">
        <v>93153</v>
      </c>
      <c r="E317" s="2">
        <v>6772</v>
      </c>
      <c r="F317" s="2">
        <v>0.30790000000000001</v>
      </c>
      <c r="G317" s="2">
        <v>2.24E-2</v>
      </c>
      <c r="H317" s="2">
        <v>0.2641</v>
      </c>
      <c r="I317" s="2">
        <v>0.3518</v>
      </c>
      <c r="J317" s="2">
        <v>1.2384999999999999</v>
      </c>
      <c r="K317" s="2">
        <v>8.9700000000000002E-2</v>
      </c>
      <c r="L317" s="2">
        <v>1.0626</v>
      </c>
      <c r="M317" s="2">
        <v>1.4142999999999999</v>
      </c>
    </row>
    <row r="318" spans="1:19" ht="17.25" hidden="1" customHeight="1" thickBot="1" x14ac:dyDescent="0.35">
      <c r="A318" s="6"/>
      <c r="B318" s="12" t="s">
        <v>93</v>
      </c>
      <c r="C318" s="2">
        <v>17322</v>
      </c>
      <c r="D318" s="2">
        <v>7521633</v>
      </c>
      <c r="E318" s="2">
        <v>82230</v>
      </c>
      <c r="F318" s="2">
        <v>24.863299999999999</v>
      </c>
      <c r="G318" s="2">
        <v>0.1913</v>
      </c>
      <c r="H318" s="2">
        <v>24.488199999999999</v>
      </c>
      <c r="I318" s="2">
        <v>25.238399999999999</v>
      </c>
      <c r="J318" s="2">
        <v>100</v>
      </c>
      <c r="K318" s="2"/>
      <c r="L318" s="2"/>
      <c r="M318" s="2"/>
    </row>
    <row r="319" spans="1:19" ht="17.25" hidden="1" customHeight="1" thickBot="1" x14ac:dyDescent="0.35">
      <c r="A319" s="6">
        <v>3</v>
      </c>
      <c r="B319" s="12">
        <v>0</v>
      </c>
      <c r="C319" s="2">
        <v>17391</v>
      </c>
      <c r="D319" s="2">
        <v>7457618</v>
      </c>
      <c r="E319" s="2">
        <v>79952</v>
      </c>
      <c r="F319" s="2">
        <v>24.651700000000002</v>
      </c>
      <c r="G319" s="2">
        <v>0.19359999999999999</v>
      </c>
      <c r="H319" s="2">
        <v>24.272099999999998</v>
      </c>
      <c r="I319" s="2">
        <v>25.031400000000001</v>
      </c>
      <c r="J319" s="2">
        <v>98.183499999999995</v>
      </c>
      <c r="K319" s="2">
        <v>0.108</v>
      </c>
      <c r="L319" s="2">
        <v>97.971699999999998</v>
      </c>
      <c r="M319" s="2">
        <v>98.395200000000003</v>
      </c>
    </row>
    <row r="320" spans="1:19" ht="17.25" hidden="1" customHeight="1" thickBot="1" x14ac:dyDescent="0.35">
      <c r="A320" s="6"/>
      <c r="B320" s="12">
        <v>1</v>
      </c>
      <c r="C320" s="2">
        <v>437</v>
      </c>
      <c r="D320" s="2">
        <v>137976</v>
      </c>
      <c r="E320" s="2">
        <v>8259</v>
      </c>
      <c r="F320" s="2">
        <v>0.45610000000000001</v>
      </c>
      <c r="G320" s="2">
        <v>2.7300000000000001E-2</v>
      </c>
      <c r="H320" s="2">
        <v>0.40260000000000001</v>
      </c>
      <c r="I320" s="2">
        <v>0.50960000000000005</v>
      </c>
      <c r="J320" s="2">
        <v>1.8165</v>
      </c>
      <c r="K320" s="2">
        <v>0.108</v>
      </c>
      <c r="L320" s="2">
        <v>1.6048</v>
      </c>
      <c r="M320" s="2">
        <v>2.0283000000000002</v>
      </c>
    </row>
    <row r="321" spans="1:19" ht="17.25" hidden="1" customHeight="1" thickBot="1" x14ac:dyDescent="0.35">
      <c r="A321" s="6"/>
      <c r="B321" s="12" t="s">
        <v>93</v>
      </c>
      <c r="C321" s="2">
        <v>17828</v>
      </c>
      <c r="D321" s="2">
        <v>7595594</v>
      </c>
      <c r="E321" s="2">
        <v>80574</v>
      </c>
      <c r="F321" s="2">
        <v>25.107800000000001</v>
      </c>
      <c r="G321" s="2">
        <v>0.19489999999999999</v>
      </c>
      <c r="H321" s="2">
        <v>24.7257</v>
      </c>
      <c r="I321" s="2">
        <v>25.489899999999999</v>
      </c>
      <c r="J321" s="2">
        <v>100</v>
      </c>
      <c r="K321" s="2"/>
      <c r="L321" s="2"/>
      <c r="M321" s="2"/>
    </row>
    <row r="322" spans="1:19" ht="17.25" hidden="1" customHeight="1" thickBot="1" x14ac:dyDescent="0.35">
      <c r="A322" s="6">
        <v>4</v>
      </c>
      <c r="B322" s="12">
        <v>0</v>
      </c>
      <c r="C322" s="2">
        <v>17566</v>
      </c>
      <c r="D322" s="2">
        <v>7940661</v>
      </c>
      <c r="E322" s="2">
        <v>85043</v>
      </c>
      <c r="F322" s="2">
        <v>26.2484</v>
      </c>
      <c r="G322" s="2">
        <v>0.20960000000000001</v>
      </c>
      <c r="H322" s="2">
        <v>25.837399999999999</v>
      </c>
      <c r="I322" s="2">
        <v>26.659400000000002</v>
      </c>
      <c r="J322" s="2">
        <v>98.191999999999993</v>
      </c>
      <c r="K322" s="2">
        <v>0.10059999999999999</v>
      </c>
      <c r="L322" s="2">
        <v>97.994799999999998</v>
      </c>
      <c r="M322" s="2">
        <v>98.389300000000006</v>
      </c>
    </row>
    <row r="323" spans="1:19" ht="17.25" hidden="1" customHeight="1" thickBot="1" x14ac:dyDescent="0.35">
      <c r="A323" s="6"/>
      <c r="B323" s="12">
        <v>1</v>
      </c>
      <c r="C323" s="2">
        <v>462</v>
      </c>
      <c r="D323" s="2">
        <v>146207</v>
      </c>
      <c r="E323" s="2">
        <v>8194</v>
      </c>
      <c r="F323" s="2">
        <v>0.48330000000000001</v>
      </c>
      <c r="G323" s="2">
        <v>2.7199999999999998E-2</v>
      </c>
      <c r="H323" s="2">
        <v>0.43</v>
      </c>
      <c r="I323" s="2">
        <v>0.53659999999999997</v>
      </c>
      <c r="J323" s="2">
        <v>1.8080000000000001</v>
      </c>
      <c r="K323" s="2">
        <v>0.10059999999999999</v>
      </c>
      <c r="L323" s="2">
        <v>1.6107</v>
      </c>
      <c r="M323" s="2">
        <v>2.0051999999999999</v>
      </c>
    </row>
    <row r="324" spans="1:19" ht="17.25" hidden="1" customHeight="1" thickBot="1" x14ac:dyDescent="0.35">
      <c r="A324" s="6"/>
      <c r="B324" s="12" t="s">
        <v>93</v>
      </c>
      <c r="C324" s="2">
        <v>18028</v>
      </c>
      <c r="D324" s="2">
        <v>8086868</v>
      </c>
      <c r="E324" s="2">
        <v>85733</v>
      </c>
      <c r="F324" s="2">
        <v>26.7317</v>
      </c>
      <c r="G324" s="2">
        <v>0.2117</v>
      </c>
      <c r="H324" s="2">
        <v>26.316600000000001</v>
      </c>
      <c r="I324" s="2">
        <v>27.146899999999999</v>
      </c>
      <c r="J324" s="2">
        <v>100</v>
      </c>
      <c r="K324" s="2"/>
      <c r="L324" s="2"/>
      <c r="M324" s="2"/>
    </row>
    <row r="325" spans="1:19" ht="17.25" hidden="1" customHeight="1" thickBot="1" x14ac:dyDescent="0.35">
      <c r="A325" s="6" t="s">
        <v>93</v>
      </c>
      <c r="B325" s="12">
        <v>0</v>
      </c>
      <c r="C325" s="2">
        <v>67344</v>
      </c>
      <c r="D325" s="2">
        <v>29839323</v>
      </c>
      <c r="E325" s="2">
        <v>227888</v>
      </c>
      <c r="F325" s="2">
        <v>98.636099999999999</v>
      </c>
      <c r="G325" s="2">
        <v>4.7500000000000001E-2</v>
      </c>
      <c r="H325" s="2">
        <v>98.543000000000006</v>
      </c>
      <c r="I325" s="2">
        <v>98.729200000000006</v>
      </c>
      <c r="J325" s="2"/>
      <c r="K325" s="2"/>
      <c r="L325" s="2"/>
      <c r="M325" s="2"/>
    </row>
    <row r="326" spans="1:19" ht="17.25" hidden="1" customHeight="1" thickBot="1" x14ac:dyDescent="0.35">
      <c r="A326" s="6"/>
      <c r="B326" s="12">
        <v>1</v>
      </c>
      <c r="C326" s="2">
        <v>1291</v>
      </c>
      <c r="D326" s="2">
        <v>412612</v>
      </c>
      <c r="E326" s="2">
        <v>14314</v>
      </c>
      <c r="F326" s="2">
        <v>1.3638999999999999</v>
      </c>
      <c r="G326" s="2">
        <v>4.7500000000000001E-2</v>
      </c>
      <c r="H326" s="2">
        <v>1.2707999999999999</v>
      </c>
      <c r="I326" s="2">
        <v>1.4570000000000001</v>
      </c>
      <c r="J326" s="2"/>
      <c r="K326" s="2"/>
      <c r="L326" s="2"/>
      <c r="M326" s="2"/>
    </row>
    <row r="327" spans="1:19" ht="16.5" hidden="1" customHeight="1" x14ac:dyDescent="0.3">
      <c r="A327" s="6"/>
      <c r="B327" s="15" t="s">
        <v>93</v>
      </c>
      <c r="C327" s="2">
        <v>68635</v>
      </c>
      <c r="D327" s="2">
        <v>30251936</v>
      </c>
      <c r="E327" s="2">
        <v>228758</v>
      </c>
      <c r="F327" s="2">
        <v>100</v>
      </c>
      <c r="G327" s="2"/>
      <c r="H327" s="2"/>
      <c r="I327" s="2"/>
      <c r="J327" s="2"/>
      <c r="K327" s="2"/>
      <c r="L327" s="2"/>
      <c r="M327" s="2"/>
    </row>
    <row r="328" spans="1:19" ht="16.5" hidden="1" customHeight="1" x14ac:dyDescent="0.3"/>
    <row r="329" spans="1:19" ht="16.5" hidden="1" customHeight="1" x14ac:dyDescent="0.3">
      <c r="A329" s="24" t="s">
        <v>127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</row>
    <row r="330" spans="1:19" ht="33" hidden="1" customHeight="1" x14ac:dyDescent="0.3">
      <c r="A330" s="25" t="s">
        <v>28</v>
      </c>
      <c r="B330" s="27" t="s">
        <v>18</v>
      </c>
      <c r="C330" s="27" t="s">
        <v>86</v>
      </c>
      <c r="D330" s="3" t="s">
        <v>87</v>
      </c>
      <c r="E330" s="3" t="s">
        <v>88</v>
      </c>
      <c r="F330" s="27" t="s">
        <v>90</v>
      </c>
      <c r="G330" s="3" t="s">
        <v>88</v>
      </c>
      <c r="H330" s="27" t="s">
        <v>91</v>
      </c>
      <c r="I330" s="27"/>
      <c r="J330" s="3" t="s">
        <v>109</v>
      </c>
      <c r="K330" s="3" t="s">
        <v>88</v>
      </c>
      <c r="L330" s="27" t="s">
        <v>91</v>
      </c>
      <c r="M330" s="27"/>
    </row>
    <row r="331" spans="1:19" ht="33" hidden="1" customHeight="1" x14ac:dyDescent="0.3">
      <c r="A331" s="25"/>
      <c r="B331" s="27"/>
      <c r="C331" s="27"/>
      <c r="D331" s="3" t="s">
        <v>86</v>
      </c>
      <c r="E331" s="3" t="s">
        <v>89</v>
      </c>
      <c r="F331" s="27"/>
      <c r="G331" s="3" t="s">
        <v>90</v>
      </c>
      <c r="H331" s="27" t="s">
        <v>92</v>
      </c>
      <c r="I331" s="27"/>
      <c r="J331" s="3" t="s">
        <v>90</v>
      </c>
      <c r="K331" s="3" t="s">
        <v>110</v>
      </c>
      <c r="L331" s="27" t="s">
        <v>111</v>
      </c>
      <c r="M331" s="27"/>
    </row>
    <row r="332" spans="1:19" ht="17.25" thickBot="1" x14ac:dyDescent="0.35">
      <c r="A332" s="6">
        <v>1</v>
      </c>
      <c r="B332" s="12">
        <v>0</v>
      </c>
      <c r="C332" s="2">
        <v>15410</v>
      </c>
      <c r="D332" s="2">
        <v>7035049</v>
      </c>
      <c r="E332" s="2">
        <v>85743</v>
      </c>
      <c r="F332" s="2">
        <v>23.254899999999999</v>
      </c>
      <c r="G332" s="2">
        <v>0.20880000000000001</v>
      </c>
      <c r="H332" s="2">
        <v>22.845600000000001</v>
      </c>
      <c r="I332" s="2">
        <v>23.664200000000001</v>
      </c>
      <c r="J332" s="2">
        <v>99.8185</v>
      </c>
      <c r="K332" s="2">
        <v>2.9700000000000001E-2</v>
      </c>
      <c r="L332" s="2">
        <v>99.760300000000001</v>
      </c>
      <c r="M332" s="2">
        <v>99.8767</v>
      </c>
      <c r="O332" s="8" t="str">
        <f>TEXT(J332,"0.00")&amp;" ("&amp;TEXT(L332,"0.00")&amp;" to "&amp;TEXT(M332,"0.00")&amp;")"</f>
        <v>99.82 (99.76 to 99.88)</v>
      </c>
      <c r="P332" s="8" t="str">
        <f>TEXT(J335,"0.00")&amp;" ("&amp;TEXT(L335,"0.00")&amp;" to "&amp;TEXT(M335,"0.00")&amp;")"</f>
        <v>99.46 (99.34 to 99.58)</v>
      </c>
      <c r="Q332" s="8" t="str">
        <f>TEXT(J338,"0.00")&amp;" ("&amp;TEXT(L338,"0.00")&amp;" to "&amp;TEXT(M338,"0.00")&amp;")"</f>
        <v>99.10 (98.96 to 99.24)</v>
      </c>
      <c r="R332" s="8" t="str">
        <f>TEXT(J341,"0.00")&amp;" ("&amp;TEXT(L341,"0.00")&amp;" to "&amp;TEXT(M341,"0.00")&amp;")"</f>
        <v>98.98 (98.83 to 99.14)</v>
      </c>
      <c r="S332" t="s">
        <v>24</v>
      </c>
    </row>
    <row r="333" spans="1:19" ht="17.25" thickBot="1" x14ac:dyDescent="0.35">
      <c r="A333" s="6"/>
      <c r="B333" s="12">
        <v>1</v>
      </c>
      <c r="C333" s="2">
        <v>47</v>
      </c>
      <c r="D333" s="2">
        <v>12792</v>
      </c>
      <c r="E333" s="2">
        <v>2091</v>
      </c>
      <c r="F333" s="2">
        <v>4.2299999999999997E-2</v>
      </c>
      <c r="G333" s="2">
        <v>6.8999999999999999E-3</v>
      </c>
      <c r="H333" s="2">
        <v>2.87E-2</v>
      </c>
      <c r="I333" s="2">
        <v>5.5899999999999998E-2</v>
      </c>
      <c r="J333" s="2">
        <v>0.18149999999999999</v>
      </c>
      <c r="K333" s="2">
        <v>2.9700000000000001E-2</v>
      </c>
      <c r="L333" s="2">
        <v>0.12330000000000001</v>
      </c>
      <c r="M333" s="2">
        <v>0.2397</v>
      </c>
      <c r="O333" s="8" t="str">
        <f>TEXT(J333,"0.00")&amp;" ("&amp;TEXT(L333,"0.00")&amp;" to "&amp;TEXT(M333,"0.00")&amp;")"</f>
        <v>0.18 (0.12 to 0.24)</v>
      </c>
      <c r="P333" s="8" t="str">
        <f>TEXT(J336,"0.00")&amp;" ("&amp;TEXT(L336,"0.00")&amp;" to "&amp;TEXT(M336,"0.00")&amp;")"</f>
        <v>0.54 (0.42 to 0.66)</v>
      </c>
      <c r="Q333" s="8" t="str">
        <f>TEXT(J339,"0.00")&amp;" ("&amp;TEXT(L339,"0.00")&amp;" to "&amp;TEXT(M339,"0.00")&amp;")"</f>
        <v>0.90 (0.76 to 1.04)</v>
      </c>
      <c r="R333" s="8" t="str">
        <f>TEXT(J342,"0.00")&amp;" ("&amp;TEXT(L342,"0.00")&amp;" to "&amp;TEXT(M342,"0.00")&amp;")"</f>
        <v>1.02 (0.86 to 1.17)</v>
      </c>
      <c r="S333" t="s">
        <v>24</v>
      </c>
    </row>
    <row r="334" spans="1:19" ht="17.25" thickBot="1" x14ac:dyDescent="0.35">
      <c r="A334" s="6"/>
      <c r="B334" s="12" t="s">
        <v>93</v>
      </c>
      <c r="C334" s="2">
        <v>15457</v>
      </c>
      <c r="D334" s="2">
        <v>7047841</v>
      </c>
      <c r="E334" s="2">
        <v>85770</v>
      </c>
      <c r="F334" s="2">
        <v>23.2972</v>
      </c>
      <c r="G334" s="2">
        <v>0.20880000000000001</v>
      </c>
      <c r="H334" s="2">
        <v>22.887599999999999</v>
      </c>
      <c r="I334" s="2">
        <v>23.706700000000001</v>
      </c>
      <c r="J334" s="2">
        <v>100</v>
      </c>
      <c r="K334" s="2"/>
      <c r="L334" s="2"/>
      <c r="M334" s="2"/>
      <c r="S334" t="s">
        <v>24</v>
      </c>
    </row>
    <row r="335" spans="1:19" ht="17.25" hidden="1" customHeight="1" thickBot="1" x14ac:dyDescent="0.35">
      <c r="A335" s="6">
        <v>2</v>
      </c>
      <c r="B335" s="12">
        <v>0</v>
      </c>
      <c r="C335" s="2">
        <v>17190</v>
      </c>
      <c r="D335" s="2">
        <v>7481094</v>
      </c>
      <c r="E335" s="2">
        <v>82044</v>
      </c>
      <c r="F335" s="2">
        <v>24.729299999999999</v>
      </c>
      <c r="G335" s="2">
        <v>0.191</v>
      </c>
      <c r="H335" s="2">
        <v>24.354700000000001</v>
      </c>
      <c r="I335" s="2">
        <v>25.103899999999999</v>
      </c>
      <c r="J335" s="2">
        <v>99.460999999999999</v>
      </c>
      <c r="K335" s="2">
        <v>5.9299999999999999E-2</v>
      </c>
      <c r="L335" s="2">
        <v>99.344700000000003</v>
      </c>
      <c r="M335" s="2">
        <v>99.577299999999994</v>
      </c>
    </row>
    <row r="336" spans="1:19" ht="17.25" hidden="1" customHeight="1" thickBot="1" x14ac:dyDescent="0.35">
      <c r="A336" s="6"/>
      <c r="B336" s="12">
        <v>1</v>
      </c>
      <c r="C336" s="2">
        <v>132</v>
      </c>
      <c r="D336" s="2">
        <v>40540</v>
      </c>
      <c r="E336" s="2">
        <v>4469</v>
      </c>
      <c r="F336" s="2">
        <v>0.13400000000000001</v>
      </c>
      <c r="G336" s="2">
        <v>1.4800000000000001E-2</v>
      </c>
      <c r="H336" s="2">
        <v>0.1051</v>
      </c>
      <c r="I336" s="2">
        <v>0.16300000000000001</v>
      </c>
      <c r="J336" s="2">
        <v>0.53900000000000003</v>
      </c>
      <c r="K336" s="2">
        <v>5.9299999999999999E-2</v>
      </c>
      <c r="L336" s="2">
        <v>0.42270000000000002</v>
      </c>
      <c r="M336" s="2">
        <v>0.65529999999999999</v>
      </c>
    </row>
    <row r="337" spans="1:19" ht="17.25" hidden="1" customHeight="1" thickBot="1" x14ac:dyDescent="0.35">
      <c r="A337" s="6"/>
      <c r="B337" s="12" t="s">
        <v>93</v>
      </c>
      <c r="C337" s="2">
        <v>17322</v>
      </c>
      <c r="D337" s="2">
        <v>7521633</v>
      </c>
      <c r="E337" s="2">
        <v>82230</v>
      </c>
      <c r="F337" s="2">
        <v>24.863299999999999</v>
      </c>
      <c r="G337" s="2">
        <v>0.1913</v>
      </c>
      <c r="H337" s="2">
        <v>24.488199999999999</v>
      </c>
      <c r="I337" s="2">
        <v>25.238399999999999</v>
      </c>
      <c r="J337" s="2">
        <v>100</v>
      </c>
      <c r="K337" s="2"/>
      <c r="L337" s="2"/>
      <c r="M337" s="2"/>
    </row>
    <row r="338" spans="1:19" ht="17.25" hidden="1" customHeight="1" thickBot="1" x14ac:dyDescent="0.35">
      <c r="A338" s="6">
        <v>3</v>
      </c>
      <c r="B338" s="12">
        <v>0</v>
      </c>
      <c r="C338" s="2">
        <v>17619</v>
      </c>
      <c r="D338" s="2">
        <v>7527121</v>
      </c>
      <c r="E338" s="2">
        <v>79923</v>
      </c>
      <c r="F338" s="2">
        <v>24.881499999999999</v>
      </c>
      <c r="G338" s="2">
        <v>0.19320000000000001</v>
      </c>
      <c r="H338" s="2">
        <v>24.502600000000001</v>
      </c>
      <c r="I338" s="2">
        <v>25.260300000000001</v>
      </c>
      <c r="J338" s="2">
        <v>99.098500000000001</v>
      </c>
      <c r="K338" s="2">
        <v>7.0099999999999996E-2</v>
      </c>
      <c r="L338" s="2">
        <v>98.961100000000002</v>
      </c>
      <c r="M338" s="2">
        <v>99.235900000000001</v>
      </c>
    </row>
    <row r="339" spans="1:19" ht="17.25" hidden="1" customHeight="1" thickBot="1" x14ac:dyDescent="0.35">
      <c r="A339" s="6"/>
      <c r="B339" s="12">
        <v>1</v>
      </c>
      <c r="C339" s="2">
        <v>209</v>
      </c>
      <c r="D339" s="2">
        <v>68473</v>
      </c>
      <c r="E339" s="2">
        <v>5387</v>
      </c>
      <c r="F339" s="2">
        <v>0.2263</v>
      </c>
      <c r="G339" s="2">
        <v>1.78E-2</v>
      </c>
      <c r="H339" s="2">
        <v>0.1915</v>
      </c>
      <c r="I339" s="2">
        <v>0.26119999999999999</v>
      </c>
      <c r="J339" s="2">
        <v>0.90149999999999997</v>
      </c>
      <c r="K339" s="2">
        <v>7.0099999999999996E-2</v>
      </c>
      <c r="L339" s="2">
        <v>0.7641</v>
      </c>
      <c r="M339" s="2">
        <v>1.0388999999999999</v>
      </c>
    </row>
    <row r="340" spans="1:19" ht="17.25" hidden="1" customHeight="1" thickBot="1" x14ac:dyDescent="0.35">
      <c r="A340" s="6"/>
      <c r="B340" s="12" t="s">
        <v>93</v>
      </c>
      <c r="C340" s="2">
        <v>17828</v>
      </c>
      <c r="D340" s="2">
        <v>7595594</v>
      </c>
      <c r="E340" s="2">
        <v>80574</v>
      </c>
      <c r="F340" s="2">
        <v>25.107800000000001</v>
      </c>
      <c r="G340" s="2">
        <v>0.19489999999999999</v>
      </c>
      <c r="H340" s="2">
        <v>24.7257</v>
      </c>
      <c r="I340" s="2">
        <v>25.489899999999999</v>
      </c>
      <c r="J340" s="2">
        <v>100</v>
      </c>
      <c r="K340" s="2"/>
      <c r="L340" s="2"/>
      <c r="M340" s="2"/>
    </row>
    <row r="341" spans="1:19" ht="17.25" hidden="1" customHeight="1" thickBot="1" x14ac:dyDescent="0.35">
      <c r="A341" s="6">
        <v>4</v>
      </c>
      <c r="B341" s="12">
        <v>0</v>
      </c>
      <c r="C341" s="2">
        <v>17779</v>
      </c>
      <c r="D341" s="2">
        <v>8004526</v>
      </c>
      <c r="E341" s="2">
        <v>85042</v>
      </c>
      <c r="F341" s="2">
        <v>26.459599999999998</v>
      </c>
      <c r="G341" s="2">
        <v>0.2104</v>
      </c>
      <c r="H341" s="2">
        <v>26.0471</v>
      </c>
      <c r="I341" s="2">
        <v>26.872</v>
      </c>
      <c r="J341" s="2">
        <v>98.981800000000007</v>
      </c>
      <c r="K341" s="2">
        <v>7.8299999999999995E-2</v>
      </c>
      <c r="L341" s="2">
        <v>98.828299999999999</v>
      </c>
      <c r="M341" s="2">
        <v>99.135199999999998</v>
      </c>
    </row>
    <row r="342" spans="1:19" ht="17.25" hidden="1" customHeight="1" thickBot="1" x14ac:dyDescent="0.35">
      <c r="A342" s="6"/>
      <c r="B342" s="12">
        <v>1</v>
      </c>
      <c r="C342" s="2">
        <v>249</v>
      </c>
      <c r="D342" s="2">
        <v>82341</v>
      </c>
      <c r="E342" s="2">
        <v>6396</v>
      </c>
      <c r="F342" s="2">
        <v>0.2722</v>
      </c>
      <c r="G342" s="2">
        <v>2.1100000000000001E-2</v>
      </c>
      <c r="H342" s="2">
        <v>0.23089999999999999</v>
      </c>
      <c r="I342" s="2">
        <v>0.3135</v>
      </c>
      <c r="J342" s="2">
        <v>1.0182</v>
      </c>
      <c r="K342" s="2">
        <v>7.8299999999999995E-2</v>
      </c>
      <c r="L342" s="2">
        <v>0.86480000000000001</v>
      </c>
      <c r="M342" s="2">
        <v>1.1717</v>
      </c>
    </row>
    <row r="343" spans="1:19" ht="17.25" hidden="1" customHeight="1" thickBot="1" x14ac:dyDescent="0.35">
      <c r="A343" s="6"/>
      <c r="B343" s="12" t="s">
        <v>93</v>
      </c>
      <c r="C343" s="2">
        <v>18028</v>
      </c>
      <c r="D343" s="2">
        <v>8086868</v>
      </c>
      <c r="E343" s="2">
        <v>85733</v>
      </c>
      <c r="F343" s="2">
        <v>26.7317</v>
      </c>
      <c r="G343" s="2">
        <v>0.2117</v>
      </c>
      <c r="H343" s="2">
        <v>26.316600000000001</v>
      </c>
      <c r="I343" s="2">
        <v>27.146899999999999</v>
      </c>
      <c r="J343" s="2">
        <v>100</v>
      </c>
      <c r="K343" s="2"/>
      <c r="L343" s="2"/>
      <c r="M343" s="2"/>
    </row>
    <row r="344" spans="1:19" ht="17.25" hidden="1" customHeight="1" thickBot="1" x14ac:dyDescent="0.35">
      <c r="A344" s="6" t="s">
        <v>93</v>
      </c>
      <c r="B344" s="12">
        <v>0</v>
      </c>
      <c r="C344" s="2">
        <v>67998</v>
      </c>
      <c r="D344" s="2">
        <v>30047789</v>
      </c>
      <c r="E344" s="2">
        <v>227796</v>
      </c>
      <c r="F344" s="2">
        <v>99.325199999999995</v>
      </c>
      <c r="G344" s="2">
        <v>3.1699999999999999E-2</v>
      </c>
      <c r="H344" s="2">
        <v>99.263000000000005</v>
      </c>
      <c r="I344" s="2">
        <v>99.387299999999996</v>
      </c>
      <c r="J344" s="2"/>
      <c r="K344" s="2"/>
      <c r="L344" s="2"/>
      <c r="M344" s="2"/>
    </row>
    <row r="345" spans="1:19" ht="17.25" hidden="1" customHeight="1" thickBot="1" x14ac:dyDescent="0.35">
      <c r="A345" s="6"/>
      <c r="B345" s="12">
        <v>1</v>
      </c>
      <c r="C345" s="2">
        <v>637</v>
      </c>
      <c r="D345" s="2">
        <v>204146</v>
      </c>
      <c r="E345" s="2">
        <v>9654</v>
      </c>
      <c r="F345" s="2">
        <v>0.67479999999999996</v>
      </c>
      <c r="G345" s="2">
        <v>3.1699999999999999E-2</v>
      </c>
      <c r="H345" s="2">
        <v>0.61270000000000002</v>
      </c>
      <c r="I345" s="2">
        <v>0.73699999999999999</v>
      </c>
      <c r="J345" s="2"/>
      <c r="K345" s="2"/>
      <c r="L345" s="2"/>
      <c r="M345" s="2"/>
    </row>
    <row r="346" spans="1:19" ht="16.5" hidden="1" customHeight="1" x14ac:dyDescent="0.3">
      <c r="A346" s="6"/>
      <c r="B346" s="15" t="s">
        <v>93</v>
      </c>
      <c r="C346" s="2">
        <v>68635</v>
      </c>
      <c r="D346" s="2">
        <v>30251936</v>
      </c>
      <c r="E346" s="2">
        <v>228758</v>
      </c>
      <c r="F346" s="2">
        <v>100</v>
      </c>
      <c r="G346" s="2"/>
      <c r="H346" s="2"/>
      <c r="I346" s="2"/>
      <c r="J346" s="2"/>
      <c r="K346" s="2"/>
      <c r="L346" s="2"/>
      <c r="M346" s="2"/>
    </row>
    <row r="347" spans="1:19" ht="16.5" hidden="1" customHeight="1" x14ac:dyDescent="0.3"/>
    <row r="348" spans="1:19" ht="16.5" hidden="1" customHeight="1" x14ac:dyDescent="0.3">
      <c r="A348" s="24" t="s">
        <v>128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</row>
    <row r="349" spans="1:19" ht="33" hidden="1" customHeight="1" x14ac:dyDescent="0.3">
      <c r="A349" s="25" t="s">
        <v>28</v>
      </c>
      <c r="B349" s="27" t="s">
        <v>19</v>
      </c>
      <c r="C349" s="27" t="s">
        <v>86</v>
      </c>
      <c r="D349" s="3" t="s">
        <v>87</v>
      </c>
      <c r="E349" s="3" t="s">
        <v>88</v>
      </c>
      <c r="F349" s="27" t="s">
        <v>90</v>
      </c>
      <c r="G349" s="3" t="s">
        <v>88</v>
      </c>
      <c r="H349" s="27" t="s">
        <v>91</v>
      </c>
      <c r="I349" s="27"/>
      <c r="J349" s="3" t="s">
        <v>109</v>
      </c>
      <c r="K349" s="3" t="s">
        <v>88</v>
      </c>
      <c r="L349" s="27" t="s">
        <v>91</v>
      </c>
      <c r="M349" s="27"/>
    </row>
    <row r="350" spans="1:19" ht="33" hidden="1" customHeight="1" x14ac:dyDescent="0.3">
      <c r="A350" s="25"/>
      <c r="B350" s="27"/>
      <c r="C350" s="27"/>
      <c r="D350" s="3" t="s">
        <v>86</v>
      </c>
      <c r="E350" s="3" t="s">
        <v>89</v>
      </c>
      <c r="F350" s="27"/>
      <c r="G350" s="3" t="s">
        <v>90</v>
      </c>
      <c r="H350" s="27" t="s">
        <v>92</v>
      </c>
      <c r="I350" s="27"/>
      <c r="J350" s="3" t="s">
        <v>90</v>
      </c>
      <c r="K350" s="3" t="s">
        <v>110</v>
      </c>
      <c r="L350" s="27" t="s">
        <v>111</v>
      </c>
      <c r="M350" s="27"/>
    </row>
    <row r="351" spans="1:19" ht="17.25" thickBot="1" x14ac:dyDescent="0.35">
      <c r="A351" s="6">
        <v>1</v>
      </c>
      <c r="B351" s="12">
        <v>0</v>
      </c>
      <c r="C351" s="2">
        <v>15347</v>
      </c>
      <c r="D351" s="2">
        <v>7012748</v>
      </c>
      <c r="E351" s="2">
        <v>85453</v>
      </c>
      <c r="F351" s="2">
        <v>23.1812</v>
      </c>
      <c r="G351" s="2">
        <v>0.20830000000000001</v>
      </c>
      <c r="H351" s="2">
        <v>22.772600000000001</v>
      </c>
      <c r="I351" s="2">
        <v>23.589700000000001</v>
      </c>
      <c r="J351" s="2">
        <v>99.502099999999999</v>
      </c>
      <c r="K351" s="2">
        <v>5.6300000000000003E-2</v>
      </c>
      <c r="L351" s="2">
        <v>99.3917</v>
      </c>
      <c r="M351" s="2">
        <v>99.612399999999994</v>
      </c>
      <c r="O351" s="8" t="str">
        <f>TEXT(J351,"0.00")&amp;" ("&amp;TEXT(L351,"0.00")&amp;" to "&amp;TEXT(M351,"0.00")&amp;")"</f>
        <v>99.50 (99.39 to 99.61)</v>
      </c>
      <c r="P351" s="8" t="str">
        <f>TEXT(J354,"0.00")&amp;" ("&amp;TEXT(L354,"0.00")&amp;" to "&amp;TEXT(M354,"0.00")&amp;")"</f>
        <v>98.90 (98.74 to 99.06)</v>
      </c>
      <c r="Q351" s="8" t="str">
        <f>TEXT(J357,"0.00")&amp;" ("&amp;TEXT(L357,"0.00")&amp;" to "&amp;TEXT(M357,"0.00")&amp;")"</f>
        <v>98.43 (98.25 to 98.61)</v>
      </c>
      <c r="R351" s="8" t="str">
        <f>TEXT(J360,"0.00")&amp;" ("&amp;TEXT(L360,"0.00")&amp;" to "&amp;TEXT(M360,"0.00")&amp;")"</f>
        <v>98.26 (98.07 to 98.46)</v>
      </c>
      <c r="S351" t="s">
        <v>24</v>
      </c>
    </row>
    <row r="352" spans="1:19" ht="17.25" thickBot="1" x14ac:dyDescent="0.35">
      <c r="A352" s="6"/>
      <c r="B352" s="12">
        <v>1</v>
      </c>
      <c r="C352" s="2">
        <v>110</v>
      </c>
      <c r="D352" s="2">
        <v>35093</v>
      </c>
      <c r="E352" s="2">
        <v>3988</v>
      </c>
      <c r="F352" s="2">
        <v>0.11600000000000001</v>
      </c>
      <c r="G352" s="2">
        <v>1.3100000000000001E-2</v>
      </c>
      <c r="H352" s="2">
        <v>9.0200000000000002E-2</v>
      </c>
      <c r="I352" s="2">
        <v>0.14180000000000001</v>
      </c>
      <c r="J352" s="2">
        <v>0.49790000000000001</v>
      </c>
      <c r="K352" s="2">
        <v>5.6300000000000003E-2</v>
      </c>
      <c r="L352" s="2">
        <v>0.3876</v>
      </c>
      <c r="M352" s="2">
        <v>0.60829999999999995</v>
      </c>
      <c r="O352" s="8" t="str">
        <f>TEXT(J352,"0.00")&amp;" ("&amp;TEXT(L352,"0.00")&amp;" to "&amp;TEXT(M352,"0.00")&amp;")"</f>
        <v>0.50 (0.39 to 0.61)</v>
      </c>
      <c r="P352" s="8" t="str">
        <f>TEXT(J355,"0.00")&amp;" ("&amp;TEXT(L355,"0.00")&amp;" to "&amp;TEXT(M355,"0.00")&amp;")"</f>
        <v>1.10 (0.94 to 1.26)</v>
      </c>
      <c r="Q352" s="8" t="str">
        <f>TEXT(J358,"0.00")&amp;" ("&amp;TEXT(L358,"0.00")&amp;" to "&amp;TEXT(M358,"0.00")&amp;")"</f>
        <v>1.57 (1.39 to 1.75)</v>
      </c>
      <c r="R352" s="8" t="str">
        <f>TEXT(J361,"0.00")&amp;" ("&amp;TEXT(L361,"0.00")&amp;" to "&amp;TEXT(M361,"0.00")&amp;")"</f>
        <v>1.74 (1.54 to 1.93)</v>
      </c>
      <c r="S352" t="s">
        <v>24</v>
      </c>
    </row>
    <row r="353" spans="1:19" ht="17.25" thickBot="1" x14ac:dyDescent="0.35">
      <c r="A353" s="6"/>
      <c r="B353" s="12" t="s">
        <v>93</v>
      </c>
      <c r="C353" s="2">
        <v>15457</v>
      </c>
      <c r="D353" s="2">
        <v>7047841</v>
      </c>
      <c r="E353" s="2">
        <v>85770</v>
      </c>
      <c r="F353" s="2">
        <v>23.2972</v>
      </c>
      <c r="G353" s="2">
        <v>0.20880000000000001</v>
      </c>
      <c r="H353" s="2">
        <v>22.887599999999999</v>
      </c>
      <c r="I353" s="2">
        <v>23.706700000000001</v>
      </c>
      <c r="J353" s="2">
        <v>100</v>
      </c>
      <c r="K353" s="2"/>
      <c r="L353" s="2"/>
      <c r="M353" s="2"/>
      <c r="S353" t="s">
        <v>24</v>
      </c>
    </row>
    <row r="354" spans="1:19" ht="17.25" hidden="1" customHeight="1" thickBot="1" x14ac:dyDescent="0.35">
      <c r="A354" s="6">
        <v>2</v>
      </c>
      <c r="B354" s="12">
        <v>0</v>
      </c>
      <c r="C354" s="2">
        <v>17058</v>
      </c>
      <c r="D354" s="2">
        <v>7438764</v>
      </c>
      <c r="E354" s="2">
        <v>81972</v>
      </c>
      <c r="F354" s="2">
        <v>24.589400000000001</v>
      </c>
      <c r="G354" s="2">
        <v>0.191</v>
      </c>
      <c r="H354" s="2">
        <v>24.2149</v>
      </c>
      <c r="I354" s="2">
        <v>24.963799999999999</v>
      </c>
      <c r="J354" s="2">
        <v>98.898300000000006</v>
      </c>
      <c r="K354" s="2">
        <v>8.1500000000000003E-2</v>
      </c>
      <c r="L354" s="2">
        <v>98.738399999999999</v>
      </c>
      <c r="M354" s="2">
        <v>99.058099999999996</v>
      </c>
    </row>
    <row r="355" spans="1:19" ht="17.25" hidden="1" customHeight="1" thickBot="1" x14ac:dyDescent="0.35">
      <c r="A355" s="6"/>
      <c r="B355" s="12">
        <v>1</v>
      </c>
      <c r="C355" s="2">
        <v>264</v>
      </c>
      <c r="D355" s="2">
        <v>82870</v>
      </c>
      <c r="E355" s="2">
        <v>6135</v>
      </c>
      <c r="F355" s="2">
        <v>0.27389999999999998</v>
      </c>
      <c r="G355" s="2">
        <v>2.0299999999999999E-2</v>
      </c>
      <c r="H355" s="2">
        <v>0.2341</v>
      </c>
      <c r="I355" s="2">
        <v>0.31369999999999998</v>
      </c>
      <c r="J355" s="2">
        <v>1.1016999999999999</v>
      </c>
      <c r="K355" s="2">
        <v>8.1500000000000003E-2</v>
      </c>
      <c r="L355" s="2">
        <v>0.94189999999999996</v>
      </c>
      <c r="M355" s="2">
        <v>1.2616000000000001</v>
      </c>
    </row>
    <row r="356" spans="1:19" ht="17.25" hidden="1" customHeight="1" thickBot="1" x14ac:dyDescent="0.35">
      <c r="A356" s="6"/>
      <c r="B356" s="12" t="s">
        <v>93</v>
      </c>
      <c r="C356" s="2">
        <v>17322</v>
      </c>
      <c r="D356" s="2">
        <v>7521633</v>
      </c>
      <c r="E356" s="2">
        <v>82230</v>
      </c>
      <c r="F356" s="2">
        <v>24.863299999999999</v>
      </c>
      <c r="G356" s="2">
        <v>0.1913</v>
      </c>
      <c r="H356" s="2">
        <v>24.488199999999999</v>
      </c>
      <c r="I356" s="2">
        <v>25.238399999999999</v>
      </c>
      <c r="J356" s="2">
        <v>100</v>
      </c>
      <c r="K356" s="2"/>
      <c r="L356" s="2"/>
      <c r="M356" s="2"/>
    </row>
    <row r="357" spans="1:19" ht="17.25" hidden="1" customHeight="1" thickBot="1" x14ac:dyDescent="0.35">
      <c r="A357" s="6">
        <v>3</v>
      </c>
      <c r="B357" s="12">
        <v>0</v>
      </c>
      <c r="C357" s="2">
        <v>17446</v>
      </c>
      <c r="D357" s="2">
        <v>7476144</v>
      </c>
      <c r="E357" s="2">
        <v>80197</v>
      </c>
      <c r="F357" s="2">
        <v>24.712900000000001</v>
      </c>
      <c r="G357" s="2">
        <v>0.19400000000000001</v>
      </c>
      <c r="H357" s="2">
        <v>24.332599999999999</v>
      </c>
      <c r="I357" s="2">
        <v>25.093299999999999</v>
      </c>
      <c r="J357" s="2">
        <v>98.427400000000006</v>
      </c>
      <c r="K357" s="2">
        <v>9.2399999999999996E-2</v>
      </c>
      <c r="L357" s="2">
        <v>98.246200000000002</v>
      </c>
      <c r="M357" s="2">
        <v>98.608599999999996</v>
      </c>
    </row>
    <row r="358" spans="1:19" ht="17.25" hidden="1" customHeight="1" thickBot="1" x14ac:dyDescent="0.35">
      <c r="A358" s="6"/>
      <c r="B358" s="12">
        <v>1</v>
      </c>
      <c r="C358" s="2">
        <v>382</v>
      </c>
      <c r="D358" s="2">
        <v>119450</v>
      </c>
      <c r="E358" s="2">
        <v>7027</v>
      </c>
      <c r="F358" s="2">
        <v>0.39479999999999998</v>
      </c>
      <c r="G358" s="2">
        <v>2.3300000000000001E-2</v>
      </c>
      <c r="H358" s="2">
        <v>0.34920000000000001</v>
      </c>
      <c r="I358" s="2">
        <v>0.4405</v>
      </c>
      <c r="J358" s="2">
        <v>1.5726</v>
      </c>
      <c r="K358" s="2">
        <v>9.2399999999999996E-2</v>
      </c>
      <c r="L358" s="2">
        <v>1.3914</v>
      </c>
      <c r="M358" s="2">
        <v>1.7538</v>
      </c>
    </row>
    <row r="359" spans="1:19" ht="17.25" hidden="1" customHeight="1" thickBot="1" x14ac:dyDescent="0.35">
      <c r="A359" s="6"/>
      <c r="B359" s="12" t="s">
        <v>93</v>
      </c>
      <c r="C359" s="2">
        <v>17828</v>
      </c>
      <c r="D359" s="2">
        <v>7595594</v>
      </c>
      <c r="E359" s="2">
        <v>80574</v>
      </c>
      <c r="F359" s="2">
        <v>25.107800000000001</v>
      </c>
      <c r="G359" s="2">
        <v>0.19489999999999999</v>
      </c>
      <c r="H359" s="2">
        <v>24.7257</v>
      </c>
      <c r="I359" s="2">
        <v>25.489899999999999</v>
      </c>
      <c r="J359" s="2">
        <v>100</v>
      </c>
      <c r="K359" s="2"/>
      <c r="L359" s="2"/>
      <c r="M359" s="2"/>
    </row>
    <row r="360" spans="1:19" ht="17.25" hidden="1" customHeight="1" thickBot="1" x14ac:dyDescent="0.35">
      <c r="A360" s="6">
        <v>4</v>
      </c>
      <c r="B360" s="12">
        <v>0</v>
      </c>
      <c r="C360" s="2">
        <v>17583</v>
      </c>
      <c r="D360" s="2">
        <v>7946535</v>
      </c>
      <c r="E360" s="2">
        <v>84594</v>
      </c>
      <c r="F360" s="2">
        <v>26.267900000000001</v>
      </c>
      <c r="G360" s="2">
        <v>0.2099</v>
      </c>
      <c r="H360" s="2">
        <v>25.856300000000001</v>
      </c>
      <c r="I360" s="2">
        <v>26.679400000000001</v>
      </c>
      <c r="J360" s="2">
        <v>98.264700000000005</v>
      </c>
      <c r="K360" s="2">
        <v>0.1003</v>
      </c>
      <c r="L360" s="2">
        <v>98.067999999999998</v>
      </c>
      <c r="M360" s="2">
        <v>98.461299999999994</v>
      </c>
    </row>
    <row r="361" spans="1:19" ht="17.25" hidden="1" customHeight="1" thickBot="1" x14ac:dyDescent="0.35">
      <c r="A361" s="6"/>
      <c r="B361" s="12">
        <v>1</v>
      </c>
      <c r="C361" s="2">
        <v>445</v>
      </c>
      <c r="D361" s="2">
        <v>140333</v>
      </c>
      <c r="E361" s="2">
        <v>8252</v>
      </c>
      <c r="F361" s="2">
        <v>0.46389999999999998</v>
      </c>
      <c r="G361" s="2">
        <v>2.7E-2</v>
      </c>
      <c r="H361" s="2">
        <v>0.41089999999999999</v>
      </c>
      <c r="I361" s="2">
        <v>0.51690000000000003</v>
      </c>
      <c r="J361" s="2">
        <v>1.7353000000000001</v>
      </c>
      <c r="K361" s="2">
        <v>0.1003</v>
      </c>
      <c r="L361" s="2">
        <v>1.5387</v>
      </c>
      <c r="M361" s="2">
        <v>1.9319999999999999</v>
      </c>
    </row>
    <row r="362" spans="1:19" ht="17.25" hidden="1" customHeight="1" thickBot="1" x14ac:dyDescent="0.35">
      <c r="A362" s="6"/>
      <c r="B362" s="12" t="s">
        <v>93</v>
      </c>
      <c r="C362" s="2">
        <v>18028</v>
      </c>
      <c r="D362" s="2">
        <v>8086868</v>
      </c>
      <c r="E362" s="2">
        <v>85733</v>
      </c>
      <c r="F362" s="2">
        <v>26.7317</v>
      </c>
      <c r="G362" s="2">
        <v>0.2117</v>
      </c>
      <c r="H362" s="2">
        <v>26.316600000000001</v>
      </c>
      <c r="I362" s="2">
        <v>27.146899999999999</v>
      </c>
      <c r="J362" s="2">
        <v>100</v>
      </c>
      <c r="K362" s="2"/>
      <c r="L362" s="2"/>
      <c r="M362" s="2"/>
    </row>
    <row r="363" spans="1:19" ht="17.25" hidden="1" customHeight="1" thickBot="1" x14ac:dyDescent="0.35">
      <c r="A363" s="6" t="s">
        <v>93</v>
      </c>
      <c r="B363" s="12">
        <v>0</v>
      </c>
      <c r="C363" s="2">
        <v>67434</v>
      </c>
      <c r="D363" s="2">
        <v>29874191</v>
      </c>
      <c r="E363" s="2">
        <v>227215</v>
      </c>
      <c r="F363" s="2">
        <v>98.751300000000001</v>
      </c>
      <c r="G363" s="2">
        <v>4.3299999999999998E-2</v>
      </c>
      <c r="H363" s="2">
        <v>98.666499999999999</v>
      </c>
      <c r="I363" s="2">
        <v>98.836200000000005</v>
      </c>
      <c r="J363" s="2"/>
      <c r="K363" s="2"/>
      <c r="L363" s="2"/>
      <c r="M363" s="2"/>
    </row>
    <row r="364" spans="1:19" ht="17.25" hidden="1" customHeight="1" thickBot="1" x14ac:dyDescent="0.35">
      <c r="A364" s="6"/>
      <c r="B364" s="12">
        <v>1</v>
      </c>
      <c r="C364" s="2">
        <v>1201</v>
      </c>
      <c r="D364" s="2">
        <v>377745</v>
      </c>
      <c r="E364" s="2">
        <v>13202</v>
      </c>
      <c r="F364" s="2">
        <v>1.2486999999999999</v>
      </c>
      <c r="G364" s="2">
        <v>4.3299999999999998E-2</v>
      </c>
      <c r="H364" s="2">
        <v>1.1637999999999999</v>
      </c>
      <c r="I364" s="2">
        <v>1.3334999999999999</v>
      </c>
      <c r="J364" s="2"/>
      <c r="K364" s="2"/>
      <c r="L364" s="2"/>
      <c r="M364" s="2"/>
    </row>
    <row r="365" spans="1:19" ht="16.5" hidden="1" customHeight="1" x14ac:dyDescent="0.3">
      <c r="A365" s="6"/>
      <c r="B365" s="15" t="s">
        <v>93</v>
      </c>
      <c r="C365" s="2">
        <v>68635</v>
      </c>
      <c r="D365" s="2">
        <v>30251936</v>
      </c>
      <c r="E365" s="2">
        <v>228758</v>
      </c>
      <c r="F365" s="2">
        <v>100</v>
      </c>
      <c r="G365" s="2"/>
      <c r="H365" s="2"/>
      <c r="I365" s="2"/>
      <c r="J365" s="2"/>
      <c r="K365" s="2"/>
      <c r="L365" s="2"/>
      <c r="M365" s="2"/>
    </row>
  </sheetData>
  <autoFilter ref="S1:S365" xr:uid="{3A3FFCDE-D053-4795-98B2-B856B278C7AB}">
    <filterColumn colId="0">
      <customFilters>
        <customFilter operator="notEqual" val=" "/>
      </customFilters>
    </filterColumn>
  </autoFilter>
  <mergeCells count="146">
    <mergeCell ref="A3:B3"/>
    <mergeCell ref="A9:B9"/>
    <mergeCell ref="A13:M13"/>
    <mergeCell ref="A14:A15"/>
    <mergeCell ref="B14:B15"/>
    <mergeCell ref="C14:C15"/>
    <mergeCell ref="F14:F15"/>
    <mergeCell ref="H14:I14"/>
    <mergeCell ref="H15:I15"/>
    <mergeCell ref="L14:M14"/>
    <mergeCell ref="L15:M15"/>
    <mergeCell ref="A37:M37"/>
    <mergeCell ref="A38:A39"/>
    <mergeCell ref="B38:B39"/>
    <mergeCell ref="C38:C39"/>
    <mergeCell ref="F38:F39"/>
    <mergeCell ref="H38:I38"/>
    <mergeCell ref="H39:I39"/>
    <mergeCell ref="L38:M38"/>
    <mergeCell ref="L39:M39"/>
    <mergeCell ref="A56:M56"/>
    <mergeCell ref="A57:A58"/>
    <mergeCell ref="B57:B58"/>
    <mergeCell ref="C57:C58"/>
    <mergeCell ref="F57:F58"/>
    <mergeCell ref="H57:I57"/>
    <mergeCell ref="H58:I58"/>
    <mergeCell ref="L57:M57"/>
    <mergeCell ref="L58:M58"/>
    <mergeCell ref="A75:M75"/>
    <mergeCell ref="A76:A77"/>
    <mergeCell ref="B76:B77"/>
    <mergeCell ref="C76:C77"/>
    <mergeCell ref="F76:F77"/>
    <mergeCell ref="H76:I76"/>
    <mergeCell ref="H77:I77"/>
    <mergeCell ref="L76:M76"/>
    <mergeCell ref="L77:M77"/>
    <mergeCell ref="A104:M104"/>
    <mergeCell ref="A105:A106"/>
    <mergeCell ref="B105:B106"/>
    <mergeCell ref="C105:C106"/>
    <mergeCell ref="F105:F106"/>
    <mergeCell ref="H105:I105"/>
    <mergeCell ref="H106:I106"/>
    <mergeCell ref="L105:M105"/>
    <mergeCell ref="L106:M106"/>
    <mergeCell ref="A133:M133"/>
    <mergeCell ref="A134:A135"/>
    <mergeCell ref="B134:B135"/>
    <mergeCell ref="C134:C135"/>
    <mergeCell ref="F134:F135"/>
    <mergeCell ref="H134:I134"/>
    <mergeCell ref="H135:I135"/>
    <mergeCell ref="L134:M134"/>
    <mergeCell ref="L135:M135"/>
    <mergeCell ref="A162:M162"/>
    <mergeCell ref="A163:A164"/>
    <mergeCell ref="B163:B164"/>
    <mergeCell ref="C163:C164"/>
    <mergeCell ref="F163:F164"/>
    <mergeCell ref="H163:I163"/>
    <mergeCell ref="H164:I164"/>
    <mergeCell ref="L163:M163"/>
    <mergeCell ref="L164:M164"/>
    <mergeCell ref="A181:M181"/>
    <mergeCell ref="A182:A183"/>
    <mergeCell ref="B182:B183"/>
    <mergeCell ref="C182:C183"/>
    <mergeCell ref="F182:F183"/>
    <mergeCell ref="H182:I182"/>
    <mergeCell ref="H183:I183"/>
    <mergeCell ref="L182:M182"/>
    <mergeCell ref="L183:M183"/>
    <mergeCell ref="A205:M205"/>
    <mergeCell ref="A206:A207"/>
    <mergeCell ref="B206:B207"/>
    <mergeCell ref="C206:C207"/>
    <mergeCell ref="F206:F207"/>
    <mergeCell ref="H206:I206"/>
    <mergeCell ref="H207:I207"/>
    <mergeCell ref="L206:M206"/>
    <mergeCell ref="L207:M207"/>
    <mergeCell ref="A229:M229"/>
    <mergeCell ref="A230:A231"/>
    <mergeCell ref="B230:B231"/>
    <mergeCell ref="C230:C231"/>
    <mergeCell ref="F230:F231"/>
    <mergeCell ref="H230:I230"/>
    <mergeCell ref="H231:I231"/>
    <mergeCell ref="L230:M230"/>
    <mergeCell ref="L231:M231"/>
    <mergeCell ref="A253:M253"/>
    <mergeCell ref="A254:A255"/>
    <mergeCell ref="B254:B255"/>
    <mergeCell ref="C254:C255"/>
    <mergeCell ref="F254:F255"/>
    <mergeCell ref="H254:I254"/>
    <mergeCell ref="H255:I255"/>
    <mergeCell ref="L254:M254"/>
    <mergeCell ref="L255:M255"/>
    <mergeCell ref="A272:M272"/>
    <mergeCell ref="A273:A274"/>
    <mergeCell ref="B273:B274"/>
    <mergeCell ref="C273:C274"/>
    <mergeCell ref="F273:F274"/>
    <mergeCell ref="H273:I273"/>
    <mergeCell ref="H274:I274"/>
    <mergeCell ref="L273:M273"/>
    <mergeCell ref="L274:M274"/>
    <mergeCell ref="A291:M291"/>
    <mergeCell ref="A292:A293"/>
    <mergeCell ref="B292:B293"/>
    <mergeCell ref="C292:C293"/>
    <mergeCell ref="F292:F293"/>
    <mergeCell ref="H292:I292"/>
    <mergeCell ref="H293:I293"/>
    <mergeCell ref="L292:M292"/>
    <mergeCell ref="L293:M293"/>
    <mergeCell ref="A310:M310"/>
    <mergeCell ref="A311:A312"/>
    <mergeCell ref="B311:B312"/>
    <mergeCell ref="C311:C312"/>
    <mergeCell ref="F311:F312"/>
    <mergeCell ref="H311:I311"/>
    <mergeCell ref="H312:I312"/>
    <mergeCell ref="L311:M311"/>
    <mergeCell ref="L312:M312"/>
    <mergeCell ref="A329:M329"/>
    <mergeCell ref="A330:A331"/>
    <mergeCell ref="B330:B331"/>
    <mergeCell ref="C330:C331"/>
    <mergeCell ref="F330:F331"/>
    <mergeCell ref="H330:I330"/>
    <mergeCell ref="H331:I331"/>
    <mergeCell ref="L330:M330"/>
    <mergeCell ref="L331:M331"/>
    <mergeCell ref="A348:M348"/>
    <mergeCell ref="A349:A350"/>
    <mergeCell ref="B349:B350"/>
    <mergeCell ref="C349:C350"/>
    <mergeCell ref="F349:F350"/>
    <mergeCell ref="H349:I349"/>
    <mergeCell ref="H350:I350"/>
    <mergeCell ref="L349:M349"/>
    <mergeCell ref="L350:M35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E85A-C813-4B27-B48E-B60EAEC86E23}">
  <dimension ref="A1:H34"/>
  <sheetViews>
    <sheetView topLeftCell="A13" workbookViewId="0">
      <selection activeCell="H16" sqref="H16"/>
    </sheetView>
  </sheetViews>
  <sheetFormatPr defaultRowHeight="16.5" x14ac:dyDescent="0.3"/>
  <cols>
    <col min="8" max="8" width="20.5" bestFit="1" customWidth="1"/>
  </cols>
  <sheetData>
    <row r="1" spans="1:8" x14ac:dyDescent="0.3">
      <c r="A1" s="1" t="s">
        <v>129</v>
      </c>
    </row>
    <row r="2" spans="1:8" ht="17.25" thickBot="1" x14ac:dyDescent="0.35"/>
    <row r="3" spans="1:8" ht="16.5" customHeight="1" x14ac:dyDescent="0.3">
      <c r="A3" s="24" t="s">
        <v>75</v>
      </c>
      <c r="B3" s="26"/>
    </row>
    <row r="4" spans="1:8" ht="26.25" thickBot="1" x14ac:dyDescent="0.35">
      <c r="A4" s="13" t="s">
        <v>76</v>
      </c>
      <c r="B4" s="2">
        <v>183</v>
      </c>
    </row>
    <row r="5" spans="1:8" ht="26.25" thickBot="1" x14ac:dyDescent="0.35">
      <c r="A5" s="13" t="s">
        <v>77</v>
      </c>
      <c r="B5" s="2">
        <v>2982</v>
      </c>
    </row>
    <row r="6" spans="1:8" ht="39" thickBot="1" x14ac:dyDescent="0.35">
      <c r="A6" s="13" t="s">
        <v>78</v>
      </c>
      <c r="B6" s="2">
        <v>68635</v>
      </c>
    </row>
    <row r="7" spans="1:8" ht="25.5" x14ac:dyDescent="0.3">
      <c r="A7" s="14" t="s">
        <v>79</v>
      </c>
      <c r="B7" s="2">
        <v>30251935.699999999</v>
      </c>
    </row>
    <row r="8" spans="1:8" ht="17.25" thickBot="1" x14ac:dyDescent="0.35"/>
    <row r="9" spans="1:8" ht="33" customHeight="1" x14ac:dyDescent="0.3">
      <c r="A9" s="24" t="s">
        <v>80</v>
      </c>
      <c r="B9" s="26"/>
    </row>
    <row r="10" spans="1:8" ht="33.75" thickBot="1" x14ac:dyDescent="0.35">
      <c r="A10" s="13" t="s">
        <v>81</v>
      </c>
      <c r="B10" s="2" t="s">
        <v>82</v>
      </c>
    </row>
    <row r="11" spans="1:8" ht="25.5" x14ac:dyDescent="0.3">
      <c r="A11" s="14" t="s">
        <v>83</v>
      </c>
      <c r="B11" s="2" t="s">
        <v>84</v>
      </c>
    </row>
    <row r="12" spans="1:8" ht="17.25" thickBot="1" x14ac:dyDescent="0.35"/>
    <row r="13" spans="1:8" ht="16.5" customHeight="1" x14ac:dyDescent="0.3">
      <c r="A13" s="24" t="s">
        <v>130</v>
      </c>
      <c r="B13" s="26"/>
      <c r="C13" s="26"/>
      <c r="D13" s="26"/>
      <c r="E13" s="26"/>
      <c r="F13" s="26"/>
    </row>
    <row r="14" spans="1:8" x14ac:dyDescent="0.3">
      <c r="A14" s="25" t="s">
        <v>131</v>
      </c>
      <c r="B14" s="27" t="s">
        <v>46</v>
      </c>
      <c r="C14" s="27" t="s">
        <v>132</v>
      </c>
      <c r="D14" s="3" t="s">
        <v>133</v>
      </c>
      <c r="E14" s="27" t="s">
        <v>135</v>
      </c>
      <c r="F14" s="27"/>
    </row>
    <row r="15" spans="1:8" x14ac:dyDescent="0.3">
      <c r="A15" s="25"/>
      <c r="B15" s="27"/>
      <c r="C15" s="27"/>
      <c r="D15" s="3" t="s">
        <v>134</v>
      </c>
      <c r="E15" s="27"/>
      <c r="F15" s="27"/>
    </row>
    <row r="16" spans="1:8" ht="17.25" thickBot="1" x14ac:dyDescent="0.35">
      <c r="A16" s="13" t="s">
        <v>51</v>
      </c>
      <c r="B16" s="2">
        <v>68635</v>
      </c>
      <c r="C16" s="2">
        <v>45.215848999999999</v>
      </c>
      <c r="D16" s="2">
        <v>0.103032</v>
      </c>
      <c r="E16" s="2">
        <v>45.013821999999998</v>
      </c>
      <c r="F16" s="2">
        <v>45.417876</v>
      </c>
      <c r="H16" s="8" t="str">
        <f>TEXT(C16,"0.00")&amp;" ("&amp;TEXT(E16,"0.00")&amp;" to "&amp;TEXT(F16,"0.00")&amp;")"</f>
        <v>45.22 (45.01 to 45.42)</v>
      </c>
    </row>
    <row r="17" spans="1:8" ht="17.25" thickBot="1" x14ac:dyDescent="0.35">
      <c r="A17" s="13" t="s">
        <v>52</v>
      </c>
      <c r="B17" s="2">
        <v>68635</v>
      </c>
      <c r="C17" s="2">
        <v>23.906639999999999</v>
      </c>
      <c r="D17" s="2">
        <v>1.8789E-2</v>
      </c>
      <c r="E17" s="2">
        <v>23.869799</v>
      </c>
      <c r="F17" s="2">
        <v>23.943480999999998</v>
      </c>
      <c r="H17" s="8" t="str">
        <f t="shared" ref="H17:H33" si="0">TEXT(C17,"0.00")&amp;" ("&amp;TEXT(E17,"0.00")&amp;" to "&amp;TEXT(F17,"0.00")&amp;")"</f>
        <v>23.91 (23.87 to 23.94)</v>
      </c>
    </row>
    <row r="18" spans="1:8" ht="17.25" thickBot="1" x14ac:dyDescent="0.35">
      <c r="A18" s="13" t="s">
        <v>53</v>
      </c>
      <c r="B18" s="2">
        <v>68635</v>
      </c>
      <c r="C18" s="2">
        <v>82.309263999999999</v>
      </c>
      <c r="D18" s="2">
        <v>5.8243999999999997E-2</v>
      </c>
      <c r="E18" s="2">
        <v>82.195058000000003</v>
      </c>
      <c r="F18" s="2">
        <v>82.423469999999995</v>
      </c>
      <c r="H18" s="8" t="str">
        <f t="shared" si="0"/>
        <v>82.31 (82.20 to 82.42)</v>
      </c>
    </row>
    <row r="19" spans="1:8" ht="17.25" thickBot="1" x14ac:dyDescent="0.35">
      <c r="A19" s="13" t="s">
        <v>54</v>
      </c>
      <c r="B19" s="2">
        <v>68635</v>
      </c>
      <c r="C19" s="2">
        <v>7.7218999999999996E-2</v>
      </c>
      <c r="D19" s="2">
        <v>3.3868999999999997E-5</v>
      </c>
      <c r="E19" s="2">
        <v>7.7151999999999998E-2</v>
      </c>
      <c r="F19" s="2">
        <v>7.7285000000000006E-2</v>
      </c>
      <c r="H19" s="8" t="str">
        <f t="shared" si="0"/>
        <v>0.08 (0.08 to 0.08)</v>
      </c>
    </row>
    <row r="20" spans="1:8" ht="17.25" thickBot="1" x14ac:dyDescent="0.35">
      <c r="A20" s="13" t="s">
        <v>55</v>
      </c>
      <c r="B20" s="2">
        <v>68635</v>
      </c>
      <c r="C20" s="2">
        <v>117.211527</v>
      </c>
      <c r="D20" s="2">
        <v>9.3200000000000005E-2</v>
      </c>
      <c r="E20" s="2">
        <v>117.02878</v>
      </c>
      <c r="F20" s="2">
        <v>117.39427499999999</v>
      </c>
      <c r="H20" s="8" t="str">
        <f t="shared" si="0"/>
        <v>117.21 (117.03 to 117.39)</v>
      </c>
    </row>
    <row r="21" spans="1:8" ht="17.25" thickBot="1" x14ac:dyDescent="0.35">
      <c r="A21" s="13" t="s">
        <v>56</v>
      </c>
      <c r="B21" s="2">
        <v>68635</v>
      </c>
      <c r="C21" s="2">
        <v>98.459008999999995</v>
      </c>
      <c r="D21" s="2">
        <v>0.106819</v>
      </c>
      <c r="E21" s="2">
        <v>98.249557999999993</v>
      </c>
      <c r="F21" s="2">
        <v>98.668460999999994</v>
      </c>
      <c r="H21" s="8" t="str">
        <f t="shared" si="0"/>
        <v>98.46 (98.25 to 98.67)</v>
      </c>
    </row>
    <row r="22" spans="1:8" ht="17.25" thickBot="1" x14ac:dyDescent="0.35">
      <c r="A22" s="13" t="s">
        <v>57</v>
      </c>
      <c r="B22" s="2">
        <v>68635</v>
      </c>
      <c r="C22" s="2">
        <v>189.97627499999999</v>
      </c>
      <c r="D22" s="2">
        <v>0.19037399999999999</v>
      </c>
      <c r="E22" s="2">
        <v>189.60298700000001</v>
      </c>
      <c r="F22" s="2">
        <v>190.34956299999999</v>
      </c>
      <c r="H22" s="8" t="str">
        <f t="shared" si="0"/>
        <v>189.98 (189.60 to 190.35)</v>
      </c>
    </row>
    <row r="23" spans="1:8" ht="26.25" thickBot="1" x14ac:dyDescent="0.35">
      <c r="A23" s="13" t="s">
        <v>58</v>
      </c>
      <c r="B23" s="2">
        <v>68635</v>
      </c>
      <c r="C23" s="2">
        <v>51.295228999999999</v>
      </c>
      <c r="D23" s="2">
        <v>6.8338999999999997E-2</v>
      </c>
      <c r="E23" s="2">
        <v>51.161228000000001</v>
      </c>
      <c r="F23" s="2">
        <v>51.429229999999997</v>
      </c>
      <c r="H23" s="8" t="str">
        <f t="shared" si="0"/>
        <v>51.30 (51.16 to 51.43)</v>
      </c>
    </row>
    <row r="24" spans="1:8" ht="17.25" thickBot="1" x14ac:dyDescent="0.35">
      <c r="A24" s="13" t="s">
        <v>59</v>
      </c>
      <c r="B24" s="2">
        <v>68635</v>
      </c>
      <c r="C24" s="2">
        <v>135.18561800000001</v>
      </c>
      <c r="D24" s="2">
        <v>0.58354700000000004</v>
      </c>
      <c r="E24" s="2">
        <v>134.041391</v>
      </c>
      <c r="F24" s="2">
        <v>136.32984400000001</v>
      </c>
      <c r="H24" s="8" t="str">
        <f t="shared" si="0"/>
        <v>135.19 (134.04 to 136.33)</v>
      </c>
    </row>
    <row r="25" spans="1:8" ht="17.25" thickBot="1" x14ac:dyDescent="0.35">
      <c r="A25" s="13" t="s">
        <v>60</v>
      </c>
      <c r="B25" s="2">
        <v>68635</v>
      </c>
      <c r="C25" s="2">
        <v>23.221723000000001</v>
      </c>
      <c r="D25" s="2">
        <v>6.7901000000000003E-2</v>
      </c>
      <c r="E25" s="2">
        <v>23.088581999999999</v>
      </c>
      <c r="F25" s="2">
        <v>23.354863000000002</v>
      </c>
      <c r="H25" s="8" t="str">
        <f t="shared" si="0"/>
        <v>23.22 (23.09 to 23.35)</v>
      </c>
    </row>
    <row r="26" spans="1:8" ht="17.25" thickBot="1" x14ac:dyDescent="0.35">
      <c r="A26" s="13" t="s">
        <v>61</v>
      </c>
      <c r="B26" s="2">
        <v>68635</v>
      </c>
      <c r="C26" s="2">
        <v>23.406745000000001</v>
      </c>
      <c r="D26" s="2">
        <v>0.100787</v>
      </c>
      <c r="E26" s="2">
        <v>23.209121</v>
      </c>
      <c r="F26" s="2">
        <v>23.604368000000001</v>
      </c>
      <c r="H26" s="8" t="str">
        <f t="shared" si="0"/>
        <v>23.41 (23.21 to 23.60)</v>
      </c>
    </row>
    <row r="27" spans="1:8" ht="17.25" thickBot="1" x14ac:dyDescent="0.35">
      <c r="A27" s="13" t="s">
        <v>62</v>
      </c>
      <c r="B27" s="2">
        <v>68635</v>
      </c>
      <c r="C27" s="2">
        <v>14.283529</v>
      </c>
      <c r="D27" s="2">
        <v>7.8530000000000006E-3</v>
      </c>
      <c r="E27" s="2">
        <v>14.268129999999999</v>
      </c>
      <c r="F27" s="2">
        <v>14.298928</v>
      </c>
      <c r="H27" s="8" t="str">
        <f t="shared" si="0"/>
        <v>14.28 (14.27 to 14.30)</v>
      </c>
    </row>
    <row r="28" spans="1:8" ht="17.25" thickBot="1" x14ac:dyDescent="0.35">
      <c r="A28" s="13" t="s">
        <v>63</v>
      </c>
      <c r="B28" s="2">
        <v>68635</v>
      </c>
      <c r="C28" s="2">
        <v>14.213467</v>
      </c>
      <c r="D28" s="2">
        <v>2.3168000000000001E-2</v>
      </c>
      <c r="E28" s="2">
        <v>14.16804</v>
      </c>
      <c r="F28" s="2">
        <v>14.258894</v>
      </c>
      <c r="H28" s="8" t="str">
        <f t="shared" si="0"/>
        <v>14.21 (14.17 to 14.26)</v>
      </c>
    </row>
    <row r="29" spans="1:8" ht="17.25" thickBot="1" x14ac:dyDescent="0.35">
      <c r="A29" s="13" t="s">
        <v>64</v>
      </c>
      <c r="B29" s="2">
        <v>68635</v>
      </c>
      <c r="C29" s="2">
        <v>0.84737099999999999</v>
      </c>
      <c r="D29" s="2">
        <v>1.214E-3</v>
      </c>
      <c r="E29" s="2">
        <v>0.84499000000000002</v>
      </c>
      <c r="F29" s="2">
        <v>0.84975199999999995</v>
      </c>
      <c r="H29" s="8" t="str">
        <f t="shared" si="0"/>
        <v>0.85 (0.84 to 0.85)</v>
      </c>
    </row>
    <row r="30" spans="1:8" ht="17.25" thickBot="1" x14ac:dyDescent="0.35">
      <c r="A30" s="13" t="s">
        <v>65</v>
      </c>
      <c r="B30" s="2">
        <v>68635</v>
      </c>
      <c r="C30" s="2">
        <v>5.7589550000000003</v>
      </c>
      <c r="D30" s="2">
        <v>4.032E-3</v>
      </c>
      <c r="E30" s="2">
        <v>5.7510500000000002</v>
      </c>
      <c r="F30" s="2">
        <v>5.7668609999999996</v>
      </c>
      <c r="H30" s="8" t="str">
        <f t="shared" si="0"/>
        <v>5.76 (5.75 to 5.77)</v>
      </c>
    </row>
    <row r="31" spans="1:8" ht="17.25" thickBot="1" x14ac:dyDescent="0.35">
      <c r="A31" s="13" t="s">
        <v>66</v>
      </c>
      <c r="B31" s="2">
        <v>68635</v>
      </c>
      <c r="C31" s="2">
        <v>8.5827570000000009</v>
      </c>
      <c r="D31" s="2">
        <v>3.4259999999999998E-3</v>
      </c>
      <c r="E31" s="2">
        <v>8.5760380000000005</v>
      </c>
      <c r="F31" s="2">
        <v>8.5894750000000002</v>
      </c>
      <c r="H31" s="8" t="str">
        <f t="shared" si="0"/>
        <v>8.58 (8.58 to 8.59)</v>
      </c>
    </row>
    <row r="32" spans="1:8" ht="17.25" thickBot="1" x14ac:dyDescent="0.35">
      <c r="A32" s="13" t="s">
        <v>67</v>
      </c>
      <c r="B32" s="2">
        <v>68635</v>
      </c>
      <c r="C32" s="2">
        <v>0.66370899999999999</v>
      </c>
      <c r="D32" s="2">
        <v>4.4099999999999999E-4</v>
      </c>
      <c r="E32" s="2">
        <v>0.66284399999999999</v>
      </c>
      <c r="F32" s="2">
        <v>0.66457299999999997</v>
      </c>
      <c r="H32" s="8" t="str">
        <f t="shared" si="0"/>
        <v>0.66 (0.66 to 0.66)</v>
      </c>
    </row>
    <row r="33" spans="1:8" ht="17.25" thickBot="1" x14ac:dyDescent="0.35">
      <c r="A33" s="13" t="s">
        <v>68</v>
      </c>
      <c r="B33" s="2">
        <v>68635</v>
      </c>
      <c r="C33" s="2">
        <v>0.34523599999999999</v>
      </c>
      <c r="D33" s="2">
        <v>1.6490000000000001E-3</v>
      </c>
      <c r="E33" s="2">
        <v>0.34200199999999997</v>
      </c>
      <c r="F33" s="2">
        <v>0.34847</v>
      </c>
      <c r="H33" s="8" t="str">
        <f t="shared" si="0"/>
        <v>0.35 (0.34 to 0.35)</v>
      </c>
    </row>
    <row r="34" spans="1:8" x14ac:dyDescent="0.3">
      <c r="A34" s="14" t="s">
        <v>69</v>
      </c>
      <c r="B34" s="2">
        <v>68635</v>
      </c>
      <c r="C34" s="2">
        <v>35.601097000000003</v>
      </c>
      <c r="D34" s="2">
        <v>3.8943999999999999E-2</v>
      </c>
      <c r="E34" s="2">
        <v>35.524735999999997</v>
      </c>
      <c r="F34" s="2">
        <v>35.677458000000001</v>
      </c>
      <c r="H34" s="8" t="str">
        <f>TEXT(C34,"0.00")&amp;" ("&amp;TEXT(E34,"0.00")&amp;" to "&amp;TEXT(F34,"0.00")&amp;")"</f>
        <v>35.60 (35.52 to 35.68)</v>
      </c>
    </row>
  </sheetData>
  <mergeCells count="7">
    <mergeCell ref="A3:B3"/>
    <mergeCell ref="A9:B9"/>
    <mergeCell ref="A13:F13"/>
    <mergeCell ref="A14:A15"/>
    <mergeCell ref="B14:B15"/>
    <mergeCell ref="C14:C15"/>
    <mergeCell ref="E14:F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4246-4FBB-44FF-9F44-17B4BEE46208}">
  <dimension ref="A1:H153"/>
  <sheetViews>
    <sheetView topLeftCell="A128" workbookViewId="0">
      <selection activeCell="H135" sqref="H135"/>
    </sheetView>
  </sheetViews>
  <sheetFormatPr defaultRowHeight="16.5" x14ac:dyDescent="0.3"/>
  <cols>
    <col min="8" max="8" width="23.875" bestFit="1" customWidth="1"/>
  </cols>
  <sheetData>
    <row r="1" spans="1:6" x14ac:dyDescent="0.3">
      <c r="A1" s="1" t="s">
        <v>129</v>
      </c>
    </row>
    <row r="3" spans="1:6" x14ac:dyDescent="0.3">
      <c r="A3" s="1" t="s">
        <v>70</v>
      </c>
    </row>
    <row r="4" spans="1:6" ht="17.25" thickBot="1" x14ac:dyDescent="0.35"/>
    <row r="5" spans="1:6" ht="16.5" customHeight="1" x14ac:dyDescent="0.3">
      <c r="A5" s="24" t="s">
        <v>75</v>
      </c>
      <c r="B5" s="26"/>
    </row>
    <row r="6" spans="1:6" ht="26.25" thickBot="1" x14ac:dyDescent="0.35">
      <c r="A6" s="13" t="s">
        <v>76</v>
      </c>
      <c r="B6" s="2">
        <v>183</v>
      </c>
    </row>
    <row r="7" spans="1:6" ht="26.25" thickBot="1" x14ac:dyDescent="0.35">
      <c r="A7" s="13" t="s">
        <v>77</v>
      </c>
      <c r="B7" s="2">
        <v>2922</v>
      </c>
    </row>
    <row r="8" spans="1:6" ht="39" thickBot="1" x14ac:dyDescent="0.35">
      <c r="A8" s="13" t="s">
        <v>78</v>
      </c>
      <c r="B8" s="2">
        <v>15457</v>
      </c>
    </row>
    <row r="9" spans="1:6" ht="25.5" x14ac:dyDescent="0.3">
      <c r="A9" s="14" t="s">
        <v>79</v>
      </c>
      <c r="B9" s="2">
        <v>7047840.6699999999</v>
      </c>
    </row>
    <row r="10" spans="1:6" ht="17.25" thickBot="1" x14ac:dyDescent="0.35"/>
    <row r="11" spans="1:6" ht="33" customHeight="1" x14ac:dyDescent="0.3">
      <c r="A11" s="24" t="s">
        <v>80</v>
      </c>
      <c r="B11" s="26"/>
    </row>
    <row r="12" spans="1:6" ht="33.75" thickBot="1" x14ac:dyDescent="0.35">
      <c r="A12" s="13" t="s">
        <v>81</v>
      </c>
      <c r="B12" s="2" t="s">
        <v>82</v>
      </c>
    </row>
    <row r="13" spans="1:6" ht="25.5" x14ac:dyDescent="0.3">
      <c r="A13" s="14" t="s">
        <v>83</v>
      </c>
      <c r="B13" s="2" t="s">
        <v>84</v>
      </c>
    </row>
    <row r="14" spans="1:6" ht="17.25" thickBot="1" x14ac:dyDescent="0.35"/>
    <row r="15" spans="1:6" ht="16.5" customHeight="1" x14ac:dyDescent="0.3">
      <c r="A15" s="24" t="s">
        <v>130</v>
      </c>
      <c r="B15" s="26"/>
      <c r="C15" s="26"/>
      <c r="D15" s="26"/>
      <c r="E15" s="26"/>
      <c r="F15" s="26"/>
    </row>
    <row r="16" spans="1:6" ht="16.5" customHeight="1" x14ac:dyDescent="0.3">
      <c r="A16" s="25" t="s">
        <v>131</v>
      </c>
      <c r="B16" s="27" t="s">
        <v>46</v>
      </c>
      <c r="C16" s="27" t="s">
        <v>132</v>
      </c>
      <c r="D16" s="3" t="s">
        <v>133</v>
      </c>
      <c r="E16" s="27" t="s">
        <v>135</v>
      </c>
      <c r="F16" s="27"/>
    </row>
    <row r="17" spans="1:8" x14ac:dyDescent="0.3">
      <c r="A17" s="25"/>
      <c r="B17" s="27"/>
      <c r="C17" s="27"/>
      <c r="D17" s="3" t="s">
        <v>134</v>
      </c>
      <c r="E17" s="27"/>
      <c r="F17" s="27"/>
    </row>
    <row r="18" spans="1:8" ht="17.25" thickBot="1" x14ac:dyDescent="0.35">
      <c r="A18" s="13" t="s">
        <v>51</v>
      </c>
      <c r="B18" s="2">
        <v>15457</v>
      </c>
      <c r="C18" s="2">
        <v>39.297024</v>
      </c>
      <c r="D18" s="2">
        <v>0.147561</v>
      </c>
      <c r="E18" s="2">
        <v>39.007682000000003</v>
      </c>
      <c r="F18" s="2">
        <v>39.586365999999998</v>
      </c>
      <c r="H18" s="8" t="str">
        <f>TEXT(C18,"0.00")&amp;" ("&amp;TEXT(E18,"0.00")&amp;" to "&amp;TEXT(F18,"0.00")&amp;")"</f>
        <v>39.30 (39.01 to 39.59)</v>
      </c>
    </row>
    <row r="19" spans="1:8" ht="17.25" thickBot="1" x14ac:dyDescent="0.35">
      <c r="A19" s="13" t="s">
        <v>52</v>
      </c>
      <c r="B19" s="2">
        <v>15457</v>
      </c>
      <c r="C19" s="2">
        <v>19.909758</v>
      </c>
      <c r="D19" s="2">
        <v>1.5473000000000001E-2</v>
      </c>
      <c r="E19" s="2">
        <v>19.879418000000001</v>
      </c>
      <c r="F19" s="2">
        <v>19.940099</v>
      </c>
      <c r="H19" s="8" t="str">
        <f t="shared" ref="H19:H36" si="0">TEXT(C19,"0.00")&amp;" ("&amp;TEXT(E19,"0.00")&amp;" to "&amp;TEXT(F19,"0.00")&amp;")"</f>
        <v>19.91 (19.88 to 19.94)</v>
      </c>
    </row>
    <row r="20" spans="1:8" ht="17.25" thickBot="1" x14ac:dyDescent="0.35">
      <c r="A20" s="13" t="s">
        <v>53</v>
      </c>
      <c r="B20" s="2">
        <v>15457</v>
      </c>
      <c r="C20" s="2">
        <v>70.616902999999994</v>
      </c>
      <c r="D20" s="2">
        <v>6.0093000000000001E-2</v>
      </c>
      <c r="E20" s="2">
        <v>70.499070000000003</v>
      </c>
      <c r="F20" s="2">
        <v>70.734735999999998</v>
      </c>
      <c r="H20" s="8" t="str">
        <f t="shared" si="0"/>
        <v>70.62 (70.50 to 70.73)</v>
      </c>
    </row>
    <row r="21" spans="1:8" ht="17.25" thickBot="1" x14ac:dyDescent="0.35">
      <c r="A21" s="13" t="s">
        <v>54</v>
      </c>
      <c r="B21" s="2">
        <v>15457</v>
      </c>
      <c r="C21" s="2">
        <v>7.5181999999999999E-2</v>
      </c>
      <c r="D21" s="2">
        <v>4.7991000000000002E-5</v>
      </c>
      <c r="E21" s="2">
        <v>7.5088000000000002E-2</v>
      </c>
      <c r="F21" s="2">
        <v>7.5275999999999996E-2</v>
      </c>
      <c r="H21" s="8" t="str">
        <f t="shared" si="0"/>
        <v>0.08 (0.08 to 0.08)</v>
      </c>
    </row>
    <row r="22" spans="1:8" ht="17.25" thickBot="1" x14ac:dyDescent="0.35">
      <c r="A22" s="13" t="s">
        <v>55</v>
      </c>
      <c r="B22" s="2">
        <v>15457</v>
      </c>
      <c r="C22" s="2">
        <v>109.651555</v>
      </c>
      <c r="D22" s="2">
        <v>0.13744000000000001</v>
      </c>
      <c r="E22" s="2">
        <v>109.382059</v>
      </c>
      <c r="F22" s="2">
        <v>109.92105100000001</v>
      </c>
      <c r="H22" s="8" t="str">
        <f t="shared" si="0"/>
        <v>109.65 (109.38 to 109.92)</v>
      </c>
    </row>
    <row r="23" spans="1:8" ht="17.25" thickBot="1" x14ac:dyDescent="0.35">
      <c r="A23" s="13" t="s">
        <v>56</v>
      </c>
      <c r="B23" s="2">
        <v>15457</v>
      </c>
      <c r="C23" s="2">
        <v>89.670130999999998</v>
      </c>
      <c r="D23" s="2">
        <v>9.3512999999999999E-2</v>
      </c>
      <c r="E23" s="2">
        <v>89.486767999999998</v>
      </c>
      <c r="F23" s="2">
        <v>89.853493999999998</v>
      </c>
      <c r="H23" s="8" t="str">
        <f t="shared" si="0"/>
        <v>89.67 (89.49 to 89.85)</v>
      </c>
    </row>
    <row r="24" spans="1:8" ht="17.25" thickBot="1" x14ac:dyDescent="0.35">
      <c r="A24" s="13" t="s">
        <v>57</v>
      </c>
      <c r="B24" s="2">
        <v>15457</v>
      </c>
      <c r="C24" s="2">
        <v>183.060126</v>
      </c>
      <c r="D24" s="2">
        <v>0.322633</v>
      </c>
      <c r="E24" s="2">
        <v>182.42749800000001</v>
      </c>
      <c r="F24" s="2">
        <v>183.69275400000001</v>
      </c>
      <c r="H24" s="8" t="str">
        <f t="shared" si="0"/>
        <v>183.06 (182.43 to 183.69)</v>
      </c>
    </row>
    <row r="25" spans="1:8" ht="26.25" thickBot="1" x14ac:dyDescent="0.35">
      <c r="A25" s="13" t="s">
        <v>58</v>
      </c>
      <c r="B25" s="2">
        <v>15457</v>
      </c>
      <c r="C25" s="2">
        <v>62.833874999999999</v>
      </c>
      <c r="D25" s="2">
        <v>0.12731400000000001</v>
      </c>
      <c r="E25" s="2">
        <v>62.584232999999998</v>
      </c>
      <c r="F25" s="2">
        <v>63.083517000000001</v>
      </c>
      <c r="H25" s="8" t="str">
        <f t="shared" si="0"/>
        <v>62.83 (62.58 to 63.08)</v>
      </c>
    </row>
    <row r="26" spans="1:8" ht="17.25" thickBot="1" x14ac:dyDescent="0.35">
      <c r="A26" s="13" t="s">
        <v>59</v>
      </c>
      <c r="B26" s="2">
        <v>15457</v>
      </c>
      <c r="C26" s="2">
        <v>74.648712000000003</v>
      </c>
      <c r="D26" s="2">
        <v>0.32890900000000001</v>
      </c>
      <c r="E26" s="2">
        <v>74.003776999999999</v>
      </c>
      <c r="F26" s="2">
        <v>75.293648000000005</v>
      </c>
      <c r="H26" s="8" t="str">
        <f t="shared" si="0"/>
        <v>74.65 (74.00 to 75.29)</v>
      </c>
    </row>
    <row r="27" spans="1:8" ht="17.25" thickBot="1" x14ac:dyDescent="0.35">
      <c r="A27" s="13" t="s">
        <v>60</v>
      </c>
      <c r="B27" s="2">
        <v>15457</v>
      </c>
      <c r="C27" s="2">
        <v>20.245488999999999</v>
      </c>
      <c r="D27" s="2">
        <v>0.10421800000000001</v>
      </c>
      <c r="E27" s="2">
        <v>20.041135000000001</v>
      </c>
      <c r="F27" s="2">
        <v>20.449843000000001</v>
      </c>
      <c r="H27" s="8" t="str">
        <f t="shared" si="0"/>
        <v>20.25 (20.04 to 20.45)</v>
      </c>
    </row>
    <row r="28" spans="1:8" ht="17.25" thickBot="1" x14ac:dyDescent="0.35">
      <c r="A28" s="13" t="s">
        <v>61</v>
      </c>
      <c r="B28" s="2">
        <v>15457</v>
      </c>
      <c r="C28" s="2">
        <v>15.434498</v>
      </c>
      <c r="D28" s="2">
        <v>0.100881</v>
      </c>
      <c r="E28" s="2">
        <v>15.236687</v>
      </c>
      <c r="F28" s="2">
        <v>15.63231</v>
      </c>
      <c r="H28" s="8" t="str">
        <f t="shared" si="0"/>
        <v>15.43 (15.24 to 15.63)</v>
      </c>
    </row>
    <row r="29" spans="1:8" ht="17.25" thickBot="1" x14ac:dyDescent="0.35">
      <c r="A29" s="13" t="s">
        <v>62</v>
      </c>
      <c r="B29" s="2">
        <v>15457</v>
      </c>
      <c r="C29" s="2">
        <v>13.601652</v>
      </c>
      <c r="D29" s="2">
        <v>1.5872000000000001E-2</v>
      </c>
      <c r="E29" s="2">
        <v>13.570529000000001</v>
      </c>
      <c r="F29" s="2">
        <v>13.632774</v>
      </c>
      <c r="H29" s="8" t="str">
        <f t="shared" si="0"/>
        <v>13.60 (13.57 to 13.63)</v>
      </c>
    </row>
    <row r="30" spans="1:8" ht="17.25" thickBot="1" x14ac:dyDescent="0.35">
      <c r="A30" s="13" t="s">
        <v>63</v>
      </c>
      <c r="B30" s="2">
        <v>15457</v>
      </c>
      <c r="C30" s="2">
        <v>13.241277999999999</v>
      </c>
      <c r="D30" s="2">
        <v>4.1168000000000003E-2</v>
      </c>
      <c r="E30" s="2">
        <v>13.160555</v>
      </c>
      <c r="F30" s="2">
        <v>13.322001</v>
      </c>
      <c r="H30" s="8" t="str">
        <f t="shared" si="0"/>
        <v>13.24 (13.16 to 13.32)</v>
      </c>
    </row>
    <row r="31" spans="1:8" ht="17.25" thickBot="1" x14ac:dyDescent="0.35">
      <c r="A31" s="13" t="s">
        <v>64</v>
      </c>
      <c r="B31" s="2">
        <v>15457</v>
      </c>
      <c r="C31" s="2">
        <v>0.77746400000000004</v>
      </c>
      <c r="D31" s="2">
        <v>2.1930000000000001E-3</v>
      </c>
      <c r="E31" s="2">
        <v>0.77316300000000004</v>
      </c>
      <c r="F31" s="2">
        <v>0.78176500000000004</v>
      </c>
      <c r="H31" s="8" t="str">
        <f t="shared" si="0"/>
        <v>0.78 (0.77 to 0.78)</v>
      </c>
    </row>
    <row r="32" spans="1:8" ht="17.25" thickBot="1" x14ac:dyDescent="0.35">
      <c r="A32" s="13" t="s">
        <v>65</v>
      </c>
      <c r="B32" s="2">
        <v>15457</v>
      </c>
      <c r="C32" s="2">
        <v>5.8156350000000003</v>
      </c>
      <c r="D32" s="2">
        <v>7.3819999999999997E-3</v>
      </c>
      <c r="E32" s="2">
        <v>5.8011600000000003</v>
      </c>
      <c r="F32" s="2">
        <v>5.8301090000000002</v>
      </c>
      <c r="H32" s="8" t="str">
        <f t="shared" si="0"/>
        <v>5.82 (5.80 to 5.83)</v>
      </c>
    </row>
    <row r="33" spans="1:8" ht="17.25" thickBot="1" x14ac:dyDescent="0.35">
      <c r="A33" s="13" t="s">
        <v>66</v>
      </c>
      <c r="B33" s="2">
        <v>15457</v>
      </c>
      <c r="C33" s="2">
        <v>8.0237040000000004</v>
      </c>
      <c r="D33" s="2">
        <v>4.1219999999999998E-3</v>
      </c>
      <c r="E33" s="2">
        <v>8.0156220000000005</v>
      </c>
      <c r="F33" s="2">
        <v>8.0317849999999993</v>
      </c>
      <c r="H33" s="8" t="str">
        <f t="shared" si="0"/>
        <v>8.02 (8.02 to 8.03)</v>
      </c>
    </row>
    <row r="34" spans="1:8" ht="17.25" thickBot="1" x14ac:dyDescent="0.35">
      <c r="A34" s="13" t="s">
        <v>67</v>
      </c>
      <c r="B34" s="2">
        <v>15457</v>
      </c>
      <c r="C34" s="2">
        <v>0.603711</v>
      </c>
      <c r="D34" s="2">
        <v>5.4299999999999997E-4</v>
      </c>
      <c r="E34" s="2">
        <v>0.60264700000000004</v>
      </c>
      <c r="F34" s="2">
        <v>0.60477599999999998</v>
      </c>
      <c r="H34" s="8" t="str">
        <f t="shared" si="0"/>
        <v>0.60 (0.60 to 0.60)</v>
      </c>
    </row>
    <row r="35" spans="1:8" ht="17.25" thickBot="1" x14ac:dyDescent="0.35">
      <c r="A35" s="13" t="s">
        <v>68</v>
      </c>
      <c r="B35" s="2">
        <v>15457</v>
      </c>
      <c r="C35" s="2">
        <v>4.5407000000000003E-2</v>
      </c>
      <c r="D35" s="2">
        <v>1.9620000000000002E-3</v>
      </c>
      <c r="E35" s="2">
        <v>4.1561000000000001E-2</v>
      </c>
      <c r="F35" s="2">
        <v>4.9252999999999998E-2</v>
      </c>
      <c r="H35" s="8" t="str">
        <f t="shared" si="0"/>
        <v>0.05 (0.04 to 0.05)</v>
      </c>
    </row>
    <row r="36" spans="1:8" x14ac:dyDescent="0.3">
      <c r="A36" s="14" t="s">
        <v>69</v>
      </c>
      <c r="B36" s="2">
        <v>15457</v>
      </c>
      <c r="C36" s="2">
        <v>26.718509999999998</v>
      </c>
      <c r="D36" s="2">
        <v>2.0811E-2</v>
      </c>
      <c r="E36" s="2">
        <v>26.677703000000001</v>
      </c>
      <c r="F36" s="2">
        <v>26.759316999999999</v>
      </c>
      <c r="H36" s="8" t="str">
        <f t="shared" si="0"/>
        <v>26.72 (26.68 to 26.76)</v>
      </c>
    </row>
    <row r="40" spans="1:8" x14ac:dyDescent="0.3">
      <c r="A40" s="1" t="s">
        <v>129</v>
      </c>
    </row>
    <row r="42" spans="1:8" x14ac:dyDescent="0.3">
      <c r="A42" s="1" t="s">
        <v>71</v>
      </c>
    </row>
    <row r="43" spans="1:8" ht="17.25" thickBot="1" x14ac:dyDescent="0.35"/>
    <row r="44" spans="1:8" ht="16.5" customHeight="1" x14ac:dyDescent="0.3">
      <c r="A44" s="24" t="s">
        <v>75</v>
      </c>
      <c r="B44" s="26"/>
    </row>
    <row r="45" spans="1:8" ht="26.25" thickBot="1" x14ac:dyDescent="0.35">
      <c r="A45" s="13" t="s">
        <v>76</v>
      </c>
      <c r="B45" s="2">
        <v>183</v>
      </c>
    </row>
    <row r="46" spans="1:8" ht="26.25" thickBot="1" x14ac:dyDescent="0.35">
      <c r="A46" s="13" t="s">
        <v>77</v>
      </c>
      <c r="B46" s="2">
        <v>2960</v>
      </c>
    </row>
    <row r="47" spans="1:8" ht="39" thickBot="1" x14ac:dyDescent="0.35">
      <c r="A47" s="13" t="s">
        <v>78</v>
      </c>
      <c r="B47" s="2">
        <v>17322</v>
      </c>
    </row>
    <row r="48" spans="1:8" ht="25.5" x14ac:dyDescent="0.3">
      <c r="A48" s="14" t="s">
        <v>79</v>
      </c>
      <c r="B48" s="2">
        <v>7521633.25</v>
      </c>
    </row>
    <row r="49" spans="1:8" ht="17.25" thickBot="1" x14ac:dyDescent="0.35"/>
    <row r="50" spans="1:8" ht="33" customHeight="1" x14ac:dyDescent="0.3">
      <c r="A50" s="24" t="s">
        <v>80</v>
      </c>
      <c r="B50" s="26"/>
    </row>
    <row r="51" spans="1:8" ht="33.75" thickBot="1" x14ac:dyDescent="0.35">
      <c r="A51" s="13" t="s">
        <v>81</v>
      </c>
      <c r="B51" s="2" t="s">
        <v>82</v>
      </c>
    </row>
    <row r="52" spans="1:8" ht="25.5" x14ac:dyDescent="0.3">
      <c r="A52" s="14" t="s">
        <v>83</v>
      </c>
      <c r="B52" s="2" t="s">
        <v>84</v>
      </c>
    </row>
    <row r="53" spans="1:8" ht="17.25" thickBot="1" x14ac:dyDescent="0.35"/>
    <row r="54" spans="1:8" ht="16.5" customHeight="1" x14ac:dyDescent="0.3">
      <c r="A54" s="24" t="s">
        <v>130</v>
      </c>
      <c r="B54" s="26"/>
      <c r="C54" s="26"/>
      <c r="D54" s="26"/>
      <c r="E54" s="26"/>
      <c r="F54" s="26"/>
    </row>
    <row r="55" spans="1:8" ht="16.5" customHeight="1" x14ac:dyDescent="0.3">
      <c r="A55" s="25" t="s">
        <v>131</v>
      </c>
      <c r="B55" s="27" t="s">
        <v>46</v>
      </c>
      <c r="C55" s="27" t="s">
        <v>132</v>
      </c>
      <c r="D55" s="3" t="s">
        <v>133</v>
      </c>
      <c r="E55" s="27" t="s">
        <v>135</v>
      </c>
      <c r="F55" s="27"/>
    </row>
    <row r="56" spans="1:8" x14ac:dyDescent="0.3">
      <c r="A56" s="25"/>
      <c r="B56" s="27"/>
      <c r="C56" s="27"/>
      <c r="D56" s="3" t="s">
        <v>134</v>
      </c>
      <c r="E56" s="27"/>
      <c r="F56" s="27"/>
    </row>
    <row r="57" spans="1:8" ht="17.25" thickBot="1" x14ac:dyDescent="0.35">
      <c r="A57" s="13" t="s">
        <v>51</v>
      </c>
      <c r="B57" s="2">
        <v>17322</v>
      </c>
      <c r="C57" s="2">
        <v>45.110244000000002</v>
      </c>
      <c r="D57" s="2">
        <v>0.160408</v>
      </c>
      <c r="E57" s="2">
        <v>44.795712999999999</v>
      </c>
      <c r="F57" s="2">
        <v>45.424774999999997</v>
      </c>
      <c r="H57" s="8" t="str">
        <f>TEXT(C57,"0.00")&amp;" ("&amp;TEXT(E57,"0.00")&amp;" to "&amp;TEXT(F57,"0.00")&amp;")"</f>
        <v>45.11 (44.80 to 45.42)</v>
      </c>
    </row>
    <row r="58" spans="1:8" ht="17.25" thickBot="1" x14ac:dyDescent="0.35">
      <c r="A58" s="13" t="s">
        <v>52</v>
      </c>
      <c r="B58" s="2">
        <v>17322</v>
      </c>
      <c r="C58" s="2">
        <v>22.603176000000001</v>
      </c>
      <c r="D58" s="2">
        <v>1.2689000000000001E-2</v>
      </c>
      <c r="E58" s="2">
        <v>22.578294</v>
      </c>
      <c r="F58" s="2">
        <v>22.628056999999998</v>
      </c>
      <c r="H58" s="8" t="str">
        <f t="shared" ref="H58:H75" si="1">TEXT(C58,"0.00")&amp;" ("&amp;TEXT(E58,"0.00")&amp;" to "&amp;TEXT(F58,"0.00")&amp;")"</f>
        <v>22.60 (22.58 to 22.63)</v>
      </c>
    </row>
    <row r="59" spans="1:8" ht="17.25" thickBot="1" x14ac:dyDescent="0.35">
      <c r="A59" s="13" t="s">
        <v>53</v>
      </c>
      <c r="B59" s="2">
        <v>17322</v>
      </c>
      <c r="C59" s="2">
        <v>78.84581</v>
      </c>
      <c r="D59" s="2">
        <v>5.6524999999999999E-2</v>
      </c>
      <c r="E59" s="2">
        <v>78.734975000000006</v>
      </c>
      <c r="F59" s="2">
        <v>78.956646000000006</v>
      </c>
      <c r="H59" s="8" t="str">
        <f t="shared" si="1"/>
        <v>78.85 (78.73 to 78.96)</v>
      </c>
    </row>
    <row r="60" spans="1:8" ht="17.25" thickBot="1" x14ac:dyDescent="0.35">
      <c r="A60" s="13" t="s">
        <v>54</v>
      </c>
      <c r="B60" s="2">
        <v>17322</v>
      </c>
      <c r="C60" s="2">
        <v>7.6893000000000003E-2</v>
      </c>
      <c r="D60" s="2">
        <v>4.8361E-5</v>
      </c>
      <c r="E60" s="2">
        <v>7.6799000000000006E-2</v>
      </c>
      <c r="F60" s="2">
        <v>7.6988000000000001E-2</v>
      </c>
      <c r="H60" s="8" t="str">
        <f t="shared" si="1"/>
        <v>0.08 (0.08 to 0.08)</v>
      </c>
    </row>
    <row r="61" spans="1:8" ht="17.25" thickBot="1" x14ac:dyDescent="0.35">
      <c r="A61" s="13" t="s">
        <v>55</v>
      </c>
      <c r="B61" s="2">
        <v>17322</v>
      </c>
      <c r="C61" s="2">
        <v>115.305189</v>
      </c>
      <c r="D61" s="2">
        <v>0.143012</v>
      </c>
      <c r="E61" s="2">
        <v>115.02476900000001</v>
      </c>
      <c r="F61" s="2">
        <v>115.58560900000001</v>
      </c>
      <c r="H61" s="8" t="str">
        <f t="shared" si="1"/>
        <v>115.31 (115.02 to 115.59)</v>
      </c>
    </row>
    <row r="62" spans="1:8" ht="17.25" thickBot="1" x14ac:dyDescent="0.35">
      <c r="A62" s="13" t="s">
        <v>56</v>
      </c>
      <c r="B62" s="2">
        <v>17322</v>
      </c>
      <c r="C62" s="2">
        <v>94.535228000000004</v>
      </c>
      <c r="D62" s="2">
        <v>0.132683</v>
      </c>
      <c r="E62" s="2">
        <v>94.275059999999996</v>
      </c>
      <c r="F62" s="2">
        <v>94.795395999999997</v>
      </c>
      <c r="H62" s="8" t="str">
        <f t="shared" si="1"/>
        <v>94.54 (94.28 to 94.80)</v>
      </c>
    </row>
    <row r="63" spans="1:8" ht="17.25" thickBot="1" x14ac:dyDescent="0.35">
      <c r="A63" s="13" t="s">
        <v>57</v>
      </c>
      <c r="B63" s="2">
        <v>17322</v>
      </c>
      <c r="C63" s="2">
        <v>188.04584</v>
      </c>
      <c r="D63" s="2">
        <v>0.33525100000000002</v>
      </c>
      <c r="E63" s="2">
        <v>187.388474</v>
      </c>
      <c r="F63" s="2">
        <v>188.70320699999999</v>
      </c>
      <c r="H63" s="8" t="str">
        <f t="shared" si="1"/>
        <v>188.05 (187.39 to 188.70)</v>
      </c>
    </row>
    <row r="64" spans="1:8" ht="26.25" thickBot="1" x14ac:dyDescent="0.35">
      <c r="A64" s="13" t="s">
        <v>58</v>
      </c>
      <c r="B64" s="2">
        <v>17322</v>
      </c>
      <c r="C64" s="2">
        <v>54.043368000000001</v>
      </c>
      <c r="D64" s="2">
        <v>9.4907000000000005E-2</v>
      </c>
      <c r="E64" s="2">
        <v>53.857272999999999</v>
      </c>
      <c r="F64" s="2">
        <v>54.229463000000003</v>
      </c>
      <c r="H64" s="8" t="str">
        <f t="shared" si="1"/>
        <v>54.04 (53.86 to 54.23)</v>
      </c>
    </row>
    <row r="65" spans="1:8" ht="17.25" thickBot="1" x14ac:dyDescent="0.35">
      <c r="A65" s="13" t="s">
        <v>59</v>
      </c>
      <c r="B65" s="2">
        <v>17322</v>
      </c>
      <c r="C65" s="2">
        <v>100.52171</v>
      </c>
      <c r="D65" s="2">
        <v>0.45500600000000002</v>
      </c>
      <c r="E65" s="2">
        <v>99.629525999999998</v>
      </c>
      <c r="F65" s="2">
        <v>101.413894</v>
      </c>
      <c r="H65" s="8" t="str">
        <f t="shared" si="1"/>
        <v>100.52 (99.63 to 101.41)</v>
      </c>
    </row>
    <row r="66" spans="1:8" ht="17.25" thickBot="1" x14ac:dyDescent="0.35">
      <c r="A66" s="13" t="s">
        <v>60</v>
      </c>
      <c r="B66" s="2">
        <v>17322</v>
      </c>
      <c r="C66" s="2">
        <v>21.792200999999999</v>
      </c>
      <c r="D66" s="2">
        <v>0.13628499999999999</v>
      </c>
      <c r="E66" s="2">
        <v>21.52497</v>
      </c>
      <c r="F66" s="2">
        <v>22.059432000000001</v>
      </c>
      <c r="H66" s="8" t="str">
        <f t="shared" si="1"/>
        <v>21.79 (21.52 to 22.06)</v>
      </c>
    </row>
    <row r="67" spans="1:8" ht="17.25" thickBot="1" x14ac:dyDescent="0.35">
      <c r="A67" s="13" t="s">
        <v>61</v>
      </c>
      <c r="B67" s="2">
        <v>17322</v>
      </c>
      <c r="C67" s="2">
        <v>19.390397</v>
      </c>
      <c r="D67" s="2">
        <v>0.17341300000000001</v>
      </c>
      <c r="E67" s="2">
        <v>19.050366</v>
      </c>
      <c r="F67" s="2">
        <v>19.730426999999999</v>
      </c>
      <c r="H67" s="8" t="str">
        <f t="shared" si="1"/>
        <v>19.39 (19.05 to 19.73)</v>
      </c>
    </row>
    <row r="68" spans="1:8" ht="17.25" thickBot="1" x14ac:dyDescent="0.35">
      <c r="A68" s="13" t="s">
        <v>62</v>
      </c>
      <c r="B68" s="2">
        <v>17322</v>
      </c>
      <c r="C68" s="2">
        <v>14.078982999999999</v>
      </c>
      <c r="D68" s="2">
        <v>1.4402E-2</v>
      </c>
      <c r="E68" s="2">
        <v>14.050744</v>
      </c>
      <c r="F68" s="2">
        <v>14.107222999999999</v>
      </c>
      <c r="H68" s="8" t="str">
        <f t="shared" si="1"/>
        <v>14.08 (14.05 to 14.11)</v>
      </c>
    </row>
    <row r="69" spans="1:8" ht="17.25" thickBot="1" x14ac:dyDescent="0.35">
      <c r="A69" s="13" t="s">
        <v>63</v>
      </c>
      <c r="B69" s="2">
        <v>17322</v>
      </c>
      <c r="C69" s="2">
        <v>14.179226</v>
      </c>
      <c r="D69" s="2">
        <v>4.1876999999999998E-2</v>
      </c>
      <c r="E69" s="2">
        <v>14.097111999999999</v>
      </c>
      <c r="F69" s="2">
        <v>14.261339</v>
      </c>
      <c r="H69" s="8" t="str">
        <f t="shared" si="1"/>
        <v>14.18 (14.10 to 14.26)</v>
      </c>
    </row>
    <row r="70" spans="1:8" ht="17.25" thickBot="1" x14ac:dyDescent="0.35">
      <c r="A70" s="13" t="s">
        <v>64</v>
      </c>
      <c r="B70" s="2">
        <v>17322</v>
      </c>
      <c r="C70" s="2">
        <v>0.83265699999999998</v>
      </c>
      <c r="D70" s="2">
        <v>2.568E-3</v>
      </c>
      <c r="E70" s="2">
        <v>0.82762100000000005</v>
      </c>
      <c r="F70" s="2">
        <v>0.83769199999999999</v>
      </c>
      <c r="H70" s="8" t="str">
        <f t="shared" si="1"/>
        <v>0.83 (0.83 to 0.84)</v>
      </c>
    </row>
    <row r="71" spans="1:8" ht="17.25" thickBot="1" x14ac:dyDescent="0.35">
      <c r="A71" s="13" t="s">
        <v>65</v>
      </c>
      <c r="B71" s="2">
        <v>17322</v>
      </c>
      <c r="C71" s="2">
        <v>5.8247020000000003</v>
      </c>
      <c r="D71" s="2">
        <v>7.3569999999999998E-3</v>
      </c>
      <c r="E71" s="2">
        <v>5.810276</v>
      </c>
      <c r="F71" s="2">
        <v>5.8391270000000004</v>
      </c>
      <c r="H71" s="8" t="str">
        <f t="shared" si="1"/>
        <v>5.82 (5.81 to 5.84)</v>
      </c>
    </row>
    <row r="72" spans="1:8" ht="17.25" thickBot="1" x14ac:dyDescent="0.35">
      <c r="A72" s="13" t="s">
        <v>66</v>
      </c>
      <c r="B72" s="2">
        <v>17322</v>
      </c>
      <c r="C72" s="2">
        <v>8.3568859999999994</v>
      </c>
      <c r="D72" s="2">
        <v>4.3829999999999997E-3</v>
      </c>
      <c r="E72" s="2">
        <v>8.3482909999999997</v>
      </c>
      <c r="F72" s="2">
        <v>8.3654799999999998</v>
      </c>
      <c r="H72" s="8" t="str">
        <f t="shared" si="1"/>
        <v>8.36 (8.35 to 8.37)</v>
      </c>
    </row>
    <row r="73" spans="1:8" ht="17.25" thickBot="1" x14ac:dyDescent="0.35">
      <c r="A73" s="13" t="s">
        <v>67</v>
      </c>
      <c r="B73" s="2">
        <v>17322</v>
      </c>
      <c r="C73" s="2">
        <v>0.64313500000000001</v>
      </c>
      <c r="D73" s="2">
        <v>5.7899999999999998E-4</v>
      </c>
      <c r="E73" s="2">
        <v>0.64200100000000004</v>
      </c>
      <c r="F73" s="2">
        <v>0.64427000000000001</v>
      </c>
      <c r="H73" s="8" t="str">
        <f t="shared" si="1"/>
        <v>0.64 (0.64 to 0.64)</v>
      </c>
    </row>
    <row r="74" spans="1:8" ht="17.25" thickBot="1" x14ac:dyDescent="0.35">
      <c r="A74" s="13" t="s">
        <v>68</v>
      </c>
      <c r="B74" s="2">
        <v>17322</v>
      </c>
      <c r="C74" s="2">
        <v>0.233543</v>
      </c>
      <c r="D74" s="2">
        <v>1.9980000000000002E-3</v>
      </c>
      <c r="E74" s="2">
        <v>0.229625</v>
      </c>
      <c r="F74" s="2">
        <v>0.23746100000000001</v>
      </c>
      <c r="H74" s="8" t="str">
        <f t="shared" si="1"/>
        <v>0.23 (0.23 to 0.24)</v>
      </c>
    </row>
    <row r="75" spans="1:8" x14ac:dyDescent="0.3">
      <c r="A75" s="14" t="s">
        <v>69</v>
      </c>
      <c r="B75" s="2">
        <v>17322</v>
      </c>
      <c r="C75" s="2">
        <v>32.137430000000002</v>
      </c>
      <c r="D75" s="2">
        <v>1.2246E-2</v>
      </c>
      <c r="E75" s="2">
        <v>32.113418000000003</v>
      </c>
      <c r="F75" s="2">
        <v>32.161442999999998</v>
      </c>
      <c r="H75" s="8" t="str">
        <f t="shared" si="1"/>
        <v>32.14 (32.11 to 32.16)</v>
      </c>
    </row>
    <row r="79" spans="1:8" x14ac:dyDescent="0.3">
      <c r="A79" s="1" t="s">
        <v>129</v>
      </c>
    </row>
    <row r="81" spans="1:8" x14ac:dyDescent="0.3">
      <c r="A81" s="1" t="s">
        <v>72</v>
      </c>
    </row>
    <row r="82" spans="1:8" ht="17.25" thickBot="1" x14ac:dyDescent="0.35"/>
    <row r="83" spans="1:8" ht="16.5" customHeight="1" x14ac:dyDescent="0.3">
      <c r="A83" s="24" t="s">
        <v>75</v>
      </c>
      <c r="B83" s="26"/>
    </row>
    <row r="84" spans="1:8" ht="26.25" thickBot="1" x14ac:dyDescent="0.35">
      <c r="A84" s="13" t="s">
        <v>76</v>
      </c>
      <c r="B84" s="2">
        <v>183</v>
      </c>
    </row>
    <row r="85" spans="1:8" ht="26.25" thickBot="1" x14ac:dyDescent="0.35">
      <c r="A85" s="13" t="s">
        <v>77</v>
      </c>
      <c r="B85" s="2">
        <v>2962</v>
      </c>
    </row>
    <row r="86" spans="1:8" ht="39" thickBot="1" x14ac:dyDescent="0.35">
      <c r="A86" s="13" t="s">
        <v>78</v>
      </c>
      <c r="B86" s="2">
        <v>17828</v>
      </c>
    </row>
    <row r="87" spans="1:8" ht="25.5" x14ac:dyDescent="0.3">
      <c r="A87" s="14" t="s">
        <v>79</v>
      </c>
      <c r="B87" s="2">
        <v>7595593.9100000001</v>
      </c>
    </row>
    <row r="88" spans="1:8" ht="17.25" thickBot="1" x14ac:dyDescent="0.35"/>
    <row r="89" spans="1:8" ht="33" customHeight="1" x14ac:dyDescent="0.3">
      <c r="A89" s="24" t="s">
        <v>80</v>
      </c>
      <c r="B89" s="26"/>
    </row>
    <row r="90" spans="1:8" ht="33.75" thickBot="1" x14ac:dyDescent="0.35">
      <c r="A90" s="13" t="s">
        <v>81</v>
      </c>
      <c r="B90" s="2" t="s">
        <v>82</v>
      </c>
    </row>
    <row r="91" spans="1:8" ht="25.5" x14ac:dyDescent="0.3">
      <c r="A91" s="14" t="s">
        <v>83</v>
      </c>
      <c r="B91" s="2" t="s">
        <v>84</v>
      </c>
    </row>
    <row r="92" spans="1:8" ht="17.25" thickBot="1" x14ac:dyDescent="0.35"/>
    <row r="93" spans="1:8" ht="16.5" customHeight="1" x14ac:dyDescent="0.3">
      <c r="A93" s="24" t="s">
        <v>130</v>
      </c>
      <c r="B93" s="26"/>
      <c r="C93" s="26"/>
      <c r="D93" s="26"/>
      <c r="E93" s="26"/>
      <c r="F93" s="26"/>
    </row>
    <row r="94" spans="1:8" ht="16.5" customHeight="1" x14ac:dyDescent="0.3">
      <c r="A94" s="25" t="s">
        <v>131</v>
      </c>
      <c r="B94" s="27" t="s">
        <v>46</v>
      </c>
      <c r="C94" s="27" t="s">
        <v>132</v>
      </c>
      <c r="D94" s="3" t="s">
        <v>133</v>
      </c>
      <c r="E94" s="27" t="s">
        <v>135</v>
      </c>
      <c r="F94" s="27"/>
    </row>
    <row r="95" spans="1:8" x14ac:dyDescent="0.3">
      <c r="A95" s="25"/>
      <c r="B95" s="27"/>
      <c r="C95" s="27"/>
      <c r="D95" s="3" t="s">
        <v>134</v>
      </c>
      <c r="E95" s="27"/>
      <c r="F95" s="27"/>
    </row>
    <row r="96" spans="1:8" ht="17.25" thickBot="1" x14ac:dyDescent="0.35">
      <c r="A96" s="13" t="s">
        <v>51</v>
      </c>
      <c r="B96" s="2">
        <v>17828</v>
      </c>
      <c r="C96" s="2">
        <v>48.591045999999999</v>
      </c>
      <c r="D96" s="2">
        <v>0.15897800000000001</v>
      </c>
      <c r="E96" s="2">
        <v>48.279319000000001</v>
      </c>
      <c r="F96" s="2">
        <v>48.902771999999999</v>
      </c>
      <c r="H96" s="8" t="str">
        <f>TEXT(C96,"0.00")&amp;" ("&amp;TEXT(E96,"0.00")&amp;" to "&amp;TEXT(F96,"0.00")&amp;")"</f>
        <v>48.59 (48.28 to 48.90)</v>
      </c>
    </row>
    <row r="97" spans="1:8" ht="17.25" thickBot="1" x14ac:dyDescent="0.35">
      <c r="A97" s="13" t="s">
        <v>52</v>
      </c>
      <c r="B97" s="2">
        <v>17828</v>
      </c>
      <c r="C97" s="2">
        <v>24.622116999999999</v>
      </c>
      <c r="D97" s="2">
        <v>1.4585000000000001E-2</v>
      </c>
      <c r="E97" s="2">
        <v>24.593518</v>
      </c>
      <c r="F97" s="2">
        <v>24.650715999999999</v>
      </c>
      <c r="H97" s="8" t="str">
        <f t="shared" ref="H97:H114" si="2">TEXT(C97,"0.00")&amp;" ("&amp;TEXT(E97,"0.00")&amp;" to "&amp;TEXT(F97,"0.00")&amp;")"</f>
        <v>24.62 (24.59 to 24.65)</v>
      </c>
    </row>
    <row r="98" spans="1:8" ht="17.25" thickBot="1" x14ac:dyDescent="0.35">
      <c r="A98" s="13" t="s">
        <v>53</v>
      </c>
      <c r="B98" s="2">
        <v>17828</v>
      </c>
      <c r="C98" s="2">
        <v>85.015341000000006</v>
      </c>
      <c r="D98" s="2">
        <v>5.7750000000000003E-2</v>
      </c>
      <c r="E98" s="2">
        <v>84.902103999999994</v>
      </c>
      <c r="F98" s="2">
        <v>85.128577000000007</v>
      </c>
      <c r="H98" s="8" t="str">
        <f t="shared" si="2"/>
        <v>85.02 (84.90 to 85.13)</v>
      </c>
    </row>
    <row r="99" spans="1:8" ht="17.25" thickBot="1" x14ac:dyDescent="0.35">
      <c r="A99" s="13" t="s">
        <v>54</v>
      </c>
      <c r="B99" s="2">
        <v>17828</v>
      </c>
      <c r="C99" s="2">
        <v>7.8117000000000006E-2</v>
      </c>
      <c r="D99" s="2">
        <v>4.6573999999999998E-5</v>
      </c>
      <c r="E99" s="2">
        <v>7.8024999999999997E-2</v>
      </c>
      <c r="F99" s="2">
        <v>7.8208E-2</v>
      </c>
      <c r="H99" s="8" t="str">
        <f t="shared" si="2"/>
        <v>0.08 (0.08 to 0.08)</v>
      </c>
    </row>
    <row r="100" spans="1:8" ht="17.25" thickBot="1" x14ac:dyDescent="0.35">
      <c r="A100" s="13" t="s">
        <v>55</v>
      </c>
      <c r="B100" s="2">
        <v>17828</v>
      </c>
      <c r="C100" s="2">
        <v>119.69829799999999</v>
      </c>
      <c r="D100" s="2">
        <v>0.14658599999999999</v>
      </c>
      <c r="E100" s="2">
        <v>119.41087</v>
      </c>
      <c r="F100" s="2">
        <v>119.985725</v>
      </c>
      <c r="H100" s="8" t="str">
        <f t="shared" si="2"/>
        <v>119.70 (119.41 to 119.99)</v>
      </c>
    </row>
    <row r="101" spans="1:8" ht="17.25" thickBot="1" x14ac:dyDescent="0.35">
      <c r="A101" s="13" t="s">
        <v>56</v>
      </c>
      <c r="B101" s="2">
        <v>17828</v>
      </c>
      <c r="C101" s="2">
        <v>99.832126000000002</v>
      </c>
      <c r="D101" s="2">
        <v>0.177457</v>
      </c>
      <c r="E101" s="2">
        <v>99.484165000000004</v>
      </c>
      <c r="F101" s="2">
        <v>100.180088</v>
      </c>
      <c r="H101" s="8" t="str">
        <f t="shared" si="2"/>
        <v>99.83 (99.48 to 100.18)</v>
      </c>
    </row>
    <row r="102" spans="1:8" ht="17.25" thickBot="1" x14ac:dyDescent="0.35">
      <c r="A102" s="13" t="s">
        <v>57</v>
      </c>
      <c r="B102" s="2">
        <v>17828</v>
      </c>
      <c r="C102" s="2">
        <v>192.03599299999999</v>
      </c>
      <c r="D102" s="2">
        <v>0.34990199999999999</v>
      </c>
      <c r="E102" s="2">
        <v>191.34989999999999</v>
      </c>
      <c r="F102" s="2">
        <v>192.72208699999999</v>
      </c>
      <c r="H102" s="8" t="str">
        <f t="shared" si="2"/>
        <v>192.04 (191.35 to 192.72)</v>
      </c>
    </row>
    <row r="103" spans="1:8" ht="26.25" thickBot="1" x14ac:dyDescent="0.35">
      <c r="A103" s="13" t="s">
        <v>58</v>
      </c>
      <c r="B103" s="2">
        <v>17828</v>
      </c>
      <c r="C103" s="2">
        <v>48.087347999999999</v>
      </c>
      <c r="D103" s="2">
        <v>8.2378000000000007E-2</v>
      </c>
      <c r="E103" s="2">
        <v>47.925820000000002</v>
      </c>
      <c r="F103" s="2">
        <v>48.248874999999998</v>
      </c>
      <c r="H103" s="8" t="str">
        <f t="shared" si="2"/>
        <v>48.09 (47.93 to 48.25)</v>
      </c>
    </row>
    <row r="104" spans="1:8" ht="17.25" thickBot="1" x14ac:dyDescent="0.35">
      <c r="A104" s="13" t="s">
        <v>59</v>
      </c>
      <c r="B104" s="2">
        <v>17828</v>
      </c>
      <c r="C104" s="2">
        <v>136.131776</v>
      </c>
      <c r="D104" s="2">
        <v>0.69814799999999999</v>
      </c>
      <c r="E104" s="2">
        <v>134.76283599999999</v>
      </c>
      <c r="F104" s="2">
        <v>137.50071700000001</v>
      </c>
      <c r="H104" s="8" t="str">
        <f t="shared" si="2"/>
        <v>136.13 (134.76 to 137.50)</v>
      </c>
    </row>
    <row r="105" spans="1:8" ht="17.25" thickBot="1" x14ac:dyDescent="0.35">
      <c r="A105" s="13" t="s">
        <v>60</v>
      </c>
      <c r="B105" s="2">
        <v>17828</v>
      </c>
      <c r="C105" s="2">
        <v>23.301838</v>
      </c>
      <c r="D105" s="2">
        <v>0.107575</v>
      </c>
      <c r="E105" s="2">
        <v>23.090903000000001</v>
      </c>
      <c r="F105" s="2">
        <v>23.512771999999998</v>
      </c>
      <c r="H105" s="8" t="str">
        <f t="shared" si="2"/>
        <v>23.30 (23.09 to 23.51)</v>
      </c>
    </row>
    <row r="106" spans="1:8" ht="17.25" thickBot="1" x14ac:dyDescent="0.35">
      <c r="A106" s="13" t="s">
        <v>61</v>
      </c>
      <c r="B106" s="2">
        <v>17828</v>
      </c>
      <c r="C106" s="2">
        <v>23.799209999999999</v>
      </c>
      <c r="D106" s="2">
        <v>0.166935</v>
      </c>
      <c r="E106" s="2">
        <v>23.471881</v>
      </c>
      <c r="F106" s="2">
        <v>24.126539999999999</v>
      </c>
      <c r="H106" s="8" t="str">
        <f t="shared" si="2"/>
        <v>23.80 (23.47 to 24.13)</v>
      </c>
    </row>
    <row r="107" spans="1:8" ht="17.25" thickBot="1" x14ac:dyDescent="0.35">
      <c r="A107" s="13" t="s">
        <v>62</v>
      </c>
      <c r="B107" s="2">
        <v>17828</v>
      </c>
      <c r="C107" s="2">
        <v>14.492292000000001</v>
      </c>
      <c r="D107" s="2">
        <v>1.4206E-2</v>
      </c>
      <c r="E107" s="2">
        <v>14.464437</v>
      </c>
      <c r="F107" s="2">
        <v>14.520147</v>
      </c>
      <c r="H107" s="8" t="str">
        <f t="shared" si="2"/>
        <v>14.49 (14.46 to 14.52)</v>
      </c>
    </row>
    <row r="108" spans="1:8" ht="17.25" thickBot="1" x14ac:dyDescent="0.35">
      <c r="A108" s="13" t="s">
        <v>63</v>
      </c>
      <c r="B108" s="2">
        <v>17828</v>
      </c>
      <c r="C108" s="2">
        <v>14.689197999999999</v>
      </c>
      <c r="D108" s="2">
        <v>4.0106000000000003E-2</v>
      </c>
      <c r="E108" s="2">
        <v>14.610557</v>
      </c>
      <c r="F108" s="2">
        <v>14.767837999999999</v>
      </c>
      <c r="H108" s="8" t="str">
        <f t="shared" si="2"/>
        <v>14.69 (14.61 to 14.77)</v>
      </c>
    </row>
    <row r="109" spans="1:8" ht="17.25" thickBot="1" x14ac:dyDescent="0.35">
      <c r="A109" s="13" t="s">
        <v>64</v>
      </c>
      <c r="B109" s="2">
        <v>17828</v>
      </c>
      <c r="C109" s="2">
        <v>0.87328600000000001</v>
      </c>
      <c r="D109" s="2">
        <v>1.9989999999999999E-3</v>
      </c>
      <c r="E109" s="2">
        <v>0.869367</v>
      </c>
      <c r="F109" s="2">
        <v>0.87720600000000004</v>
      </c>
      <c r="H109" s="8" t="str">
        <f t="shared" si="2"/>
        <v>0.87 (0.87 to 0.88)</v>
      </c>
    </row>
    <row r="110" spans="1:8" ht="17.25" thickBot="1" x14ac:dyDescent="0.35">
      <c r="A110" s="13" t="s">
        <v>65</v>
      </c>
      <c r="B110" s="2">
        <v>17828</v>
      </c>
      <c r="C110" s="2">
        <v>5.7661740000000004</v>
      </c>
      <c r="D110" s="2">
        <v>7.2769999999999996E-3</v>
      </c>
      <c r="E110" s="2">
        <v>5.7519039999999997</v>
      </c>
      <c r="F110" s="2">
        <v>5.780443</v>
      </c>
      <c r="H110" s="8" t="str">
        <f t="shared" si="2"/>
        <v>5.77 (5.75 to 5.78)</v>
      </c>
    </row>
    <row r="111" spans="1:8" ht="17.25" thickBot="1" x14ac:dyDescent="0.35">
      <c r="A111" s="13" t="s">
        <v>66</v>
      </c>
      <c r="B111" s="2">
        <v>17828</v>
      </c>
      <c r="C111" s="2">
        <v>8.6942350000000008</v>
      </c>
      <c r="D111" s="2">
        <v>4.8840000000000003E-3</v>
      </c>
      <c r="E111" s="2">
        <v>8.6846580000000007</v>
      </c>
      <c r="F111" s="2">
        <v>8.7038119999999992</v>
      </c>
      <c r="H111" s="8" t="str">
        <f t="shared" si="2"/>
        <v>8.69 (8.68 to 8.70)</v>
      </c>
    </row>
    <row r="112" spans="1:8" ht="17.25" thickBot="1" x14ac:dyDescent="0.35">
      <c r="A112" s="13" t="s">
        <v>67</v>
      </c>
      <c r="B112" s="2">
        <v>17828</v>
      </c>
      <c r="C112" s="2">
        <v>0.67966700000000002</v>
      </c>
      <c r="D112" s="2">
        <v>6.1899999999999998E-4</v>
      </c>
      <c r="E112" s="2">
        <v>0.67845200000000006</v>
      </c>
      <c r="F112" s="2">
        <v>0.68088099999999996</v>
      </c>
      <c r="H112" s="8" t="str">
        <f t="shared" si="2"/>
        <v>0.68 (0.68 to 0.68)</v>
      </c>
    </row>
    <row r="113" spans="1:8" ht="17.25" thickBot="1" x14ac:dyDescent="0.35">
      <c r="A113" s="13" t="s">
        <v>68</v>
      </c>
      <c r="B113" s="2">
        <v>17828</v>
      </c>
      <c r="C113" s="2">
        <v>0.409335</v>
      </c>
      <c r="D113" s="2">
        <v>2.1380000000000001E-3</v>
      </c>
      <c r="E113" s="2">
        <v>0.40514299999999998</v>
      </c>
      <c r="F113" s="2">
        <v>0.41352699999999998</v>
      </c>
      <c r="H113" s="8" t="str">
        <f t="shared" si="2"/>
        <v>0.41 (0.41 to 0.41)</v>
      </c>
    </row>
    <row r="114" spans="1:8" x14ac:dyDescent="0.3">
      <c r="A114" s="14" t="s">
        <v>69</v>
      </c>
      <c r="B114" s="2">
        <v>17828</v>
      </c>
      <c r="C114" s="2">
        <v>36.937319000000002</v>
      </c>
      <c r="D114" s="2">
        <v>1.2945999999999999E-2</v>
      </c>
      <c r="E114" s="2">
        <v>36.911932999999998</v>
      </c>
      <c r="F114" s="2">
        <v>36.962704000000002</v>
      </c>
      <c r="H114" s="8" t="str">
        <f t="shared" si="2"/>
        <v>36.94 (36.91 to 36.96)</v>
      </c>
    </row>
    <row r="118" spans="1:8" x14ac:dyDescent="0.3">
      <c r="A118" s="1" t="s">
        <v>129</v>
      </c>
    </row>
    <row r="120" spans="1:8" x14ac:dyDescent="0.3">
      <c r="A120" s="1" t="s">
        <v>73</v>
      </c>
    </row>
    <row r="121" spans="1:8" ht="17.25" thickBot="1" x14ac:dyDescent="0.35"/>
    <row r="122" spans="1:8" ht="16.5" customHeight="1" x14ac:dyDescent="0.3">
      <c r="A122" s="24" t="s">
        <v>75</v>
      </c>
      <c r="B122" s="26"/>
    </row>
    <row r="123" spans="1:8" ht="26.25" thickBot="1" x14ac:dyDescent="0.35">
      <c r="A123" s="13" t="s">
        <v>76</v>
      </c>
      <c r="B123" s="2">
        <v>183</v>
      </c>
    </row>
    <row r="124" spans="1:8" ht="26.25" thickBot="1" x14ac:dyDescent="0.35">
      <c r="A124" s="13" t="s">
        <v>77</v>
      </c>
      <c r="B124" s="2">
        <v>2963</v>
      </c>
    </row>
    <row r="125" spans="1:8" ht="39" thickBot="1" x14ac:dyDescent="0.35">
      <c r="A125" s="13" t="s">
        <v>78</v>
      </c>
      <c r="B125" s="2">
        <v>18028</v>
      </c>
    </row>
    <row r="126" spans="1:8" ht="25.5" x14ac:dyDescent="0.3">
      <c r="A126" s="14" t="s">
        <v>79</v>
      </c>
      <c r="B126" s="2">
        <v>8086867.8499999996</v>
      </c>
    </row>
    <row r="127" spans="1:8" ht="17.25" thickBot="1" x14ac:dyDescent="0.35"/>
    <row r="128" spans="1:8" ht="33" customHeight="1" x14ac:dyDescent="0.3">
      <c r="A128" s="24" t="s">
        <v>80</v>
      </c>
      <c r="B128" s="26"/>
    </row>
    <row r="129" spans="1:8" ht="33.75" thickBot="1" x14ac:dyDescent="0.35">
      <c r="A129" s="13" t="s">
        <v>81</v>
      </c>
      <c r="B129" s="2" t="s">
        <v>82</v>
      </c>
    </row>
    <row r="130" spans="1:8" ht="25.5" x14ac:dyDescent="0.3">
      <c r="A130" s="14" t="s">
        <v>83</v>
      </c>
      <c r="B130" s="2" t="s">
        <v>84</v>
      </c>
    </row>
    <row r="131" spans="1:8" ht="17.25" thickBot="1" x14ac:dyDescent="0.35"/>
    <row r="132" spans="1:8" ht="16.5" customHeight="1" x14ac:dyDescent="0.3">
      <c r="A132" s="24" t="s">
        <v>130</v>
      </c>
      <c r="B132" s="26"/>
      <c r="C132" s="26"/>
      <c r="D132" s="26"/>
      <c r="E132" s="26"/>
      <c r="F132" s="26"/>
    </row>
    <row r="133" spans="1:8" ht="16.5" customHeight="1" x14ac:dyDescent="0.3">
      <c r="A133" s="25" t="s">
        <v>131</v>
      </c>
      <c r="B133" s="27" t="s">
        <v>46</v>
      </c>
      <c r="C133" s="27" t="s">
        <v>132</v>
      </c>
      <c r="D133" s="3" t="s">
        <v>133</v>
      </c>
      <c r="E133" s="27" t="s">
        <v>135</v>
      </c>
      <c r="F133" s="27"/>
    </row>
    <row r="134" spans="1:8" x14ac:dyDescent="0.3">
      <c r="A134" s="25"/>
      <c r="B134" s="27"/>
      <c r="C134" s="27"/>
      <c r="D134" s="3" t="s">
        <v>134</v>
      </c>
      <c r="E134" s="27"/>
      <c r="F134" s="27"/>
    </row>
    <row r="135" spans="1:8" ht="17.25" thickBot="1" x14ac:dyDescent="0.35">
      <c r="A135" s="13" t="s">
        <v>51</v>
      </c>
      <c r="B135" s="2">
        <v>18028</v>
      </c>
      <c r="C135" s="2">
        <v>47.302272000000002</v>
      </c>
      <c r="D135" s="2">
        <v>0.144291</v>
      </c>
      <c r="E135" s="2">
        <v>47.019342999999999</v>
      </c>
      <c r="F135" s="2">
        <v>47.585200999999998</v>
      </c>
      <c r="H135" s="8" t="str">
        <f>TEXT(C135,"0.00")&amp;" ("&amp;TEXT(E135,"0.00")&amp;" to "&amp;TEXT(F135,"0.00")&amp;")"</f>
        <v>47.30 (47.02 to 47.59)</v>
      </c>
    </row>
    <row r="136" spans="1:8" ht="17.25" thickBot="1" x14ac:dyDescent="0.35">
      <c r="A136" s="13" t="s">
        <v>52</v>
      </c>
      <c r="B136" s="2">
        <v>18028</v>
      </c>
      <c r="C136" s="2">
        <v>27.930334999999999</v>
      </c>
      <c r="D136" s="2">
        <v>2.9862E-2</v>
      </c>
      <c r="E136" s="2">
        <v>27.871780999999999</v>
      </c>
      <c r="F136" s="2">
        <v>27.988887999999999</v>
      </c>
      <c r="H136" s="8" t="str">
        <f t="shared" ref="H136:H153" si="3">TEXT(C136,"0.00")&amp;" ("&amp;TEXT(E136,"0.00")&amp;" to "&amp;TEXT(F136,"0.00")&amp;")"</f>
        <v>27.93 (27.87 to 27.99)</v>
      </c>
    </row>
    <row r="137" spans="1:8" ht="17.25" thickBot="1" x14ac:dyDescent="0.35">
      <c r="A137" s="13" t="s">
        <v>53</v>
      </c>
      <c r="B137" s="2">
        <v>18028</v>
      </c>
      <c r="C137" s="2">
        <v>93.179042999999993</v>
      </c>
      <c r="D137" s="2">
        <v>7.8889000000000001E-2</v>
      </c>
      <c r="E137" s="2">
        <v>93.024355</v>
      </c>
      <c r="F137" s="2">
        <v>93.333730000000003</v>
      </c>
      <c r="H137" s="8" t="str">
        <f t="shared" si="3"/>
        <v>93.18 (93.02 to 93.33)</v>
      </c>
    </row>
    <row r="138" spans="1:8" ht="17.25" thickBot="1" x14ac:dyDescent="0.35">
      <c r="A138" s="13" t="s">
        <v>54</v>
      </c>
      <c r="B138" s="2">
        <v>18028</v>
      </c>
      <c r="C138" s="2">
        <v>7.8452999999999995E-2</v>
      </c>
      <c r="D138" s="2">
        <v>4.3000000000000002E-5</v>
      </c>
      <c r="E138" s="2">
        <v>7.8368999999999994E-2</v>
      </c>
      <c r="F138" s="2">
        <v>7.8536999999999996E-2</v>
      </c>
      <c r="H138" s="8" t="str">
        <f t="shared" si="3"/>
        <v>0.08 (0.08 to 0.08)</v>
      </c>
    </row>
    <row r="139" spans="1:8" ht="17.25" thickBot="1" x14ac:dyDescent="0.35">
      <c r="A139" s="13" t="s">
        <v>55</v>
      </c>
      <c r="B139" s="2">
        <v>18028</v>
      </c>
      <c r="C139" s="2">
        <v>123.23756299999999</v>
      </c>
      <c r="D139" s="2">
        <v>0.13989599999999999</v>
      </c>
      <c r="E139" s="2">
        <v>122.96325299999999</v>
      </c>
      <c r="F139" s="2">
        <v>123.51187400000001</v>
      </c>
      <c r="H139" s="8" t="str">
        <f t="shared" si="3"/>
        <v>123.24 (122.96 to 123.51)</v>
      </c>
    </row>
    <row r="140" spans="1:8" ht="17.25" thickBot="1" x14ac:dyDescent="0.35">
      <c r="A140" s="13" t="s">
        <v>56</v>
      </c>
      <c r="B140" s="2">
        <v>18028</v>
      </c>
      <c r="C140" s="2">
        <v>108.47848999999999</v>
      </c>
      <c r="D140" s="2">
        <v>0.26334800000000003</v>
      </c>
      <c r="E140" s="2">
        <v>107.962112</v>
      </c>
      <c r="F140" s="2">
        <v>108.994868</v>
      </c>
      <c r="H140" s="8" t="str">
        <f t="shared" si="3"/>
        <v>108.48 (107.96 to 108.99)</v>
      </c>
    </row>
    <row r="141" spans="1:8" ht="17.25" thickBot="1" x14ac:dyDescent="0.35">
      <c r="A141" s="13" t="s">
        <v>57</v>
      </c>
      <c r="B141" s="2">
        <v>18028</v>
      </c>
      <c r="C141" s="2">
        <v>195.86472900000001</v>
      </c>
      <c r="D141" s="2">
        <v>0.36057</v>
      </c>
      <c r="E141" s="2">
        <v>195.15771699999999</v>
      </c>
      <c r="F141" s="2">
        <v>196.571742</v>
      </c>
      <c r="H141" s="8" t="str">
        <f t="shared" si="3"/>
        <v>195.86 (195.16 to 196.57)</v>
      </c>
    </row>
    <row r="142" spans="1:8" ht="26.25" thickBot="1" x14ac:dyDescent="0.35">
      <c r="A142" s="13" t="s">
        <v>58</v>
      </c>
      <c r="B142" s="2">
        <v>18028</v>
      </c>
      <c r="C142" s="2">
        <v>41.696052999999999</v>
      </c>
      <c r="D142" s="2">
        <v>7.6197000000000001E-2</v>
      </c>
      <c r="E142" s="2">
        <v>41.546644000000001</v>
      </c>
      <c r="F142" s="2">
        <v>41.845461999999998</v>
      </c>
      <c r="H142" s="8" t="str">
        <f t="shared" si="3"/>
        <v>41.70 (41.55 to 41.85)</v>
      </c>
    </row>
    <row r="143" spans="1:8" ht="17.25" thickBot="1" x14ac:dyDescent="0.35">
      <c r="A143" s="13" t="s">
        <v>59</v>
      </c>
      <c r="B143" s="2">
        <v>18028</v>
      </c>
      <c r="C143" s="2">
        <v>219.29692499999999</v>
      </c>
      <c r="D143" s="2">
        <v>1.6531389999999999</v>
      </c>
      <c r="E143" s="2">
        <v>216.055421</v>
      </c>
      <c r="F143" s="2">
        <v>222.53842900000001</v>
      </c>
      <c r="H143" s="8" t="str">
        <f t="shared" si="3"/>
        <v>219.30 (216.06 to 222.54)</v>
      </c>
    </row>
    <row r="144" spans="1:8" ht="17.25" thickBot="1" x14ac:dyDescent="0.35">
      <c r="A144" s="13" t="s">
        <v>60</v>
      </c>
      <c r="B144" s="2">
        <v>18028</v>
      </c>
      <c r="C144" s="2">
        <v>27.069917</v>
      </c>
      <c r="D144" s="2">
        <v>0.14349100000000001</v>
      </c>
      <c r="E144" s="2">
        <v>26.788557999999998</v>
      </c>
      <c r="F144" s="2">
        <v>27.351275999999999</v>
      </c>
      <c r="H144" s="8" t="str">
        <f t="shared" si="3"/>
        <v>27.07 (26.79 to 27.35)</v>
      </c>
    </row>
    <row r="145" spans="1:8" ht="17.25" thickBot="1" x14ac:dyDescent="0.35">
      <c r="A145" s="13" t="s">
        <v>61</v>
      </c>
      <c r="B145" s="2">
        <v>18028</v>
      </c>
      <c r="C145" s="2">
        <v>33.721691</v>
      </c>
      <c r="D145" s="2">
        <v>0.250857</v>
      </c>
      <c r="E145" s="2">
        <v>33.229804999999999</v>
      </c>
      <c r="F145" s="2">
        <v>34.213576000000003</v>
      </c>
      <c r="H145" s="8" t="str">
        <f t="shared" si="3"/>
        <v>33.72 (33.23 to 34.21)</v>
      </c>
    </row>
    <row r="146" spans="1:8" ht="17.25" thickBot="1" x14ac:dyDescent="0.35">
      <c r="A146" s="13" t="s">
        <v>62</v>
      </c>
      <c r="B146" s="2">
        <v>18028</v>
      </c>
      <c r="C146" s="2">
        <v>14.871964</v>
      </c>
      <c r="D146" s="2">
        <v>1.3854999999999999E-2</v>
      </c>
      <c r="E146" s="2">
        <v>14.844796000000001</v>
      </c>
      <c r="F146" s="2">
        <v>14.899131000000001</v>
      </c>
      <c r="H146" s="8" t="str">
        <f t="shared" si="3"/>
        <v>14.87 (14.84 to 14.90)</v>
      </c>
    </row>
    <row r="147" spans="1:8" ht="17.25" thickBot="1" x14ac:dyDescent="0.35">
      <c r="A147" s="13" t="s">
        <v>63</v>
      </c>
      <c r="B147" s="2">
        <v>18028</v>
      </c>
      <c r="C147" s="2">
        <v>14.645764</v>
      </c>
      <c r="D147" s="2">
        <v>3.7274000000000002E-2</v>
      </c>
      <c r="E147" s="2">
        <v>14.572677000000001</v>
      </c>
      <c r="F147" s="2">
        <v>14.718852</v>
      </c>
      <c r="H147" s="8" t="str">
        <f t="shared" si="3"/>
        <v>14.65 (14.57 to 14.72)</v>
      </c>
    </row>
    <row r="148" spans="1:8" ht="17.25" thickBot="1" x14ac:dyDescent="0.35">
      <c r="A148" s="13" t="s">
        <v>64</v>
      </c>
      <c r="B148" s="2">
        <v>18028</v>
      </c>
      <c r="C148" s="2">
        <v>0.89763999999999999</v>
      </c>
      <c r="D148" s="2">
        <v>2.0270000000000002E-3</v>
      </c>
      <c r="E148" s="2">
        <v>0.89366599999999996</v>
      </c>
      <c r="F148" s="2">
        <v>0.90161400000000003</v>
      </c>
      <c r="H148" s="8" t="str">
        <f t="shared" si="3"/>
        <v>0.90 (0.89 to 0.90)</v>
      </c>
    </row>
    <row r="149" spans="1:8" ht="17.25" thickBot="1" x14ac:dyDescent="0.35">
      <c r="A149" s="13" t="s">
        <v>65</v>
      </c>
      <c r="B149" s="2">
        <v>18028</v>
      </c>
      <c r="C149" s="2">
        <v>5.6416279999999999</v>
      </c>
      <c r="D149" s="2">
        <v>6.6730000000000001E-3</v>
      </c>
      <c r="E149" s="2">
        <v>5.6285420000000004</v>
      </c>
      <c r="F149" s="2">
        <v>5.6547130000000001</v>
      </c>
      <c r="H149" s="8" t="str">
        <f t="shared" si="3"/>
        <v>5.64 (5.63 to 5.65)</v>
      </c>
    </row>
    <row r="150" spans="1:8" ht="17.25" thickBot="1" x14ac:dyDescent="0.35">
      <c r="A150" s="13" t="s">
        <v>66</v>
      </c>
      <c r="B150" s="2">
        <v>18028</v>
      </c>
      <c r="C150" s="2">
        <v>9.1753579999999992</v>
      </c>
      <c r="D150" s="2">
        <v>5.79E-3</v>
      </c>
      <c r="E150" s="2">
        <v>9.1640049999999995</v>
      </c>
      <c r="F150" s="2">
        <v>9.1867110000000007</v>
      </c>
      <c r="H150" s="8" t="str">
        <f t="shared" si="3"/>
        <v>9.18 (9.16 to 9.19)</v>
      </c>
    </row>
    <row r="151" spans="1:8" ht="17.25" thickBot="1" x14ac:dyDescent="0.35">
      <c r="A151" s="13" t="s">
        <v>67</v>
      </c>
      <c r="B151" s="2">
        <v>18028</v>
      </c>
      <c r="C151" s="2">
        <v>0.72014500000000004</v>
      </c>
      <c r="D151" s="2">
        <v>6.2600000000000004E-4</v>
      </c>
      <c r="E151" s="2">
        <v>0.71891700000000003</v>
      </c>
      <c r="F151" s="2">
        <v>0.72137200000000001</v>
      </c>
      <c r="H151" s="8" t="str">
        <f t="shared" si="3"/>
        <v>0.72 (0.72 to 0.72)</v>
      </c>
    </row>
    <row r="152" spans="1:8" ht="17.25" thickBot="1" x14ac:dyDescent="0.35">
      <c r="A152" s="13" t="s">
        <v>68</v>
      </c>
      <c r="B152" s="2">
        <v>18028</v>
      </c>
      <c r="C152" s="2">
        <v>0.65022400000000002</v>
      </c>
      <c r="D152" s="2">
        <v>2.627E-3</v>
      </c>
      <c r="E152" s="2">
        <v>0.64507199999999998</v>
      </c>
      <c r="F152" s="2">
        <v>0.65537500000000004</v>
      </c>
      <c r="H152" s="8" t="str">
        <f t="shared" si="3"/>
        <v>0.65 (0.65 to 0.66)</v>
      </c>
    </row>
    <row r="153" spans="1:8" x14ac:dyDescent="0.3">
      <c r="A153" s="14" t="s">
        <v>69</v>
      </c>
      <c r="B153" s="2">
        <v>18028</v>
      </c>
      <c r="C153" s="2">
        <v>45.308945999999999</v>
      </c>
      <c r="D153" s="2">
        <v>5.0043999999999998E-2</v>
      </c>
      <c r="E153" s="2">
        <v>45.210819000000001</v>
      </c>
      <c r="F153" s="2">
        <v>45.407074000000001</v>
      </c>
      <c r="H153" s="8" t="str">
        <f t="shared" si="3"/>
        <v>45.31 (45.21 to 45.41)</v>
      </c>
    </row>
  </sheetData>
  <mergeCells count="28">
    <mergeCell ref="A5:B5"/>
    <mergeCell ref="A11:B11"/>
    <mergeCell ref="A15:F15"/>
    <mergeCell ref="A16:A17"/>
    <mergeCell ref="B16:B17"/>
    <mergeCell ref="C16:C17"/>
    <mergeCell ref="E16:F17"/>
    <mergeCell ref="A44:B44"/>
    <mergeCell ref="A50:B50"/>
    <mergeCell ref="A54:F54"/>
    <mergeCell ref="A55:A56"/>
    <mergeCell ref="B55:B56"/>
    <mergeCell ref="C55:C56"/>
    <mergeCell ref="E55:F56"/>
    <mergeCell ref="A83:B83"/>
    <mergeCell ref="A89:B89"/>
    <mergeCell ref="A93:F93"/>
    <mergeCell ref="A94:A95"/>
    <mergeCell ref="B94:B95"/>
    <mergeCell ref="C94:C95"/>
    <mergeCell ref="E94:F95"/>
    <mergeCell ref="A122:B122"/>
    <mergeCell ref="A128:B128"/>
    <mergeCell ref="A132:F132"/>
    <mergeCell ref="A133:A134"/>
    <mergeCell ref="B133:B134"/>
    <mergeCell ref="C133:C134"/>
    <mergeCell ref="E133:F13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C3BC-49E2-4923-9641-47727B099FF1}">
  <dimension ref="A1:H19"/>
  <sheetViews>
    <sheetView workbookViewId="0">
      <selection activeCell="J17" sqref="J17"/>
    </sheetView>
  </sheetViews>
  <sheetFormatPr defaultRowHeight="16.5" x14ac:dyDescent="0.3"/>
  <cols>
    <col min="8" max="8" width="20.5" bestFit="1" customWidth="1"/>
  </cols>
  <sheetData>
    <row r="1" spans="1:8" x14ac:dyDescent="0.3">
      <c r="A1" s="1" t="s">
        <v>129</v>
      </c>
    </row>
    <row r="2" spans="1:8" ht="17.25" thickBot="1" x14ac:dyDescent="0.35"/>
    <row r="3" spans="1:8" ht="16.5" customHeight="1" x14ac:dyDescent="0.3">
      <c r="A3" s="24" t="s">
        <v>75</v>
      </c>
      <c r="B3" s="26"/>
    </row>
    <row r="4" spans="1:8" ht="26.25" thickBot="1" x14ac:dyDescent="0.35">
      <c r="A4" s="13" t="s">
        <v>76</v>
      </c>
      <c r="B4" s="2">
        <v>183</v>
      </c>
    </row>
    <row r="5" spans="1:8" ht="26.25" thickBot="1" x14ac:dyDescent="0.35">
      <c r="A5" s="13" t="s">
        <v>77</v>
      </c>
      <c r="B5" s="2">
        <v>2982</v>
      </c>
    </row>
    <row r="6" spans="1:8" ht="39" thickBot="1" x14ac:dyDescent="0.35">
      <c r="A6" s="13" t="s">
        <v>78</v>
      </c>
      <c r="B6" s="2">
        <v>68635</v>
      </c>
    </row>
    <row r="7" spans="1:8" ht="25.5" x14ac:dyDescent="0.3">
      <c r="A7" s="14" t="s">
        <v>79</v>
      </c>
      <c r="B7" s="2">
        <v>30251935.699999999</v>
      </c>
    </row>
    <row r="8" spans="1:8" ht="17.25" thickBot="1" x14ac:dyDescent="0.35"/>
    <row r="9" spans="1:8" ht="33" customHeight="1" x14ac:dyDescent="0.3">
      <c r="A9" s="24" t="s">
        <v>80</v>
      </c>
      <c r="B9" s="26"/>
    </row>
    <row r="10" spans="1:8" ht="33.75" thickBot="1" x14ac:dyDescent="0.35">
      <c r="A10" s="13" t="s">
        <v>81</v>
      </c>
      <c r="B10" s="2" t="s">
        <v>82</v>
      </c>
    </row>
    <row r="11" spans="1:8" ht="25.5" x14ac:dyDescent="0.3">
      <c r="A11" s="14" t="s">
        <v>83</v>
      </c>
      <c r="B11" s="2" t="s">
        <v>84</v>
      </c>
    </row>
    <row r="12" spans="1:8" ht="17.25" thickBot="1" x14ac:dyDescent="0.35"/>
    <row r="13" spans="1:8" ht="16.5" customHeight="1" x14ac:dyDescent="0.3">
      <c r="A13" s="24" t="s">
        <v>130</v>
      </c>
      <c r="B13" s="26"/>
      <c r="C13" s="26"/>
      <c r="D13" s="26"/>
      <c r="E13" s="26"/>
      <c r="F13" s="26"/>
    </row>
    <row r="14" spans="1:8" x14ac:dyDescent="0.3">
      <c r="A14" s="25" t="s">
        <v>131</v>
      </c>
      <c r="B14" s="27" t="s">
        <v>46</v>
      </c>
      <c r="C14" s="27" t="s">
        <v>132</v>
      </c>
      <c r="D14" s="3" t="s">
        <v>133</v>
      </c>
      <c r="E14" s="27" t="s">
        <v>135</v>
      </c>
      <c r="F14" s="27"/>
    </row>
    <row r="15" spans="1:8" x14ac:dyDescent="0.3">
      <c r="A15" s="25"/>
      <c r="B15" s="27"/>
      <c r="C15" s="27"/>
      <c r="D15" s="3" t="s">
        <v>134</v>
      </c>
      <c r="E15" s="27"/>
      <c r="F15" s="27"/>
    </row>
    <row r="16" spans="1:8" ht="17.25" thickBot="1" x14ac:dyDescent="0.35">
      <c r="A16" s="13" t="s">
        <v>66</v>
      </c>
      <c r="B16" s="2">
        <v>68635</v>
      </c>
      <c r="C16" s="2">
        <v>8.5827570000000009</v>
      </c>
      <c r="D16" s="2">
        <v>3.4259999999999998E-3</v>
      </c>
      <c r="E16" s="2">
        <v>8.5760384999999992</v>
      </c>
      <c r="F16" s="2">
        <v>8.5894749000000008</v>
      </c>
      <c r="H16" s="8" t="str">
        <f>TEXT(C16,"0.00")&amp;" ("&amp;TEXT(E16,"0.00")&amp;" to "&amp;TEXT(F16,"0.00")&amp;")"</f>
        <v>8.58 (8.58 to 8.59)</v>
      </c>
    </row>
    <row r="17" spans="1:8" ht="17.25" thickBot="1" x14ac:dyDescent="0.35">
      <c r="A17" s="13" t="s">
        <v>67</v>
      </c>
      <c r="B17" s="2">
        <v>68635</v>
      </c>
      <c r="C17" s="2">
        <v>0.66370899999999999</v>
      </c>
      <c r="D17" s="2">
        <v>4.4099999999999999E-4</v>
      </c>
      <c r="E17" s="2">
        <v>0.66284410000000005</v>
      </c>
      <c r="F17" s="2">
        <v>0.66457339999999998</v>
      </c>
      <c r="H17" s="8" t="str">
        <f t="shared" ref="H17:H19" si="0">TEXT(C17,"0.00")&amp;" ("&amp;TEXT(E17,"0.00")&amp;" to "&amp;TEXT(F17,"0.00")&amp;")"</f>
        <v>0.66 (0.66 to 0.66)</v>
      </c>
    </row>
    <row r="18" spans="1:8" ht="17.25" thickBot="1" x14ac:dyDescent="0.35">
      <c r="A18" s="13" t="s">
        <v>68</v>
      </c>
      <c r="B18" s="2">
        <v>68635</v>
      </c>
      <c r="C18" s="2">
        <v>0.34523599999999999</v>
      </c>
      <c r="D18" s="2">
        <v>1.6490000000000001E-3</v>
      </c>
      <c r="E18" s="2">
        <v>0.34200209999999998</v>
      </c>
      <c r="F18" s="2">
        <v>0.34847030000000001</v>
      </c>
      <c r="H18" s="8" t="str">
        <f t="shared" si="0"/>
        <v>0.35 (0.34 to 0.35)</v>
      </c>
    </row>
    <row r="19" spans="1:8" x14ac:dyDescent="0.3">
      <c r="A19" s="14" t="s">
        <v>69</v>
      </c>
      <c r="B19" s="2">
        <v>68635</v>
      </c>
      <c r="C19" s="2">
        <v>35.601097000000003</v>
      </c>
      <c r="D19" s="2">
        <v>3.8943999999999999E-2</v>
      </c>
      <c r="E19" s="2">
        <v>35.524735800000002</v>
      </c>
      <c r="F19" s="2">
        <v>35.677458399999999</v>
      </c>
      <c r="H19" s="8" t="str">
        <f t="shared" si="0"/>
        <v>35.60 (35.52 to 35.68)</v>
      </c>
    </row>
  </sheetData>
  <mergeCells count="7">
    <mergeCell ref="A3:B3"/>
    <mergeCell ref="A9:B9"/>
    <mergeCell ref="A13:F13"/>
    <mergeCell ref="A14:A15"/>
    <mergeCell ref="B14:B15"/>
    <mergeCell ref="C14:C15"/>
    <mergeCell ref="E14:F1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C5B-4479-4CB8-B490-A3818A7CA438}">
  <sheetPr filterMode="1"/>
  <dimension ref="A1:H141"/>
  <sheetViews>
    <sheetView workbookViewId="0">
      <selection activeCell="H18" sqref="H18"/>
    </sheetView>
  </sheetViews>
  <sheetFormatPr defaultRowHeight="16.5" x14ac:dyDescent="0.3"/>
  <cols>
    <col min="8" max="8" width="20.5" bestFit="1" customWidth="1"/>
  </cols>
  <sheetData>
    <row r="1" spans="1:6" x14ac:dyDescent="0.3">
      <c r="A1" s="1" t="s">
        <v>129</v>
      </c>
    </row>
    <row r="2" spans="1:6" hidden="1" x14ac:dyDescent="0.3"/>
    <row r="3" spans="1:6" hidden="1" x14ac:dyDescent="0.3">
      <c r="A3" s="1" t="s">
        <v>136</v>
      </c>
    </row>
    <row r="4" spans="1:6" hidden="1" x14ac:dyDescent="0.3"/>
    <row r="5" spans="1:6" ht="16.5" hidden="1" customHeight="1" x14ac:dyDescent="0.3">
      <c r="A5" s="24" t="s">
        <v>75</v>
      </c>
      <c r="B5" s="26"/>
    </row>
    <row r="6" spans="1:6" ht="26.25" hidden="1" thickBot="1" x14ac:dyDescent="0.35">
      <c r="A6" s="13" t="s">
        <v>76</v>
      </c>
      <c r="B6" s="2">
        <v>25</v>
      </c>
    </row>
    <row r="7" spans="1:6" ht="26.25" hidden="1" thickBot="1" x14ac:dyDescent="0.35">
      <c r="A7" s="13" t="s">
        <v>77</v>
      </c>
      <c r="B7" s="2">
        <v>500</v>
      </c>
    </row>
    <row r="8" spans="1:6" ht="39" hidden="1" thickBot="1" x14ac:dyDescent="0.35">
      <c r="A8" s="13" t="s">
        <v>78</v>
      </c>
      <c r="B8" s="2">
        <v>11915</v>
      </c>
    </row>
    <row r="9" spans="1:6" ht="25.5" hidden="1" x14ac:dyDescent="0.3">
      <c r="A9" s="14" t="s">
        <v>79</v>
      </c>
      <c r="B9" s="2">
        <v>4370168.71</v>
      </c>
    </row>
    <row r="10" spans="1:6" hidden="1" x14ac:dyDescent="0.3"/>
    <row r="11" spans="1:6" ht="33" hidden="1" customHeight="1" x14ac:dyDescent="0.3">
      <c r="A11" s="24" t="s">
        <v>80</v>
      </c>
      <c r="B11" s="26"/>
    </row>
    <row r="12" spans="1:6" ht="33.75" hidden="1" thickBot="1" x14ac:dyDescent="0.35">
      <c r="A12" s="13" t="s">
        <v>81</v>
      </c>
      <c r="B12" s="2" t="s">
        <v>82</v>
      </c>
    </row>
    <row r="13" spans="1:6" ht="25.5" hidden="1" x14ac:dyDescent="0.3">
      <c r="A13" s="14" t="s">
        <v>83</v>
      </c>
      <c r="B13" s="2" t="s">
        <v>84</v>
      </c>
    </row>
    <row r="14" spans="1:6" hidden="1" x14ac:dyDescent="0.3"/>
    <row r="15" spans="1:6" ht="16.5" hidden="1" customHeight="1" x14ac:dyDescent="0.3">
      <c r="A15" s="24" t="s">
        <v>130</v>
      </c>
      <c r="B15" s="26"/>
      <c r="C15" s="26"/>
      <c r="D15" s="26"/>
      <c r="E15" s="26"/>
      <c r="F15" s="26"/>
    </row>
    <row r="16" spans="1:6" hidden="1" x14ac:dyDescent="0.3">
      <c r="A16" s="25" t="s">
        <v>131</v>
      </c>
      <c r="B16" s="27" t="s">
        <v>46</v>
      </c>
      <c r="C16" s="27" t="s">
        <v>132</v>
      </c>
      <c r="D16" s="3" t="s">
        <v>133</v>
      </c>
      <c r="E16" s="27" t="s">
        <v>135</v>
      </c>
      <c r="F16" s="27"/>
    </row>
    <row r="17" spans="1:8" hidden="1" x14ac:dyDescent="0.3">
      <c r="A17" s="25"/>
      <c r="B17" s="27"/>
      <c r="C17" s="27"/>
      <c r="D17" s="3" t="s">
        <v>134</v>
      </c>
      <c r="E17" s="27"/>
      <c r="F17" s="27"/>
    </row>
    <row r="18" spans="1:8" ht="17.25" thickBot="1" x14ac:dyDescent="0.35">
      <c r="A18" s="13" t="s">
        <v>66</v>
      </c>
      <c r="B18" s="2">
        <v>11915</v>
      </c>
      <c r="C18" s="2">
        <v>8.5550110000000004</v>
      </c>
      <c r="D18" s="2">
        <v>8.2590000000000007E-3</v>
      </c>
      <c r="E18" s="2">
        <v>8.5387813000000001</v>
      </c>
      <c r="F18" s="2">
        <v>8.5712396999999996</v>
      </c>
      <c r="H18" s="8" t="str">
        <f>TEXT(C18,"0.00")&amp;" ("&amp;TEXT(E18,"0.00")&amp;" to "&amp;TEXT(F18,"0.00")&amp;")"</f>
        <v>8.56 (8.54 to 8.57)</v>
      </c>
    </row>
    <row r="19" spans="1:8" ht="17.25" thickBot="1" x14ac:dyDescent="0.35">
      <c r="A19" s="13" t="s">
        <v>67</v>
      </c>
      <c r="B19" s="2">
        <v>11915</v>
      </c>
      <c r="C19" s="2">
        <v>0.66046199999999999</v>
      </c>
      <c r="D19" s="2">
        <v>1.1969999999999999E-3</v>
      </c>
      <c r="E19" s="2">
        <v>0.65811039999999998</v>
      </c>
      <c r="F19" s="2">
        <v>0.66281310000000004</v>
      </c>
      <c r="H19" s="8" t="str">
        <f t="shared" ref="H19:H21" si="0">TEXT(C19,"0.00")&amp;" ("&amp;TEXT(E19,"0.00")&amp;" to "&amp;TEXT(F19,"0.00")&amp;")"</f>
        <v>0.66 (0.66 to 0.66)</v>
      </c>
    </row>
    <row r="20" spans="1:8" ht="17.25" thickBot="1" x14ac:dyDescent="0.35">
      <c r="A20" s="13" t="s">
        <v>68</v>
      </c>
      <c r="B20" s="2">
        <v>11915</v>
      </c>
      <c r="C20" s="2">
        <v>0.36789899999999998</v>
      </c>
      <c r="D20" s="2">
        <v>3.81E-3</v>
      </c>
      <c r="E20" s="2">
        <v>0.3604117</v>
      </c>
      <c r="F20" s="2">
        <v>0.3753861</v>
      </c>
      <c r="H20" s="8" t="str">
        <f t="shared" si="0"/>
        <v>0.37 (0.36 to 0.38)</v>
      </c>
    </row>
    <row r="21" spans="1:8" x14ac:dyDescent="0.3">
      <c r="A21" s="14" t="s">
        <v>69</v>
      </c>
      <c r="B21" s="2">
        <v>11915</v>
      </c>
      <c r="C21" s="2">
        <v>35.576841999999999</v>
      </c>
      <c r="D21" s="2">
        <v>8.5183999999999996E-2</v>
      </c>
      <c r="E21" s="2">
        <v>35.409457799999998</v>
      </c>
      <c r="F21" s="2">
        <v>35.744227000000002</v>
      </c>
      <c r="H21" s="8" t="str">
        <f t="shared" si="0"/>
        <v>35.58 (35.41 to 35.74)</v>
      </c>
    </row>
    <row r="22" spans="1:8" hidden="1" x14ac:dyDescent="0.3"/>
    <row r="23" spans="1:8" hidden="1" x14ac:dyDescent="0.3"/>
    <row r="24" spans="1:8" hidden="1" x14ac:dyDescent="0.3"/>
    <row r="25" spans="1:8" hidden="1" x14ac:dyDescent="0.3">
      <c r="A25" s="1" t="s">
        <v>129</v>
      </c>
    </row>
    <row r="26" spans="1:8" hidden="1" x14ac:dyDescent="0.3"/>
    <row r="27" spans="1:8" hidden="1" x14ac:dyDescent="0.3">
      <c r="A27" s="1" t="s">
        <v>137</v>
      </c>
    </row>
    <row r="28" spans="1:8" hidden="1" x14ac:dyDescent="0.3"/>
    <row r="29" spans="1:8" ht="16.5" hidden="1" customHeight="1" x14ac:dyDescent="0.3">
      <c r="A29" s="24" t="s">
        <v>75</v>
      </c>
      <c r="B29" s="26"/>
    </row>
    <row r="30" spans="1:8" ht="26.25" hidden="1" thickBot="1" x14ac:dyDescent="0.35">
      <c r="A30" s="13" t="s">
        <v>76</v>
      </c>
      <c r="B30" s="2">
        <v>25</v>
      </c>
    </row>
    <row r="31" spans="1:8" ht="26.25" hidden="1" thickBot="1" x14ac:dyDescent="0.35">
      <c r="A31" s="13" t="s">
        <v>77</v>
      </c>
      <c r="B31" s="2">
        <v>576</v>
      </c>
    </row>
    <row r="32" spans="1:8" ht="39" hidden="1" thickBot="1" x14ac:dyDescent="0.35">
      <c r="A32" s="13" t="s">
        <v>78</v>
      </c>
      <c r="B32" s="2">
        <v>13116</v>
      </c>
    </row>
    <row r="33" spans="1:8" ht="25.5" hidden="1" x14ac:dyDescent="0.3">
      <c r="A33" s="14" t="s">
        <v>79</v>
      </c>
      <c r="B33" s="2">
        <v>5460664.9500000002</v>
      </c>
    </row>
    <row r="34" spans="1:8" hidden="1" x14ac:dyDescent="0.3"/>
    <row r="35" spans="1:8" ht="33" hidden="1" customHeight="1" x14ac:dyDescent="0.3">
      <c r="A35" s="24" t="s">
        <v>80</v>
      </c>
      <c r="B35" s="26"/>
    </row>
    <row r="36" spans="1:8" ht="33.75" hidden="1" thickBot="1" x14ac:dyDescent="0.35">
      <c r="A36" s="13" t="s">
        <v>81</v>
      </c>
      <c r="B36" s="2" t="s">
        <v>82</v>
      </c>
    </row>
    <row r="37" spans="1:8" ht="25.5" hidden="1" x14ac:dyDescent="0.3">
      <c r="A37" s="14" t="s">
        <v>83</v>
      </c>
      <c r="B37" s="2" t="s">
        <v>84</v>
      </c>
    </row>
    <row r="38" spans="1:8" hidden="1" x14ac:dyDescent="0.3"/>
    <row r="39" spans="1:8" ht="16.5" hidden="1" customHeight="1" x14ac:dyDescent="0.3">
      <c r="A39" s="24" t="s">
        <v>130</v>
      </c>
      <c r="B39" s="26"/>
      <c r="C39" s="26"/>
      <c r="D39" s="26"/>
      <c r="E39" s="26"/>
      <c r="F39" s="26"/>
    </row>
    <row r="40" spans="1:8" hidden="1" x14ac:dyDescent="0.3">
      <c r="A40" s="25" t="s">
        <v>131</v>
      </c>
      <c r="B40" s="27" t="s">
        <v>46</v>
      </c>
      <c r="C40" s="27" t="s">
        <v>132</v>
      </c>
      <c r="D40" s="3" t="s">
        <v>133</v>
      </c>
      <c r="E40" s="27" t="s">
        <v>135</v>
      </c>
      <c r="F40" s="27"/>
    </row>
    <row r="41" spans="1:8" hidden="1" x14ac:dyDescent="0.3">
      <c r="A41" s="25"/>
      <c r="B41" s="27"/>
      <c r="C41" s="27"/>
      <c r="D41" s="3" t="s">
        <v>134</v>
      </c>
      <c r="E41" s="27"/>
      <c r="F41" s="27"/>
    </row>
    <row r="42" spans="1:8" ht="17.25" thickBot="1" x14ac:dyDescent="0.35">
      <c r="A42" s="13" t="s">
        <v>66</v>
      </c>
      <c r="B42" s="2">
        <v>13116</v>
      </c>
      <c r="C42" s="2">
        <v>8.5595350000000003</v>
      </c>
      <c r="D42" s="2">
        <v>8.0199999999999994E-3</v>
      </c>
      <c r="E42" s="2">
        <v>8.5437808000000004</v>
      </c>
      <c r="F42" s="2">
        <v>8.5752884999999992</v>
      </c>
      <c r="H42" s="8" t="str">
        <f t="shared" ref="H42:H45" si="1">TEXT(C42,"0.00")&amp;" ("&amp;TEXT(E42,"0.00")&amp;" to "&amp;TEXT(F42,"0.00")&amp;")"</f>
        <v>8.56 (8.54 to 8.58)</v>
      </c>
    </row>
    <row r="43" spans="1:8" ht="17.25" thickBot="1" x14ac:dyDescent="0.35">
      <c r="A43" s="13" t="s">
        <v>67</v>
      </c>
      <c r="B43" s="2">
        <v>13116</v>
      </c>
      <c r="C43" s="2">
        <v>0.65766199999999997</v>
      </c>
      <c r="D43" s="2">
        <v>1.0139999999999999E-3</v>
      </c>
      <c r="E43" s="2">
        <v>0.65567039999999999</v>
      </c>
      <c r="F43" s="2">
        <v>0.65965379999999996</v>
      </c>
      <c r="H43" s="8" t="str">
        <f t="shared" si="1"/>
        <v>0.66 (0.66 to 0.66)</v>
      </c>
    </row>
    <row r="44" spans="1:8" ht="17.25" thickBot="1" x14ac:dyDescent="0.35">
      <c r="A44" s="13" t="s">
        <v>68</v>
      </c>
      <c r="B44" s="2">
        <v>13116</v>
      </c>
      <c r="C44" s="2">
        <v>0.35673300000000002</v>
      </c>
      <c r="D44" s="2">
        <v>3.735E-3</v>
      </c>
      <c r="E44" s="2">
        <v>0.3493967</v>
      </c>
      <c r="F44" s="2">
        <v>0.36406959999999999</v>
      </c>
      <c r="H44" s="8" t="str">
        <f t="shared" si="1"/>
        <v>0.36 (0.35 to 0.36)</v>
      </c>
    </row>
    <row r="45" spans="1:8" x14ac:dyDescent="0.3">
      <c r="A45" s="14" t="s">
        <v>69</v>
      </c>
      <c r="B45" s="2">
        <v>13116</v>
      </c>
      <c r="C45" s="2">
        <v>35.547840000000001</v>
      </c>
      <c r="D45" s="2">
        <v>9.0675000000000006E-2</v>
      </c>
      <c r="E45" s="2">
        <v>35.369729999999997</v>
      </c>
      <c r="F45" s="2">
        <v>35.7259508</v>
      </c>
      <c r="H45" s="8" t="str">
        <f t="shared" si="1"/>
        <v>35.55 (35.37 to 35.73)</v>
      </c>
    </row>
    <row r="46" spans="1:8" hidden="1" x14ac:dyDescent="0.3"/>
    <row r="47" spans="1:8" hidden="1" x14ac:dyDescent="0.3"/>
    <row r="48" spans="1:8" hidden="1" x14ac:dyDescent="0.3"/>
    <row r="49" spans="1:6" hidden="1" x14ac:dyDescent="0.3">
      <c r="A49" s="1" t="s">
        <v>129</v>
      </c>
    </row>
    <row r="50" spans="1:6" hidden="1" x14ac:dyDescent="0.3"/>
    <row r="51" spans="1:6" hidden="1" x14ac:dyDescent="0.3">
      <c r="A51" s="1" t="s">
        <v>138</v>
      </c>
    </row>
    <row r="52" spans="1:6" hidden="1" x14ac:dyDescent="0.3"/>
    <row r="53" spans="1:6" ht="16.5" hidden="1" customHeight="1" x14ac:dyDescent="0.3">
      <c r="A53" s="24" t="s">
        <v>75</v>
      </c>
      <c r="B53" s="26"/>
    </row>
    <row r="54" spans="1:6" ht="26.25" hidden="1" thickBot="1" x14ac:dyDescent="0.35">
      <c r="A54" s="13" t="s">
        <v>76</v>
      </c>
      <c r="B54" s="2">
        <v>25</v>
      </c>
    </row>
    <row r="55" spans="1:6" ht="26.25" hidden="1" thickBot="1" x14ac:dyDescent="0.35">
      <c r="A55" s="13" t="s">
        <v>77</v>
      </c>
      <c r="B55" s="2">
        <v>576</v>
      </c>
    </row>
    <row r="56" spans="1:6" ht="39" hidden="1" thickBot="1" x14ac:dyDescent="0.35">
      <c r="A56" s="13" t="s">
        <v>78</v>
      </c>
      <c r="B56" s="2">
        <v>11475</v>
      </c>
    </row>
    <row r="57" spans="1:6" ht="25.5" hidden="1" x14ac:dyDescent="0.3">
      <c r="A57" s="14" t="s">
        <v>79</v>
      </c>
      <c r="B57" s="2">
        <v>5394529.0199999996</v>
      </c>
    </row>
    <row r="58" spans="1:6" hidden="1" x14ac:dyDescent="0.3"/>
    <row r="59" spans="1:6" ht="33" hidden="1" customHeight="1" x14ac:dyDescent="0.3">
      <c r="A59" s="24" t="s">
        <v>80</v>
      </c>
      <c r="B59" s="26"/>
    </row>
    <row r="60" spans="1:6" ht="33.75" hidden="1" thickBot="1" x14ac:dyDescent="0.35">
      <c r="A60" s="13" t="s">
        <v>81</v>
      </c>
      <c r="B60" s="2" t="s">
        <v>82</v>
      </c>
    </row>
    <row r="61" spans="1:6" ht="25.5" hidden="1" x14ac:dyDescent="0.3">
      <c r="A61" s="14" t="s">
        <v>83</v>
      </c>
      <c r="B61" s="2" t="s">
        <v>84</v>
      </c>
    </row>
    <row r="62" spans="1:6" hidden="1" x14ac:dyDescent="0.3"/>
    <row r="63" spans="1:6" ht="16.5" hidden="1" customHeight="1" x14ac:dyDescent="0.3">
      <c r="A63" s="24" t="s">
        <v>130</v>
      </c>
      <c r="B63" s="26"/>
      <c r="C63" s="26"/>
      <c r="D63" s="26"/>
      <c r="E63" s="26"/>
      <c r="F63" s="26"/>
    </row>
    <row r="64" spans="1:6" hidden="1" x14ac:dyDescent="0.3">
      <c r="A64" s="25" t="s">
        <v>131</v>
      </c>
      <c r="B64" s="27" t="s">
        <v>46</v>
      </c>
      <c r="C64" s="27" t="s">
        <v>132</v>
      </c>
      <c r="D64" s="3" t="s">
        <v>133</v>
      </c>
      <c r="E64" s="27" t="s">
        <v>135</v>
      </c>
      <c r="F64" s="27"/>
    </row>
    <row r="65" spans="1:8" hidden="1" x14ac:dyDescent="0.3">
      <c r="A65" s="25"/>
      <c r="B65" s="27"/>
      <c r="C65" s="27"/>
      <c r="D65" s="3" t="s">
        <v>134</v>
      </c>
      <c r="E65" s="27"/>
      <c r="F65" s="27"/>
    </row>
    <row r="66" spans="1:8" ht="17.25" thickBot="1" x14ac:dyDescent="0.35">
      <c r="A66" s="13" t="s">
        <v>66</v>
      </c>
      <c r="B66" s="2">
        <v>11475</v>
      </c>
      <c r="C66" s="2">
        <v>8.5890520000000006</v>
      </c>
      <c r="D66" s="2">
        <v>8.1969999999999994E-3</v>
      </c>
      <c r="E66" s="2">
        <v>8.5729504999999993</v>
      </c>
      <c r="F66" s="2">
        <v>8.6051541999999994</v>
      </c>
      <c r="H66" s="8" t="str">
        <f t="shared" ref="H66:H69" si="2">TEXT(C66,"0.00")&amp;" ("&amp;TEXT(E66,"0.00")&amp;" to "&amp;TEXT(F66,"0.00")&amp;")"</f>
        <v>8.59 (8.57 to 8.61)</v>
      </c>
    </row>
    <row r="67" spans="1:8" ht="17.25" thickBot="1" x14ac:dyDescent="0.35">
      <c r="A67" s="13" t="s">
        <v>67</v>
      </c>
      <c r="B67" s="2">
        <v>11475</v>
      </c>
      <c r="C67" s="2">
        <v>0.658941</v>
      </c>
      <c r="D67" s="2">
        <v>1.0480000000000001E-3</v>
      </c>
      <c r="E67" s="2">
        <v>0.65688230000000003</v>
      </c>
      <c r="F67" s="2">
        <v>0.66100060000000005</v>
      </c>
      <c r="H67" s="8" t="str">
        <f t="shared" si="2"/>
        <v>0.66 (0.66 to 0.66)</v>
      </c>
    </row>
    <row r="68" spans="1:8" ht="17.25" thickBot="1" x14ac:dyDescent="0.35">
      <c r="A68" s="13" t="s">
        <v>68</v>
      </c>
      <c r="B68" s="2">
        <v>11475</v>
      </c>
      <c r="C68" s="2">
        <v>0.34841</v>
      </c>
      <c r="D68" s="2">
        <v>3.8019999999999998E-3</v>
      </c>
      <c r="E68" s="2">
        <v>0.34094170000000001</v>
      </c>
      <c r="F68" s="2">
        <v>0.35587750000000001</v>
      </c>
      <c r="H68" s="8" t="str">
        <f t="shared" si="2"/>
        <v>0.35 (0.34 to 0.36)</v>
      </c>
    </row>
    <row r="69" spans="1:8" x14ac:dyDescent="0.3">
      <c r="A69" s="14" t="s">
        <v>69</v>
      </c>
      <c r="B69" s="2">
        <v>11475</v>
      </c>
      <c r="C69" s="2">
        <v>35.389527999999999</v>
      </c>
      <c r="D69" s="2">
        <v>8.4156999999999996E-2</v>
      </c>
      <c r="E69" s="2">
        <v>35.224220299999999</v>
      </c>
      <c r="F69" s="2">
        <v>35.554836600000002</v>
      </c>
      <c r="H69" s="8" t="str">
        <f t="shared" si="2"/>
        <v>35.39 (35.22 to 35.55)</v>
      </c>
    </row>
    <row r="70" spans="1:8" hidden="1" x14ac:dyDescent="0.3"/>
    <row r="71" spans="1:8" hidden="1" x14ac:dyDescent="0.3"/>
    <row r="72" spans="1:8" hidden="1" x14ac:dyDescent="0.3"/>
    <row r="73" spans="1:8" hidden="1" x14ac:dyDescent="0.3">
      <c r="A73" s="1" t="s">
        <v>129</v>
      </c>
    </row>
    <row r="74" spans="1:8" hidden="1" x14ac:dyDescent="0.3"/>
    <row r="75" spans="1:8" hidden="1" x14ac:dyDescent="0.3">
      <c r="A75" s="1" t="s">
        <v>139</v>
      </c>
    </row>
    <row r="76" spans="1:8" hidden="1" x14ac:dyDescent="0.3"/>
    <row r="77" spans="1:8" ht="16.5" hidden="1" customHeight="1" x14ac:dyDescent="0.3">
      <c r="A77" s="24" t="s">
        <v>75</v>
      </c>
      <c r="B77" s="26"/>
    </row>
    <row r="78" spans="1:8" ht="26.25" hidden="1" thickBot="1" x14ac:dyDescent="0.35">
      <c r="A78" s="13" t="s">
        <v>76</v>
      </c>
      <c r="B78" s="2">
        <v>54</v>
      </c>
    </row>
    <row r="79" spans="1:8" ht="26.25" hidden="1" thickBot="1" x14ac:dyDescent="0.35">
      <c r="A79" s="13" t="s">
        <v>77</v>
      </c>
      <c r="B79" s="2">
        <v>576</v>
      </c>
    </row>
    <row r="80" spans="1:8" ht="39" hidden="1" thickBot="1" x14ac:dyDescent="0.35">
      <c r="A80" s="13" t="s">
        <v>78</v>
      </c>
      <c r="B80" s="2">
        <v>14158</v>
      </c>
    </row>
    <row r="81" spans="1:8" ht="25.5" hidden="1" x14ac:dyDescent="0.3">
      <c r="A81" s="14" t="s">
        <v>79</v>
      </c>
      <c r="B81" s="2">
        <v>6320960.5099999998</v>
      </c>
    </row>
    <row r="82" spans="1:8" hidden="1" x14ac:dyDescent="0.3"/>
    <row r="83" spans="1:8" ht="33" hidden="1" customHeight="1" x14ac:dyDescent="0.3">
      <c r="A83" s="24" t="s">
        <v>80</v>
      </c>
      <c r="B83" s="26"/>
    </row>
    <row r="84" spans="1:8" ht="33.75" hidden="1" thickBot="1" x14ac:dyDescent="0.35">
      <c r="A84" s="13" t="s">
        <v>81</v>
      </c>
      <c r="B84" s="2" t="s">
        <v>82</v>
      </c>
    </row>
    <row r="85" spans="1:8" ht="25.5" hidden="1" x14ac:dyDescent="0.3">
      <c r="A85" s="14" t="s">
        <v>83</v>
      </c>
      <c r="B85" s="2" t="s">
        <v>84</v>
      </c>
    </row>
    <row r="86" spans="1:8" hidden="1" x14ac:dyDescent="0.3"/>
    <row r="87" spans="1:8" ht="16.5" hidden="1" customHeight="1" x14ac:dyDescent="0.3">
      <c r="A87" s="24" t="s">
        <v>130</v>
      </c>
      <c r="B87" s="26"/>
      <c r="C87" s="26"/>
      <c r="D87" s="26"/>
      <c r="E87" s="26"/>
      <c r="F87" s="26"/>
    </row>
    <row r="88" spans="1:8" hidden="1" x14ac:dyDescent="0.3">
      <c r="A88" s="25" t="s">
        <v>131</v>
      </c>
      <c r="B88" s="27" t="s">
        <v>46</v>
      </c>
      <c r="C88" s="27" t="s">
        <v>132</v>
      </c>
      <c r="D88" s="3" t="s">
        <v>133</v>
      </c>
      <c r="E88" s="27" t="s">
        <v>135</v>
      </c>
      <c r="F88" s="27"/>
    </row>
    <row r="89" spans="1:8" hidden="1" x14ac:dyDescent="0.3">
      <c r="A89" s="25"/>
      <c r="B89" s="27"/>
      <c r="C89" s="27"/>
      <c r="D89" s="3" t="s">
        <v>134</v>
      </c>
      <c r="E89" s="27"/>
      <c r="F89" s="27"/>
    </row>
    <row r="90" spans="1:8" ht="17.25" thickBot="1" x14ac:dyDescent="0.35">
      <c r="A90" s="13" t="s">
        <v>66</v>
      </c>
      <c r="B90" s="2">
        <v>14158</v>
      </c>
      <c r="C90" s="2">
        <v>8.6096950000000003</v>
      </c>
      <c r="D90" s="2">
        <v>7.626E-3</v>
      </c>
      <c r="E90" s="2">
        <v>8.5947127000000005</v>
      </c>
      <c r="F90" s="2">
        <v>8.6246764999999996</v>
      </c>
      <c r="H90" s="8" t="str">
        <f t="shared" ref="H90:H93" si="3">TEXT(C90,"0.00")&amp;" ("&amp;TEXT(E90,"0.00")&amp;" to "&amp;TEXT(F90,"0.00")&amp;")"</f>
        <v>8.61 (8.59 to 8.62)</v>
      </c>
    </row>
    <row r="91" spans="1:8" ht="17.25" thickBot="1" x14ac:dyDescent="0.35">
      <c r="A91" s="13" t="s">
        <v>67</v>
      </c>
      <c r="B91" s="2">
        <v>14158</v>
      </c>
      <c r="C91" s="2">
        <v>0.66454500000000005</v>
      </c>
      <c r="D91" s="2">
        <v>9.7900000000000005E-4</v>
      </c>
      <c r="E91" s="2">
        <v>0.66262200000000004</v>
      </c>
      <c r="F91" s="2">
        <v>0.66646890000000003</v>
      </c>
      <c r="H91" s="8" t="str">
        <f t="shared" si="3"/>
        <v>0.66 (0.66 to 0.67)</v>
      </c>
    </row>
    <row r="92" spans="1:8" ht="17.25" thickBot="1" x14ac:dyDescent="0.35">
      <c r="A92" s="13" t="s">
        <v>68</v>
      </c>
      <c r="B92" s="2">
        <v>14158</v>
      </c>
      <c r="C92" s="2">
        <v>0.35297299999999998</v>
      </c>
      <c r="D92" s="2">
        <v>3.7030000000000001E-3</v>
      </c>
      <c r="E92" s="2">
        <v>0.34569860000000002</v>
      </c>
      <c r="F92" s="2">
        <v>0.36024679999999998</v>
      </c>
      <c r="H92" s="8" t="str">
        <f t="shared" si="3"/>
        <v>0.35 (0.35 to 0.36)</v>
      </c>
    </row>
    <row r="93" spans="1:8" x14ac:dyDescent="0.3">
      <c r="A93" s="14" t="s">
        <v>69</v>
      </c>
      <c r="B93" s="2">
        <v>14158</v>
      </c>
      <c r="C93" s="2">
        <v>35.740164999999998</v>
      </c>
      <c r="D93" s="2">
        <v>8.6733000000000005E-2</v>
      </c>
      <c r="E93" s="2">
        <v>35.569776099999999</v>
      </c>
      <c r="F93" s="2">
        <v>35.910554500000003</v>
      </c>
      <c r="H93" s="8" t="str">
        <f t="shared" si="3"/>
        <v>35.74 (35.57 to 35.91)</v>
      </c>
    </row>
    <row r="94" spans="1:8" hidden="1" x14ac:dyDescent="0.3"/>
    <row r="95" spans="1:8" hidden="1" x14ac:dyDescent="0.3"/>
    <row r="96" spans="1:8" hidden="1" x14ac:dyDescent="0.3"/>
    <row r="97" spans="1:6" hidden="1" x14ac:dyDescent="0.3">
      <c r="A97" s="1" t="s">
        <v>129</v>
      </c>
    </row>
    <row r="98" spans="1:6" hidden="1" x14ac:dyDescent="0.3"/>
    <row r="99" spans="1:6" hidden="1" x14ac:dyDescent="0.3">
      <c r="A99" s="1" t="s">
        <v>140</v>
      </c>
    </row>
    <row r="100" spans="1:6" hidden="1" x14ac:dyDescent="0.3"/>
    <row r="101" spans="1:6" ht="16.5" hidden="1" customHeight="1" x14ac:dyDescent="0.3">
      <c r="A101" s="24" t="s">
        <v>75</v>
      </c>
      <c r="B101" s="26"/>
    </row>
    <row r="102" spans="1:6" ht="26.25" hidden="1" thickBot="1" x14ac:dyDescent="0.35">
      <c r="A102" s="13" t="s">
        <v>76</v>
      </c>
      <c r="B102" s="2">
        <v>27</v>
      </c>
    </row>
    <row r="103" spans="1:6" ht="26.25" hidden="1" thickBot="1" x14ac:dyDescent="0.35">
      <c r="A103" s="13" t="s">
        <v>77</v>
      </c>
      <c r="B103" s="2">
        <v>564</v>
      </c>
    </row>
    <row r="104" spans="1:6" ht="39" hidden="1" thickBot="1" x14ac:dyDescent="0.35">
      <c r="A104" s="13" t="s">
        <v>78</v>
      </c>
      <c r="B104" s="2">
        <v>13555</v>
      </c>
    </row>
    <row r="105" spans="1:6" ht="25.5" hidden="1" x14ac:dyDescent="0.3">
      <c r="A105" s="14" t="s">
        <v>79</v>
      </c>
      <c r="B105" s="2">
        <v>6554698.8099999996</v>
      </c>
    </row>
    <row r="106" spans="1:6" hidden="1" x14ac:dyDescent="0.3"/>
    <row r="107" spans="1:6" ht="33" hidden="1" customHeight="1" x14ac:dyDescent="0.3">
      <c r="A107" s="24" t="s">
        <v>80</v>
      </c>
      <c r="B107" s="26"/>
    </row>
    <row r="108" spans="1:6" ht="33.75" hidden="1" thickBot="1" x14ac:dyDescent="0.35">
      <c r="A108" s="13" t="s">
        <v>81</v>
      </c>
      <c r="B108" s="2" t="s">
        <v>82</v>
      </c>
    </row>
    <row r="109" spans="1:6" ht="25.5" hidden="1" x14ac:dyDescent="0.3">
      <c r="A109" s="14" t="s">
        <v>83</v>
      </c>
      <c r="B109" s="2" t="s">
        <v>84</v>
      </c>
    </row>
    <row r="110" spans="1:6" hidden="1" x14ac:dyDescent="0.3"/>
    <row r="111" spans="1:6" ht="16.5" hidden="1" customHeight="1" x14ac:dyDescent="0.3">
      <c r="A111" s="24" t="s">
        <v>130</v>
      </c>
      <c r="B111" s="26"/>
      <c r="C111" s="26"/>
      <c r="D111" s="26"/>
      <c r="E111" s="26"/>
      <c r="F111" s="26"/>
    </row>
    <row r="112" spans="1:6" hidden="1" x14ac:dyDescent="0.3">
      <c r="A112" s="25" t="s">
        <v>131</v>
      </c>
      <c r="B112" s="27" t="s">
        <v>46</v>
      </c>
      <c r="C112" s="27" t="s">
        <v>132</v>
      </c>
      <c r="D112" s="3" t="s">
        <v>133</v>
      </c>
      <c r="E112" s="27" t="s">
        <v>135</v>
      </c>
      <c r="F112" s="27"/>
    </row>
    <row r="113" spans="1:8" hidden="1" x14ac:dyDescent="0.3">
      <c r="A113" s="25"/>
      <c r="B113" s="27"/>
      <c r="C113" s="27"/>
      <c r="D113" s="3" t="s">
        <v>134</v>
      </c>
      <c r="E113" s="27"/>
      <c r="F113" s="27"/>
    </row>
    <row r="114" spans="1:8" ht="17.25" thickBot="1" x14ac:dyDescent="0.35">
      <c r="A114" s="13" t="s">
        <v>66</v>
      </c>
      <c r="B114" s="2">
        <v>13555</v>
      </c>
      <c r="C114" s="2">
        <v>8.5859089999999991</v>
      </c>
      <c r="D114" s="2">
        <v>7.7330000000000003E-3</v>
      </c>
      <c r="E114" s="2">
        <v>8.5707193000000004</v>
      </c>
      <c r="F114" s="2">
        <v>8.6010988000000008</v>
      </c>
      <c r="H114" s="8" t="str">
        <f t="shared" ref="H114:H117" si="4">TEXT(C114,"0.00")&amp;" ("&amp;TEXT(E114,"0.00")&amp;" to "&amp;TEXT(F114,"0.00")&amp;")"</f>
        <v>8.59 (8.57 to 8.60)</v>
      </c>
    </row>
    <row r="115" spans="1:8" ht="17.25" thickBot="1" x14ac:dyDescent="0.35">
      <c r="A115" s="13" t="s">
        <v>67</v>
      </c>
      <c r="B115" s="2">
        <v>13555</v>
      </c>
      <c r="C115" s="2">
        <v>0.672315</v>
      </c>
      <c r="D115" s="2">
        <v>9.4399999999999996E-4</v>
      </c>
      <c r="E115" s="2">
        <v>0.67046050000000001</v>
      </c>
      <c r="F115" s="2">
        <v>0.67417039999999995</v>
      </c>
      <c r="H115" s="8" t="str">
        <f t="shared" si="4"/>
        <v>0.67 (0.67 to 0.67)</v>
      </c>
    </row>
    <row r="116" spans="1:8" ht="17.25" thickBot="1" x14ac:dyDescent="0.35">
      <c r="A116" s="13" t="s">
        <v>68</v>
      </c>
      <c r="B116" s="2">
        <v>13555</v>
      </c>
      <c r="C116" s="2">
        <v>0.32832600000000001</v>
      </c>
      <c r="D116" s="2">
        <v>3.8110000000000002E-3</v>
      </c>
      <c r="E116" s="2">
        <v>0.32083990000000001</v>
      </c>
      <c r="F116" s="2">
        <v>0.33581270000000002</v>
      </c>
      <c r="H116" s="8" t="str">
        <f t="shared" si="4"/>
        <v>0.33 (0.32 to 0.34)</v>
      </c>
    </row>
    <row r="117" spans="1:8" x14ac:dyDescent="0.3">
      <c r="A117" s="14" t="s">
        <v>69</v>
      </c>
      <c r="B117" s="2">
        <v>13555</v>
      </c>
      <c r="C117" s="2">
        <v>35.805607999999999</v>
      </c>
      <c r="D117" s="2">
        <v>9.1490000000000002E-2</v>
      </c>
      <c r="E117" s="2">
        <v>35.625885099999998</v>
      </c>
      <c r="F117" s="2">
        <v>35.985331100000003</v>
      </c>
      <c r="H117" s="8" t="str">
        <f t="shared" si="4"/>
        <v>35.81 (35.63 to 35.99)</v>
      </c>
    </row>
    <row r="118" spans="1:8" hidden="1" x14ac:dyDescent="0.3"/>
    <row r="119" spans="1:8" hidden="1" x14ac:dyDescent="0.3"/>
    <row r="120" spans="1:8" hidden="1" x14ac:dyDescent="0.3"/>
    <row r="121" spans="1:8" hidden="1" x14ac:dyDescent="0.3">
      <c r="A121" s="1" t="s">
        <v>129</v>
      </c>
    </row>
    <row r="122" spans="1:8" hidden="1" x14ac:dyDescent="0.3"/>
    <row r="123" spans="1:8" hidden="1" x14ac:dyDescent="0.3">
      <c r="A123" s="1" t="s">
        <v>141</v>
      </c>
    </row>
    <row r="124" spans="1:8" hidden="1" x14ac:dyDescent="0.3"/>
    <row r="125" spans="1:8" ht="16.5" hidden="1" customHeight="1" x14ac:dyDescent="0.3">
      <c r="A125" s="24" t="s">
        <v>75</v>
      </c>
      <c r="B125" s="26"/>
    </row>
    <row r="126" spans="1:8" ht="26.25" hidden="1" thickBot="1" x14ac:dyDescent="0.35">
      <c r="A126" s="13" t="s">
        <v>76</v>
      </c>
      <c r="B126" s="2">
        <v>27</v>
      </c>
    </row>
    <row r="127" spans="1:8" ht="26.25" hidden="1" thickBot="1" x14ac:dyDescent="0.35">
      <c r="A127" s="13" t="s">
        <v>77</v>
      </c>
      <c r="B127" s="2">
        <v>190</v>
      </c>
    </row>
    <row r="128" spans="1:8" ht="39" hidden="1" thickBot="1" x14ac:dyDescent="0.35">
      <c r="A128" s="13" t="s">
        <v>78</v>
      </c>
      <c r="B128" s="2">
        <v>4416</v>
      </c>
    </row>
    <row r="129" spans="1:8" ht="25.5" hidden="1" x14ac:dyDescent="0.3">
      <c r="A129" s="14" t="s">
        <v>79</v>
      </c>
      <c r="B129" s="2">
        <v>2150913.6800000002</v>
      </c>
    </row>
    <row r="130" spans="1:8" hidden="1" x14ac:dyDescent="0.3"/>
    <row r="131" spans="1:8" ht="33" hidden="1" customHeight="1" x14ac:dyDescent="0.3">
      <c r="A131" s="24" t="s">
        <v>80</v>
      </c>
      <c r="B131" s="26"/>
    </row>
    <row r="132" spans="1:8" ht="33.75" hidden="1" thickBot="1" x14ac:dyDescent="0.35">
      <c r="A132" s="13" t="s">
        <v>81</v>
      </c>
      <c r="B132" s="2" t="s">
        <v>82</v>
      </c>
    </row>
    <row r="133" spans="1:8" ht="25.5" hidden="1" x14ac:dyDescent="0.3">
      <c r="A133" s="14" t="s">
        <v>83</v>
      </c>
      <c r="B133" s="2" t="s">
        <v>84</v>
      </c>
    </row>
    <row r="134" spans="1:8" hidden="1" x14ac:dyDescent="0.3"/>
    <row r="135" spans="1:8" ht="16.5" hidden="1" customHeight="1" x14ac:dyDescent="0.3">
      <c r="A135" s="24" t="s">
        <v>130</v>
      </c>
      <c r="B135" s="26"/>
      <c r="C135" s="26"/>
      <c r="D135" s="26"/>
      <c r="E135" s="26"/>
      <c r="F135" s="26"/>
    </row>
    <row r="136" spans="1:8" hidden="1" x14ac:dyDescent="0.3">
      <c r="A136" s="25" t="s">
        <v>131</v>
      </c>
      <c r="B136" s="27" t="s">
        <v>46</v>
      </c>
      <c r="C136" s="27" t="s">
        <v>132</v>
      </c>
      <c r="D136" s="3" t="s">
        <v>133</v>
      </c>
      <c r="E136" s="27" t="s">
        <v>135</v>
      </c>
      <c r="F136" s="27"/>
    </row>
    <row r="137" spans="1:8" hidden="1" x14ac:dyDescent="0.3">
      <c r="A137" s="25"/>
      <c r="B137" s="27"/>
      <c r="C137" s="27"/>
      <c r="D137" s="3" t="s">
        <v>134</v>
      </c>
      <c r="E137" s="27"/>
      <c r="F137" s="27"/>
    </row>
    <row r="138" spans="1:8" ht="17.25" thickBot="1" x14ac:dyDescent="0.35">
      <c r="A138" s="13" t="s">
        <v>66</v>
      </c>
      <c r="B138" s="2">
        <v>4416</v>
      </c>
      <c r="C138" s="2">
        <v>8.5935269999999999</v>
      </c>
      <c r="D138" s="2">
        <v>1.2033E-2</v>
      </c>
      <c r="E138" s="2">
        <v>8.5697655000000008</v>
      </c>
      <c r="F138" s="2">
        <v>8.6172877999999997</v>
      </c>
      <c r="H138" s="8" t="str">
        <f t="shared" ref="H138:H141" si="5">TEXT(C138,"0.00")&amp;" ("&amp;TEXT(E138,"0.00")&amp;" to "&amp;TEXT(F138,"0.00")&amp;")"</f>
        <v>8.59 (8.57 to 8.62)</v>
      </c>
    </row>
    <row r="139" spans="1:8" ht="17.25" thickBot="1" x14ac:dyDescent="0.35">
      <c r="A139" s="13" t="s">
        <v>67</v>
      </c>
      <c r="B139" s="2">
        <v>4416</v>
      </c>
      <c r="C139" s="2">
        <v>0.66892600000000002</v>
      </c>
      <c r="D139" s="2">
        <v>1.6199999999999999E-3</v>
      </c>
      <c r="E139" s="2">
        <v>0.66572739999999997</v>
      </c>
      <c r="F139" s="2">
        <v>0.67212519999999998</v>
      </c>
      <c r="H139" s="8" t="str">
        <f t="shared" si="5"/>
        <v>0.67 (0.67 to 0.67)</v>
      </c>
    </row>
    <row r="140" spans="1:8" ht="17.25" thickBot="1" x14ac:dyDescent="0.35">
      <c r="A140" s="13" t="s">
        <v>68</v>
      </c>
      <c r="B140" s="2">
        <v>4416</v>
      </c>
      <c r="C140" s="2">
        <v>0.29083900000000001</v>
      </c>
      <c r="D140" s="2">
        <v>6.3699999999999998E-3</v>
      </c>
      <c r="E140" s="2">
        <v>0.27826119999999999</v>
      </c>
      <c r="F140" s="2">
        <v>0.30341770000000001</v>
      </c>
      <c r="H140" s="8" t="str">
        <f t="shared" si="5"/>
        <v>0.29 (0.28 to 0.30)</v>
      </c>
    </row>
    <row r="141" spans="1:8" x14ac:dyDescent="0.3">
      <c r="A141" s="14" t="s">
        <v>69</v>
      </c>
      <c r="B141" s="2">
        <v>4416</v>
      </c>
      <c r="C141" s="2">
        <v>35.284289999999999</v>
      </c>
      <c r="D141" s="2">
        <v>0.172564</v>
      </c>
      <c r="E141" s="2">
        <v>34.943541099999997</v>
      </c>
      <c r="F141" s="2">
        <v>35.625038099999998</v>
      </c>
      <c r="H141" s="8" t="str">
        <f t="shared" si="5"/>
        <v>35.28 (34.94 to 35.63)</v>
      </c>
    </row>
  </sheetData>
  <autoFilter ref="A1:A141" xr:uid="{FAE58C5B-4479-4CB8-B490-A3818A7CA438}">
    <filterColumn colId="0">
      <filters>
        <filter val="aip"/>
        <filter val="mets_ir"/>
        <filter val="tyg"/>
        <filter val="tyg_absi"/>
      </filters>
    </filterColumn>
  </autoFilter>
  <mergeCells count="42">
    <mergeCell ref="A5:B5"/>
    <mergeCell ref="A11:B11"/>
    <mergeCell ref="A15:F15"/>
    <mergeCell ref="A16:A17"/>
    <mergeCell ref="B16:B17"/>
    <mergeCell ref="C16:C17"/>
    <mergeCell ref="E16:F17"/>
    <mergeCell ref="A29:B29"/>
    <mergeCell ref="A35:B35"/>
    <mergeCell ref="A39:F39"/>
    <mergeCell ref="A40:A41"/>
    <mergeCell ref="B40:B41"/>
    <mergeCell ref="C40:C41"/>
    <mergeCell ref="E40:F41"/>
    <mergeCell ref="A53:B53"/>
    <mergeCell ref="A59:B59"/>
    <mergeCell ref="A63:F63"/>
    <mergeCell ref="A64:A65"/>
    <mergeCell ref="B64:B65"/>
    <mergeCell ref="C64:C65"/>
    <mergeCell ref="E64:F65"/>
    <mergeCell ref="A77:B77"/>
    <mergeCell ref="A83:B83"/>
    <mergeCell ref="A87:F87"/>
    <mergeCell ref="A88:A89"/>
    <mergeCell ref="B88:B89"/>
    <mergeCell ref="C88:C89"/>
    <mergeCell ref="E88:F89"/>
    <mergeCell ref="A101:B101"/>
    <mergeCell ref="A107:B107"/>
    <mergeCell ref="A111:F111"/>
    <mergeCell ref="A112:A113"/>
    <mergeCell ref="B112:B113"/>
    <mergeCell ref="C112:C113"/>
    <mergeCell ref="E112:F113"/>
    <mergeCell ref="A125:B125"/>
    <mergeCell ref="A131:B131"/>
    <mergeCell ref="A135:F135"/>
    <mergeCell ref="A136:A137"/>
    <mergeCell ref="B136:B137"/>
    <mergeCell ref="C136:C137"/>
    <mergeCell ref="E136:F13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583B-8821-47CD-AC25-4E5815046222}">
  <dimension ref="A1:I1005"/>
  <sheetViews>
    <sheetView topLeftCell="A967" workbookViewId="0">
      <selection activeCell="H947" sqref="H947"/>
    </sheetView>
  </sheetViews>
  <sheetFormatPr defaultRowHeight="16.5" x14ac:dyDescent="0.3"/>
  <cols>
    <col min="8" max="8" width="20.5" bestFit="1" customWidth="1"/>
  </cols>
  <sheetData>
    <row r="1" spans="1:6" x14ac:dyDescent="0.3">
      <c r="A1" s="1" t="s">
        <v>129</v>
      </c>
    </row>
    <row r="3" spans="1:6" x14ac:dyDescent="0.3">
      <c r="A3" s="1" t="s">
        <v>394</v>
      </c>
    </row>
    <row r="4" spans="1:6" ht="17.25" thickBot="1" x14ac:dyDescent="0.35"/>
    <row r="5" spans="1:6" ht="16.5" customHeight="1" x14ac:dyDescent="0.3">
      <c r="A5" s="24" t="s">
        <v>75</v>
      </c>
      <c r="B5" s="26"/>
    </row>
    <row r="6" spans="1:6" ht="26.25" thickBot="1" x14ac:dyDescent="0.35">
      <c r="A6" s="13" t="s">
        <v>76</v>
      </c>
      <c r="B6" s="2">
        <v>183</v>
      </c>
    </row>
    <row r="7" spans="1:6" ht="26.25" thickBot="1" x14ac:dyDescent="0.35">
      <c r="A7" s="13" t="s">
        <v>77</v>
      </c>
      <c r="B7" s="2">
        <v>2855</v>
      </c>
    </row>
    <row r="8" spans="1:6" ht="39" thickBot="1" x14ac:dyDescent="0.35">
      <c r="A8" s="13" t="s">
        <v>78</v>
      </c>
      <c r="B8" s="2">
        <v>21079</v>
      </c>
    </row>
    <row r="9" spans="1:6" ht="25.5" x14ac:dyDescent="0.3">
      <c r="A9" s="14" t="s">
        <v>79</v>
      </c>
      <c r="B9" s="2">
        <v>11834513.1</v>
      </c>
    </row>
    <row r="10" spans="1:6" ht="17.25" thickBot="1" x14ac:dyDescent="0.35"/>
    <row r="11" spans="1:6" ht="33" customHeight="1" x14ac:dyDescent="0.3">
      <c r="A11" s="24" t="s">
        <v>80</v>
      </c>
      <c r="B11" s="26"/>
    </row>
    <row r="12" spans="1:6" ht="33.75" thickBot="1" x14ac:dyDescent="0.35">
      <c r="A12" s="13" t="s">
        <v>81</v>
      </c>
      <c r="B12" s="2" t="s">
        <v>82</v>
      </c>
    </row>
    <row r="13" spans="1:6" ht="25.5" x14ac:dyDescent="0.3">
      <c r="A13" s="14" t="s">
        <v>83</v>
      </c>
      <c r="B13" s="2" t="s">
        <v>84</v>
      </c>
    </row>
    <row r="14" spans="1:6" ht="17.25" thickBot="1" x14ac:dyDescent="0.35"/>
    <row r="15" spans="1:6" ht="16.5" customHeight="1" x14ac:dyDescent="0.3">
      <c r="A15" s="24" t="s">
        <v>130</v>
      </c>
      <c r="B15" s="26"/>
      <c r="C15" s="26"/>
      <c r="D15" s="26"/>
      <c r="E15" s="26"/>
      <c r="F15" s="26"/>
    </row>
    <row r="16" spans="1:6" x14ac:dyDescent="0.3">
      <c r="A16" s="25" t="s">
        <v>131</v>
      </c>
      <c r="B16" s="27" t="s">
        <v>46</v>
      </c>
      <c r="C16" s="27" t="s">
        <v>132</v>
      </c>
      <c r="D16" s="3" t="s">
        <v>133</v>
      </c>
      <c r="E16" s="27" t="s">
        <v>135</v>
      </c>
      <c r="F16" s="27"/>
    </row>
    <row r="17" spans="1:9" x14ac:dyDescent="0.3">
      <c r="A17" s="25"/>
      <c r="B17" s="27"/>
      <c r="C17" s="27"/>
      <c r="D17" s="3" t="s">
        <v>134</v>
      </c>
      <c r="E17" s="27"/>
      <c r="F17" s="27"/>
    </row>
    <row r="18" spans="1:9" ht="17.25" thickBot="1" x14ac:dyDescent="0.35">
      <c r="A18" s="13" t="s">
        <v>66</v>
      </c>
      <c r="B18" s="2">
        <v>21079</v>
      </c>
      <c r="C18" s="2">
        <v>8.3794599999999999</v>
      </c>
      <c r="D18" s="2">
        <v>5.2310000000000004E-3</v>
      </c>
      <c r="E18" s="2">
        <v>8.3692034</v>
      </c>
      <c r="F18" s="2">
        <v>8.3897169999999992</v>
      </c>
      <c r="H18" s="8" t="str">
        <f t="shared" ref="H18:H21" si="0">TEXT(C18,"0.00")&amp;" ("&amp;TEXT(E18,"0.00")&amp;" to "&amp;TEXT(F18,"0.00")&amp;")"</f>
        <v>8.38 (8.37 to 8.39)</v>
      </c>
      <c r="I18" t="s">
        <v>24</v>
      </c>
    </row>
    <row r="19" spans="1:9" ht="17.25" thickBot="1" x14ac:dyDescent="0.35">
      <c r="A19" s="13" t="s">
        <v>67</v>
      </c>
      <c r="B19" s="2">
        <v>21079</v>
      </c>
      <c r="C19" s="2">
        <v>0.62940300000000005</v>
      </c>
      <c r="D19" s="2">
        <v>5.7300000000000005E-4</v>
      </c>
      <c r="E19" s="2">
        <v>0.62827880000000003</v>
      </c>
      <c r="F19" s="2">
        <v>0.63052770000000002</v>
      </c>
      <c r="H19" s="8" t="str">
        <f t="shared" si="0"/>
        <v>0.63 (0.63 to 0.63)</v>
      </c>
      <c r="I19" t="s">
        <v>24</v>
      </c>
    </row>
    <row r="20" spans="1:9" ht="17.25" thickBot="1" x14ac:dyDescent="0.35">
      <c r="A20" s="13" t="s">
        <v>68</v>
      </c>
      <c r="B20" s="2">
        <v>21079</v>
      </c>
      <c r="C20" s="2">
        <v>0.271899</v>
      </c>
      <c r="D20" s="2">
        <v>2.6020000000000001E-3</v>
      </c>
      <c r="E20" s="2">
        <v>0.26679720000000001</v>
      </c>
      <c r="F20" s="2">
        <v>0.27700130000000001</v>
      </c>
      <c r="H20" s="8" t="str">
        <f t="shared" si="0"/>
        <v>0.27 (0.27 to 0.28)</v>
      </c>
      <c r="I20" t="s">
        <v>24</v>
      </c>
    </row>
    <row r="21" spans="1:9" x14ac:dyDescent="0.3">
      <c r="A21" s="14" t="s">
        <v>69</v>
      </c>
      <c r="B21" s="2">
        <v>21079</v>
      </c>
      <c r="C21" s="2">
        <v>34.226472000000001</v>
      </c>
      <c r="D21" s="2">
        <v>6.7983000000000002E-2</v>
      </c>
      <c r="E21" s="2">
        <v>34.093167000000001</v>
      </c>
      <c r="F21" s="2">
        <v>34.359777899999997</v>
      </c>
      <c r="H21" s="8" t="str">
        <f t="shared" si="0"/>
        <v>34.23 (34.09 to 34.36)</v>
      </c>
      <c r="I21" t="s">
        <v>24</v>
      </c>
    </row>
    <row r="22" spans="1:9" x14ac:dyDescent="0.3">
      <c r="I22" t="s">
        <v>24</v>
      </c>
    </row>
    <row r="25" spans="1:9" x14ac:dyDescent="0.3">
      <c r="A25" s="1" t="s">
        <v>129</v>
      </c>
    </row>
    <row r="27" spans="1:9" x14ac:dyDescent="0.3">
      <c r="A27" s="1" t="s">
        <v>395</v>
      </c>
    </row>
    <row r="28" spans="1:9" ht="17.25" thickBot="1" x14ac:dyDescent="0.35"/>
    <row r="29" spans="1:9" ht="16.5" customHeight="1" x14ac:dyDescent="0.3">
      <c r="A29" s="24" t="s">
        <v>75</v>
      </c>
      <c r="B29" s="26"/>
    </row>
    <row r="30" spans="1:9" ht="26.25" thickBot="1" x14ac:dyDescent="0.35">
      <c r="A30" s="13" t="s">
        <v>76</v>
      </c>
      <c r="B30" s="2">
        <v>183</v>
      </c>
    </row>
    <row r="31" spans="1:9" ht="26.25" thickBot="1" x14ac:dyDescent="0.35">
      <c r="A31" s="13" t="s">
        <v>77</v>
      </c>
      <c r="B31" s="2">
        <v>2969</v>
      </c>
    </row>
    <row r="32" spans="1:9" ht="39" thickBot="1" x14ac:dyDescent="0.35">
      <c r="A32" s="13" t="s">
        <v>78</v>
      </c>
      <c r="B32" s="2">
        <v>33470</v>
      </c>
    </row>
    <row r="33" spans="1:9" ht="25.5" x14ac:dyDescent="0.3">
      <c r="A33" s="14" t="s">
        <v>79</v>
      </c>
      <c r="B33" s="2">
        <v>14667390.199999999</v>
      </c>
    </row>
    <row r="34" spans="1:9" ht="17.25" thickBot="1" x14ac:dyDescent="0.35"/>
    <row r="35" spans="1:9" ht="33" customHeight="1" x14ac:dyDescent="0.3">
      <c r="A35" s="24" t="s">
        <v>80</v>
      </c>
      <c r="B35" s="26"/>
    </row>
    <row r="36" spans="1:9" ht="33.75" thickBot="1" x14ac:dyDescent="0.35">
      <c r="A36" s="13" t="s">
        <v>81</v>
      </c>
      <c r="B36" s="2" t="s">
        <v>82</v>
      </c>
    </row>
    <row r="37" spans="1:9" ht="25.5" x14ac:dyDescent="0.3">
      <c r="A37" s="14" t="s">
        <v>83</v>
      </c>
      <c r="B37" s="2" t="s">
        <v>84</v>
      </c>
    </row>
    <row r="38" spans="1:9" ht="17.25" thickBot="1" x14ac:dyDescent="0.35"/>
    <row r="39" spans="1:9" ht="16.5" customHeight="1" x14ac:dyDescent="0.3">
      <c r="A39" s="24" t="s">
        <v>130</v>
      </c>
      <c r="B39" s="26"/>
      <c r="C39" s="26"/>
      <c r="D39" s="26"/>
      <c r="E39" s="26"/>
      <c r="F39" s="26"/>
    </row>
    <row r="40" spans="1:9" x14ac:dyDescent="0.3">
      <c r="A40" s="25" t="s">
        <v>131</v>
      </c>
      <c r="B40" s="27" t="s">
        <v>46</v>
      </c>
      <c r="C40" s="27" t="s">
        <v>132</v>
      </c>
      <c r="D40" s="3" t="s">
        <v>133</v>
      </c>
      <c r="E40" s="27" t="s">
        <v>135</v>
      </c>
      <c r="F40" s="27"/>
    </row>
    <row r="41" spans="1:9" x14ac:dyDescent="0.3">
      <c r="A41" s="25"/>
      <c r="B41" s="27"/>
      <c r="C41" s="27"/>
      <c r="D41" s="3" t="s">
        <v>134</v>
      </c>
      <c r="E41" s="27"/>
      <c r="F41" s="27"/>
    </row>
    <row r="42" spans="1:9" ht="17.25" thickBot="1" x14ac:dyDescent="0.35">
      <c r="A42" s="13" t="s">
        <v>66</v>
      </c>
      <c r="B42" s="2">
        <v>33470</v>
      </c>
      <c r="C42" s="2">
        <v>8.7144180000000002</v>
      </c>
      <c r="D42" s="2">
        <v>4.5760000000000002E-3</v>
      </c>
      <c r="E42" s="2">
        <v>8.7054454000000003</v>
      </c>
      <c r="F42" s="2">
        <v>8.7233909000000001</v>
      </c>
      <c r="H42" s="8" t="str">
        <f t="shared" ref="H42:H45" si="1">TEXT(C42,"0.00")&amp;" ("&amp;TEXT(E42,"0.00")&amp;" to "&amp;TEXT(F42,"0.00")&amp;")"</f>
        <v>8.71 (8.71 to 8.72)</v>
      </c>
      <c r="I42" t="s">
        <v>24</v>
      </c>
    </row>
    <row r="43" spans="1:9" ht="17.25" thickBot="1" x14ac:dyDescent="0.35">
      <c r="A43" s="13" t="s">
        <v>67</v>
      </c>
      <c r="B43" s="2">
        <v>33470</v>
      </c>
      <c r="C43" s="2">
        <v>0.67899200000000004</v>
      </c>
      <c r="D43" s="2">
        <v>5.1599999999999997E-4</v>
      </c>
      <c r="E43" s="2">
        <v>0.67798000000000003</v>
      </c>
      <c r="F43" s="2">
        <v>0.68000479999999996</v>
      </c>
      <c r="H43" s="8" t="str">
        <f t="shared" si="1"/>
        <v>0.68 (0.68 to 0.68)</v>
      </c>
      <c r="I43" t="s">
        <v>24</v>
      </c>
    </row>
    <row r="44" spans="1:9" ht="17.25" thickBot="1" x14ac:dyDescent="0.35">
      <c r="A44" s="13" t="s">
        <v>68</v>
      </c>
      <c r="B44" s="2">
        <v>33470</v>
      </c>
      <c r="C44" s="2">
        <v>0.39285999999999999</v>
      </c>
      <c r="D44" s="2">
        <v>2.212E-3</v>
      </c>
      <c r="E44" s="2">
        <v>0.38852310000000001</v>
      </c>
      <c r="F44" s="2">
        <v>0.39719680000000002</v>
      </c>
      <c r="H44" s="8" t="str">
        <f t="shared" si="1"/>
        <v>0.39 (0.39 to 0.40)</v>
      </c>
      <c r="I44" t="s">
        <v>24</v>
      </c>
    </row>
    <row r="45" spans="1:9" x14ac:dyDescent="0.3">
      <c r="A45" s="14" t="s">
        <v>69</v>
      </c>
      <c r="B45" s="2">
        <v>33470</v>
      </c>
      <c r="C45" s="2">
        <v>36.479357</v>
      </c>
      <c r="D45" s="2">
        <v>4.7323999999999998E-2</v>
      </c>
      <c r="E45" s="2">
        <v>36.386563299999999</v>
      </c>
      <c r="F45" s="2">
        <v>36.572151099999999</v>
      </c>
      <c r="H45" s="8" t="str">
        <f t="shared" si="1"/>
        <v>36.48 (36.39 to 36.57)</v>
      </c>
      <c r="I45" t="s">
        <v>24</v>
      </c>
    </row>
    <row r="46" spans="1:9" x14ac:dyDescent="0.3">
      <c r="I46" t="s">
        <v>24</v>
      </c>
    </row>
    <row r="49" spans="1:6" x14ac:dyDescent="0.3">
      <c r="A49" s="1" t="s">
        <v>129</v>
      </c>
    </row>
    <row r="51" spans="1:6" x14ac:dyDescent="0.3">
      <c r="A51" s="1" t="s">
        <v>396</v>
      </c>
    </row>
    <row r="52" spans="1:6" ht="17.25" thickBot="1" x14ac:dyDescent="0.35"/>
    <row r="53" spans="1:6" ht="16.5" customHeight="1" x14ac:dyDescent="0.3">
      <c r="A53" s="24" t="s">
        <v>75</v>
      </c>
      <c r="B53" s="26"/>
    </row>
    <row r="54" spans="1:6" ht="26.25" thickBot="1" x14ac:dyDescent="0.35">
      <c r="A54" s="13" t="s">
        <v>76</v>
      </c>
      <c r="B54" s="2">
        <v>183</v>
      </c>
    </row>
    <row r="55" spans="1:6" ht="26.25" thickBot="1" x14ac:dyDescent="0.35">
      <c r="A55" s="13" t="s">
        <v>77</v>
      </c>
      <c r="B55" s="2">
        <v>2747</v>
      </c>
    </row>
    <row r="56" spans="1:6" ht="39" thickBot="1" x14ac:dyDescent="0.35">
      <c r="A56" s="13" t="s">
        <v>78</v>
      </c>
      <c r="B56" s="2">
        <v>14086</v>
      </c>
    </row>
    <row r="57" spans="1:6" ht="25.5" x14ac:dyDescent="0.3">
      <c r="A57" s="14" t="s">
        <v>79</v>
      </c>
      <c r="B57" s="2">
        <v>3750032.34</v>
      </c>
    </row>
    <row r="58" spans="1:6" ht="17.25" thickBot="1" x14ac:dyDescent="0.35"/>
    <row r="59" spans="1:6" ht="33" customHeight="1" x14ac:dyDescent="0.3">
      <c r="A59" s="24" t="s">
        <v>80</v>
      </c>
      <c r="B59" s="26"/>
    </row>
    <row r="60" spans="1:6" ht="33.75" thickBot="1" x14ac:dyDescent="0.35">
      <c r="A60" s="13" t="s">
        <v>81</v>
      </c>
      <c r="B60" s="2" t="s">
        <v>82</v>
      </c>
    </row>
    <row r="61" spans="1:6" ht="25.5" x14ac:dyDescent="0.3">
      <c r="A61" s="14" t="s">
        <v>83</v>
      </c>
      <c r="B61" s="2" t="s">
        <v>84</v>
      </c>
    </row>
    <row r="62" spans="1:6" ht="17.25" thickBot="1" x14ac:dyDescent="0.35"/>
    <row r="63" spans="1:6" ht="16.5" customHeight="1" x14ac:dyDescent="0.3">
      <c r="A63" s="24" t="s">
        <v>130</v>
      </c>
      <c r="B63" s="26"/>
      <c r="C63" s="26"/>
      <c r="D63" s="26"/>
      <c r="E63" s="26"/>
      <c r="F63" s="26"/>
    </row>
    <row r="64" spans="1:6" x14ac:dyDescent="0.3">
      <c r="A64" s="25" t="s">
        <v>131</v>
      </c>
      <c r="B64" s="27" t="s">
        <v>46</v>
      </c>
      <c r="C64" s="27" t="s">
        <v>132</v>
      </c>
      <c r="D64" s="3" t="s">
        <v>133</v>
      </c>
      <c r="E64" s="27" t="s">
        <v>135</v>
      </c>
      <c r="F64" s="27"/>
    </row>
    <row r="65" spans="1:9" x14ac:dyDescent="0.3">
      <c r="A65" s="25"/>
      <c r="B65" s="27"/>
      <c r="C65" s="27"/>
      <c r="D65" s="3" t="s">
        <v>134</v>
      </c>
      <c r="E65" s="27"/>
      <c r="F65" s="27"/>
    </row>
    <row r="66" spans="1:9" ht="17.25" thickBot="1" x14ac:dyDescent="0.35">
      <c r="A66" s="13" t="s">
        <v>66</v>
      </c>
      <c r="B66" s="2">
        <v>14086</v>
      </c>
      <c r="C66" s="2">
        <v>8.709365</v>
      </c>
      <c r="D66" s="2">
        <v>5.9199999999999999E-3</v>
      </c>
      <c r="E66" s="2">
        <v>8.6977563999999994</v>
      </c>
      <c r="F66" s="2">
        <v>8.7209734000000001</v>
      </c>
      <c r="H66" s="8" t="str">
        <f t="shared" ref="H66:H69" si="2">TEXT(C66,"0.00")&amp;" ("&amp;TEXT(E66,"0.00")&amp;" to "&amp;TEXT(F66,"0.00")&amp;")"</f>
        <v>8.71 (8.70 to 8.72)</v>
      </c>
      <c r="I66" t="s">
        <v>24</v>
      </c>
    </row>
    <row r="67" spans="1:9" ht="17.25" thickBot="1" x14ac:dyDescent="0.35">
      <c r="A67" s="13" t="s">
        <v>67</v>
      </c>
      <c r="B67" s="2">
        <v>14086</v>
      </c>
      <c r="C67" s="2">
        <v>0.71219299999999996</v>
      </c>
      <c r="D67" s="2">
        <v>7.0200000000000004E-4</v>
      </c>
      <c r="E67" s="2">
        <v>0.71081700000000003</v>
      </c>
      <c r="F67" s="2">
        <v>0.71356909999999996</v>
      </c>
      <c r="H67" s="8" t="str">
        <f t="shared" si="2"/>
        <v>0.71 (0.71 to 0.71)</v>
      </c>
      <c r="I67" t="s">
        <v>24</v>
      </c>
    </row>
    <row r="68" spans="1:9" ht="17.25" thickBot="1" x14ac:dyDescent="0.35">
      <c r="A68" s="13" t="s">
        <v>68</v>
      </c>
      <c r="B68" s="2">
        <v>14086</v>
      </c>
      <c r="C68" s="2">
        <v>0.390407</v>
      </c>
      <c r="D68" s="2">
        <v>2.983E-3</v>
      </c>
      <c r="E68" s="2">
        <v>0.3845577</v>
      </c>
      <c r="F68" s="2">
        <v>0.396256</v>
      </c>
      <c r="H68" s="8" t="str">
        <f t="shared" si="2"/>
        <v>0.39 (0.38 to 0.40)</v>
      </c>
      <c r="I68" t="s">
        <v>24</v>
      </c>
    </row>
    <row r="69" spans="1:9" x14ac:dyDescent="0.3">
      <c r="A69" s="14" t="s">
        <v>69</v>
      </c>
      <c r="B69" s="2">
        <v>14086</v>
      </c>
      <c r="C69" s="2">
        <v>36.504083999999999</v>
      </c>
      <c r="D69" s="2">
        <v>6.5307000000000004E-2</v>
      </c>
      <c r="E69" s="2">
        <v>36.376023400000001</v>
      </c>
      <c r="F69" s="2">
        <v>36.632144400000001</v>
      </c>
      <c r="H69" s="8" t="str">
        <f t="shared" si="2"/>
        <v>36.50 (36.38 to 36.63)</v>
      </c>
      <c r="I69" t="s">
        <v>24</v>
      </c>
    </row>
    <row r="70" spans="1:9" x14ac:dyDescent="0.3">
      <c r="I70" t="s">
        <v>24</v>
      </c>
    </row>
    <row r="73" spans="1:9" x14ac:dyDescent="0.3">
      <c r="A73" s="1" t="s">
        <v>129</v>
      </c>
    </row>
    <row r="75" spans="1:9" x14ac:dyDescent="0.3">
      <c r="A75" s="1" t="s">
        <v>397</v>
      </c>
    </row>
    <row r="76" spans="1:9" ht="17.25" thickBot="1" x14ac:dyDescent="0.35"/>
    <row r="77" spans="1:9" ht="16.5" customHeight="1" x14ac:dyDescent="0.3">
      <c r="A77" s="24" t="s">
        <v>75</v>
      </c>
      <c r="B77" s="26"/>
    </row>
    <row r="78" spans="1:9" ht="26.25" thickBot="1" x14ac:dyDescent="0.35">
      <c r="A78" s="13" t="s">
        <v>76</v>
      </c>
      <c r="B78" s="2">
        <v>183</v>
      </c>
    </row>
    <row r="79" spans="1:9" ht="26.25" thickBot="1" x14ac:dyDescent="0.35">
      <c r="A79" s="13" t="s">
        <v>77</v>
      </c>
      <c r="B79" s="2">
        <v>2981</v>
      </c>
    </row>
    <row r="80" spans="1:9" ht="39" thickBot="1" x14ac:dyDescent="0.35">
      <c r="A80" s="13" t="s">
        <v>78</v>
      </c>
      <c r="B80" s="2">
        <v>33200</v>
      </c>
    </row>
    <row r="81" spans="1:9" ht="25.5" x14ac:dyDescent="0.3">
      <c r="A81" s="14" t="s">
        <v>79</v>
      </c>
      <c r="B81" s="2">
        <v>16448830.300000001</v>
      </c>
    </row>
    <row r="82" spans="1:9" ht="17.25" thickBot="1" x14ac:dyDescent="0.35"/>
    <row r="83" spans="1:9" ht="33" customHeight="1" x14ac:dyDescent="0.3">
      <c r="A83" s="24" t="s">
        <v>80</v>
      </c>
      <c r="B83" s="26"/>
    </row>
    <row r="84" spans="1:9" ht="33.75" thickBot="1" x14ac:dyDescent="0.35">
      <c r="A84" s="13" t="s">
        <v>81</v>
      </c>
      <c r="B84" s="2" t="s">
        <v>82</v>
      </c>
    </row>
    <row r="85" spans="1:9" ht="25.5" x14ac:dyDescent="0.3">
      <c r="A85" s="14" t="s">
        <v>83</v>
      </c>
      <c r="B85" s="2" t="s">
        <v>84</v>
      </c>
    </row>
    <row r="86" spans="1:9" ht="17.25" thickBot="1" x14ac:dyDescent="0.35"/>
    <row r="87" spans="1:9" ht="16.5" customHeight="1" x14ac:dyDescent="0.3">
      <c r="A87" s="24" t="s">
        <v>130</v>
      </c>
      <c r="B87" s="26"/>
      <c r="C87" s="26"/>
      <c r="D87" s="26"/>
      <c r="E87" s="26"/>
      <c r="F87" s="26"/>
    </row>
    <row r="88" spans="1:9" x14ac:dyDescent="0.3">
      <c r="A88" s="25" t="s">
        <v>131</v>
      </c>
      <c r="B88" s="27" t="s">
        <v>46</v>
      </c>
      <c r="C88" s="27" t="s">
        <v>132</v>
      </c>
      <c r="D88" s="3" t="s">
        <v>133</v>
      </c>
      <c r="E88" s="27" t="s">
        <v>135</v>
      </c>
      <c r="F88" s="27"/>
    </row>
    <row r="89" spans="1:9" x14ac:dyDescent="0.3">
      <c r="A89" s="25"/>
      <c r="B89" s="27"/>
      <c r="C89" s="27"/>
      <c r="D89" s="3" t="s">
        <v>134</v>
      </c>
      <c r="E89" s="27"/>
      <c r="F89" s="27"/>
    </row>
    <row r="90" spans="1:9" ht="17.25" thickBot="1" x14ac:dyDescent="0.35">
      <c r="A90" s="13" t="s">
        <v>66</v>
      </c>
      <c r="B90" s="2">
        <v>33200</v>
      </c>
      <c r="C90" s="2">
        <v>8.7531610000000004</v>
      </c>
      <c r="D90" s="2">
        <v>4.7000000000000002E-3</v>
      </c>
      <c r="E90" s="2">
        <v>8.7439464999999998</v>
      </c>
      <c r="F90" s="2">
        <v>8.7623762999999997</v>
      </c>
      <c r="H90" s="8" t="str">
        <f t="shared" ref="H90:H93" si="3">TEXT(C90,"0.00")&amp;" ("&amp;TEXT(E90,"0.00")&amp;" to "&amp;TEXT(F90,"0.00")&amp;")"</f>
        <v>8.75 (8.74 to 8.76)</v>
      </c>
      <c r="I90" t="s">
        <v>24</v>
      </c>
    </row>
    <row r="91" spans="1:9" ht="17.25" thickBot="1" x14ac:dyDescent="0.35">
      <c r="A91" s="13" t="s">
        <v>67</v>
      </c>
      <c r="B91" s="2">
        <v>33200</v>
      </c>
      <c r="C91" s="2">
        <v>0.68281000000000003</v>
      </c>
      <c r="D91" s="2">
        <v>5.3300000000000005E-4</v>
      </c>
      <c r="E91" s="2">
        <v>0.68176409999999998</v>
      </c>
      <c r="F91" s="2">
        <v>0.68385609999999997</v>
      </c>
      <c r="H91" s="8" t="str">
        <f t="shared" si="3"/>
        <v>0.68 (0.68 to 0.68)</v>
      </c>
      <c r="I91" t="s">
        <v>24</v>
      </c>
    </row>
    <row r="92" spans="1:9" ht="17.25" thickBot="1" x14ac:dyDescent="0.35">
      <c r="A92" s="13" t="s">
        <v>68</v>
      </c>
      <c r="B92" s="2">
        <v>33200</v>
      </c>
      <c r="C92" s="2">
        <v>0.439975</v>
      </c>
      <c r="D92" s="2">
        <v>2.2200000000000002E-3</v>
      </c>
      <c r="E92" s="2">
        <v>0.4356218</v>
      </c>
      <c r="F92" s="2">
        <v>0.44432899999999997</v>
      </c>
      <c r="H92" s="8" t="str">
        <f t="shared" si="3"/>
        <v>0.44 (0.44 to 0.44)</v>
      </c>
      <c r="I92" t="s">
        <v>24</v>
      </c>
    </row>
    <row r="93" spans="1:9" x14ac:dyDescent="0.3">
      <c r="A93" s="14" t="s">
        <v>69</v>
      </c>
      <c r="B93" s="2">
        <v>33200</v>
      </c>
      <c r="C93" s="2">
        <v>37.507292999999997</v>
      </c>
      <c r="D93" s="2">
        <v>5.0875999999999998E-2</v>
      </c>
      <c r="E93" s="2">
        <v>37.407533899999997</v>
      </c>
      <c r="F93" s="2">
        <v>37.607052000000003</v>
      </c>
      <c r="H93" s="8" t="str">
        <f t="shared" si="3"/>
        <v>37.51 (37.41 to 37.61)</v>
      </c>
      <c r="I93" t="s">
        <v>24</v>
      </c>
    </row>
    <row r="94" spans="1:9" x14ac:dyDescent="0.3">
      <c r="I94" t="s">
        <v>24</v>
      </c>
    </row>
    <row r="97" spans="1:6" x14ac:dyDescent="0.3">
      <c r="A97" s="1" t="s">
        <v>129</v>
      </c>
    </row>
    <row r="99" spans="1:6" x14ac:dyDescent="0.3">
      <c r="A99" s="1" t="s">
        <v>398</v>
      </c>
    </row>
    <row r="100" spans="1:6" ht="17.25" thickBot="1" x14ac:dyDescent="0.35"/>
    <row r="101" spans="1:6" ht="16.5" customHeight="1" x14ac:dyDescent="0.3">
      <c r="A101" s="24" t="s">
        <v>75</v>
      </c>
      <c r="B101" s="26"/>
    </row>
    <row r="102" spans="1:6" ht="26.25" thickBot="1" x14ac:dyDescent="0.35">
      <c r="A102" s="13" t="s">
        <v>76</v>
      </c>
      <c r="B102" s="2">
        <v>183</v>
      </c>
    </row>
    <row r="103" spans="1:6" ht="26.25" thickBot="1" x14ac:dyDescent="0.35">
      <c r="A103" s="13" t="s">
        <v>77</v>
      </c>
      <c r="B103" s="2">
        <v>2981</v>
      </c>
    </row>
    <row r="104" spans="1:6" ht="39" thickBot="1" x14ac:dyDescent="0.35">
      <c r="A104" s="13" t="s">
        <v>78</v>
      </c>
      <c r="B104" s="2">
        <v>35435</v>
      </c>
    </row>
    <row r="105" spans="1:6" ht="25.5" x14ac:dyDescent="0.3">
      <c r="A105" s="14" t="s">
        <v>79</v>
      </c>
      <c r="B105" s="2">
        <v>13803105.4</v>
      </c>
    </row>
    <row r="106" spans="1:6" ht="17.25" thickBot="1" x14ac:dyDescent="0.35"/>
    <row r="107" spans="1:6" ht="33" customHeight="1" x14ac:dyDescent="0.3">
      <c r="A107" s="24" t="s">
        <v>80</v>
      </c>
      <c r="B107" s="26"/>
    </row>
    <row r="108" spans="1:6" ht="33.75" thickBot="1" x14ac:dyDescent="0.35">
      <c r="A108" s="13" t="s">
        <v>81</v>
      </c>
      <c r="B108" s="2" t="s">
        <v>82</v>
      </c>
    </row>
    <row r="109" spans="1:6" ht="25.5" x14ac:dyDescent="0.3">
      <c r="A109" s="14" t="s">
        <v>83</v>
      </c>
      <c r="B109" s="2" t="s">
        <v>84</v>
      </c>
    </row>
    <row r="110" spans="1:6" ht="17.25" thickBot="1" x14ac:dyDescent="0.35"/>
    <row r="111" spans="1:6" ht="16.5" customHeight="1" x14ac:dyDescent="0.3">
      <c r="A111" s="24" t="s">
        <v>130</v>
      </c>
      <c r="B111" s="26"/>
      <c r="C111" s="26"/>
      <c r="D111" s="26"/>
      <c r="E111" s="26"/>
      <c r="F111" s="26"/>
    </row>
    <row r="112" spans="1:6" x14ac:dyDescent="0.3">
      <c r="A112" s="25" t="s">
        <v>131</v>
      </c>
      <c r="B112" s="27" t="s">
        <v>46</v>
      </c>
      <c r="C112" s="27" t="s">
        <v>132</v>
      </c>
      <c r="D112" s="3" t="s">
        <v>133</v>
      </c>
      <c r="E112" s="27" t="s">
        <v>135</v>
      </c>
      <c r="F112" s="27"/>
    </row>
    <row r="113" spans="1:9" x14ac:dyDescent="0.3">
      <c r="A113" s="25"/>
      <c r="B113" s="27"/>
      <c r="C113" s="27"/>
      <c r="D113" s="3" t="s">
        <v>134</v>
      </c>
      <c r="E113" s="27"/>
      <c r="F113" s="27"/>
    </row>
    <row r="114" spans="1:9" ht="17.25" thickBot="1" x14ac:dyDescent="0.35">
      <c r="A114" s="13" t="s">
        <v>66</v>
      </c>
      <c r="B114" s="2">
        <v>35435</v>
      </c>
      <c r="C114" s="2">
        <v>8.3796890000000008</v>
      </c>
      <c r="D114" s="2">
        <v>4.176E-3</v>
      </c>
      <c r="E114" s="2">
        <v>8.3715010999999997</v>
      </c>
      <c r="F114" s="2">
        <v>8.3878778000000001</v>
      </c>
      <c r="H114" s="8" t="str">
        <f t="shared" ref="H114:H117" si="4">TEXT(C114,"0.00")&amp;" ("&amp;TEXT(E114,"0.00")&amp;" to "&amp;TEXT(F114,"0.00")&amp;")"</f>
        <v>8.38 (8.37 to 8.39)</v>
      </c>
      <c r="I114" t="s">
        <v>24</v>
      </c>
    </row>
    <row r="115" spans="1:9" ht="17.25" thickBot="1" x14ac:dyDescent="0.35">
      <c r="A115" s="13" t="s">
        <v>67</v>
      </c>
      <c r="B115" s="2">
        <v>35435</v>
      </c>
      <c r="C115" s="2">
        <v>0.64094600000000002</v>
      </c>
      <c r="D115" s="2">
        <v>5.6099999999999998E-4</v>
      </c>
      <c r="E115" s="2">
        <v>0.63984589999999997</v>
      </c>
      <c r="F115" s="2">
        <v>0.64204640000000002</v>
      </c>
      <c r="H115" s="8" t="str">
        <f t="shared" si="4"/>
        <v>0.64 (0.64 to 0.64)</v>
      </c>
      <c r="I115" t="s">
        <v>24</v>
      </c>
    </row>
    <row r="116" spans="1:9" ht="17.25" thickBot="1" x14ac:dyDescent="0.35">
      <c r="A116" s="13" t="s">
        <v>68</v>
      </c>
      <c r="B116" s="2">
        <v>35435</v>
      </c>
      <c r="C116" s="2">
        <v>0.23233799999999999</v>
      </c>
      <c r="D116" s="2">
        <v>2.0209999999999998E-3</v>
      </c>
      <c r="E116" s="2">
        <v>0.22837489999999999</v>
      </c>
      <c r="F116" s="2">
        <v>0.2363006</v>
      </c>
      <c r="H116" s="8" t="str">
        <f t="shared" si="4"/>
        <v>0.23 (0.23 to 0.24)</v>
      </c>
      <c r="I116" t="s">
        <v>24</v>
      </c>
    </row>
    <row r="117" spans="1:9" x14ac:dyDescent="0.3">
      <c r="A117" s="14" t="s">
        <v>69</v>
      </c>
      <c r="B117" s="2">
        <v>35435</v>
      </c>
      <c r="C117" s="2">
        <v>33.329529000000001</v>
      </c>
      <c r="D117" s="2">
        <v>5.1534999999999997E-2</v>
      </c>
      <c r="E117" s="2">
        <v>33.228478299999999</v>
      </c>
      <c r="F117" s="2">
        <v>33.430579799999997</v>
      </c>
      <c r="H117" s="8" t="str">
        <f t="shared" si="4"/>
        <v>33.33 (33.23 to 33.43)</v>
      </c>
      <c r="I117" t="s">
        <v>24</v>
      </c>
    </row>
    <row r="118" spans="1:9" x14ac:dyDescent="0.3">
      <c r="I118" t="s">
        <v>24</v>
      </c>
    </row>
    <row r="121" spans="1:9" x14ac:dyDescent="0.3">
      <c r="A121" s="1" t="s">
        <v>129</v>
      </c>
    </row>
    <row r="123" spans="1:9" x14ac:dyDescent="0.3">
      <c r="A123" s="1" t="s">
        <v>399</v>
      </c>
    </row>
    <row r="124" spans="1:9" ht="17.25" thickBot="1" x14ac:dyDescent="0.35"/>
    <row r="125" spans="1:9" ht="16.5" customHeight="1" x14ac:dyDescent="0.3">
      <c r="A125" s="24" t="s">
        <v>75</v>
      </c>
      <c r="B125" s="26"/>
    </row>
    <row r="126" spans="1:9" ht="26.25" thickBot="1" x14ac:dyDescent="0.35">
      <c r="A126" s="13" t="s">
        <v>76</v>
      </c>
      <c r="B126" s="2">
        <v>179</v>
      </c>
    </row>
    <row r="127" spans="1:9" ht="26.25" thickBot="1" x14ac:dyDescent="0.35">
      <c r="A127" s="13" t="s">
        <v>77</v>
      </c>
      <c r="B127" s="2">
        <v>2372</v>
      </c>
    </row>
    <row r="128" spans="1:9" ht="39" thickBot="1" x14ac:dyDescent="0.35">
      <c r="A128" s="13" t="s">
        <v>78</v>
      </c>
      <c r="B128" s="2">
        <v>55176</v>
      </c>
    </row>
    <row r="129" spans="1:9" ht="25.5" x14ac:dyDescent="0.3">
      <c r="A129" s="14" t="s">
        <v>79</v>
      </c>
      <c r="B129" s="2">
        <v>25392078</v>
      </c>
    </row>
    <row r="130" spans="1:9" ht="17.25" thickBot="1" x14ac:dyDescent="0.35"/>
    <row r="131" spans="1:9" ht="33" customHeight="1" x14ac:dyDescent="0.3">
      <c r="A131" s="24" t="s">
        <v>80</v>
      </c>
      <c r="B131" s="26"/>
    </row>
    <row r="132" spans="1:9" ht="33.75" thickBot="1" x14ac:dyDescent="0.35">
      <c r="A132" s="13" t="s">
        <v>81</v>
      </c>
      <c r="B132" s="2" t="s">
        <v>82</v>
      </c>
    </row>
    <row r="133" spans="1:9" ht="25.5" x14ac:dyDescent="0.3">
      <c r="A133" s="14" t="s">
        <v>83</v>
      </c>
      <c r="B133" s="2" t="s">
        <v>84</v>
      </c>
    </row>
    <row r="134" spans="1:9" ht="17.25" thickBot="1" x14ac:dyDescent="0.35"/>
    <row r="135" spans="1:9" ht="16.5" customHeight="1" x14ac:dyDescent="0.3">
      <c r="A135" s="24" t="s">
        <v>130</v>
      </c>
      <c r="B135" s="26"/>
      <c r="C135" s="26"/>
      <c r="D135" s="26"/>
      <c r="E135" s="26"/>
      <c r="F135" s="26"/>
    </row>
    <row r="136" spans="1:9" x14ac:dyDescent="0.3">
      <c r="A136" s="25" t="s">
        <v>131</v>
      </c>
      <c r="B136" s="27" t="s">
        <v>46</v>
      </c>
      <c r="C136" s="27" t="s">
        <v>132</v>
      </c>
      <c r="D136" s="3" t="s">
        <v>133</v>
      </c>
      <c r="E136" s="27" t="s">
        <v>135</v>
      </c>
      <c r="F136" s="27"/>
    </row>
    <row r="137" spans="1:9" x14ac:dyDescent="0.3">
      <c r="A137" s="25"/>
      <c r="B137" s="27"/>
      <c r="C137" s="27"/>
      <c r="D137" s="3" t="s">
        <v>134</v>
      </c>
      <c r="E137" s="27"/>
      <c r="F137" s="27"/>
    </row>
    <row r="138" spans="1:9" ht="17.25" thickBot="1" x14ac:dyDescent="0.35">
      <c r="A138" s="13" t="s">
        <v>66</v>
      </c>
      <c r="B138" s="2">
        <v>55176</v>
      </c>
      <c r="C138" s="2">
        <v>8.5678669999999997</v>
      </c>
      <c r="D138" s="2">
        <v>3.7390000000000001E-3</v>
      </c>
      <c r="E138" s="2">
        <v>8.5605340999999999</v>
      </c>
      <c r="F138" s="2">
        <v>8.5752003000000006</v>
      </c>
      <c r="H138" s="8" t="str">
        <f t="shared" ref="H138:H141" si="5">TEXT(C138,"0.00")&amp;" ("&amp;TEXT(E138,"0.00")&amp;" to "&amp;TEXT(F138,"0.00")&amp;")"</f>
        <v>8.57 (8.56 to 8.58)</v>
      </c>
      <c r="I138" t="s">
        <v>24</v>
      </c>
    </row>
    <row r="139" spans="1:9" ht="17.25" thickBot="1" x14ac:dyDescent="0.35">
      <c r="A139" s="13" t="s">
        <v>67</v>
      </c>
      <c r="B139" s="2">
        <v>55176</v>
      </c>
      <c r="C139" s="2">
        <v>0.66082200000000002</v>
      </c>
      <c r="D139" s="2">
        <v>4.7600000000000002E-4</v>
      </c>
      <c r="E139" s="2">
        <v>0.65988769999999997</v>
      </c>
      <c r="F139" s="2">
        <v>0.66175539999999999</v>
      </c>
      <c r="H139" s="8" t="str">
        <f t="shared" si="5"/>
        <v>0.66 (0.66 to 0.66)</v>
      </c>
      <c r="I139" t="s">
        <v>24</v>
      </c>
    </row>
    <row r="140" spans="1:9" ht="17.25" thickBot="1" x14ac:dyDescent="0.35">
      <c r="A140" s="13" t="s">
        <v>68</v>
      </c>
      <c r="B140" s="2">
        <v>55176</v>
      </c>
      <c r="C140" s="2">
        <v>0.33835700000000002</v>
      </c>
      <c r="D140" s="2">
        <v>1.804E-3</v>
      </c>
      <c r="E140" s="2">
        <v>0.33481889999999997</v>
      </c>
      <c r="F140" s="2">
        <v>0.34189510000000001</v>
      </c>
      <c r="H140" s="8" t="str">
        <f t="shared" si="5"/>
        <v>0.34 (0.33 to 0.34)</v>
      </c>
      <c r="I140" t="s">
        <v>24</v>
      </c>
    </row>
    <row r="141" spans="1:9" x14ac:dyDescent="0.3">
      <c r="A141" s="14" t="s">
        <v>69</v>
      </c>
      <c r="B141" s="2">
        <v>55176</v>
      </c>
      <c r="C141" s="2">
        <v>35.433774999999997</v>
      </c>
      <c r="D141" s="2">
        <v>4.1893E-2</v>
      </c>
      <c r="E141" s="2">
        <v>35.351620599999997</v>
      </c>
      <c r="F141" s="2">
        <v>35.515929499999999</v>
      </c>
      <c r="H141" s="8" t="str">
        <f t="shared" si="5"/>
        <v>35.43 (35.35 to 35.52)</v>
      </c>
      <c r="I141" t="s">
        <v>24</v>
      </c>
    </row>
    <row r="142" spans="1:9" x14ac:dyDescent="0.3">
      <c r="I142" t="s">
        <v>24</v>
      </c>
    </row>
    <row r="145" spans="1:6" x14ac:dyDescent="0.3">
      <c r="A145" s="1" t="s">
        <v>129</v>
      </c>
    </row>
    <row r="147" spans="1:6" x14ac:dyDescent="0.3">
      <c r="A147" s="1" t="s">
        <v>400</v>
      </c>
    </row>
    <row r="148" spans="1:6" ht="17.25" thickBot="1" x14ac:dyDescent="0.35"/>
    <row r="149" spans="1:6" ht="16.5" customHeight="1" x14ac:dyDescent="0.3">
      <c r="A149" s="24" t="s">
        <v>75</v>
      </c>
      <c r="B149" s="26"/>
    </row>
    <row r="150" spans="1:6" ht="26.25" thickBot="1" x14ac:dyDescent="0.35">
      <c r="A150" s="13" t="s">
        <v>76</v>
      </c>
      <c r="B150" s="2">
        <v>130</v>
      </c>
    </row>
    <row r="151" spans="1:6" ht="26.25" thickBot="1" x14ac:dyDescent="0.35">
      <c r="A151" s="13" t="s">
        <v>77</v>
      </c>
      <c r="B151" s="2">
        <v>610</v>
      </c>
    </row>
    <row r="152" spans="1:6" ht="39" thickBot="1" x14ac:dyDescent="0.35">
      <c r="A152" s="13" t="s">
        <v>78</v>
      </c>
      <c r="B152" s="2">
        <v>13459</v>
      </c>
    </row>
    <row r="153" spans="1:6" ht="25.5" x14ac:dyDescent="0.3">
      <c r="A153" s="14" t="s">
        <v>79</v>
      </c>
      <c r="B153" s="2">
        <v>4859857.66</v>
      </c>
    </row>
    <row r="154" spans="1:6" ht="17.25" thickBot="1" x14ac:dyDescent="0.35"/>
    <row r="155" spans="1:6" ht="33" customHeight="1" x14ac:dyDescent="0.3">
      <c r="A155" s="24" t="s">
        <v>80</v>
      </c>
      <c r="B155" s="26"/>
    </row>
    <row r="156" spans="1:6" ht="33.75" thickBot="1" x14ac:dyDescent="0.35">
      <c r="A156" s="13" t="s">
        <v>81</v>
      </c>
      <c r="B156" s="2" t="s">
        <v>82</v>
      </c>
    </row>
    <row r="157" spans="1:6" ht="25.5" x14ac:dyDescent="0.3">
      <c r="A157" s="14" t="s">
        <v>83</v>
      </c>
      <c r="B157" s="2" t="s">
        <v>84</v>
      </c>
    </row>
    <row r="158" spans="1:6" ht="17.25" thickBot="1" x14ac:dyDescent="0.35"/>
    <row r="159" spans="1:6" ht="16.5" customHeight="1" x14ac:dyDescent="0.3">
      <c r="A159" s="24" t="s">
        <v>130</v>
      </c>
      <c r="B159" s="26"/>
      <c r="C159" s="26"/>
      <c r="D159" s="26"/>
      <c r="E159" s="26"/>
      <c r="F159" s="26"/>
    </row>
    <row r="160" spans="1:6" x14ac:dyDescent="0.3">
      <c r="A160" s="25" t="s">
        <v>131</v>
      </c>
      <c r="B160" s="27" t="s">
        <v>46</v>
      </c>
      <c r="C160" s="27" t="s">
        <v>132</v>
      </c>
      <c r="D160" s="3" t="s">
        <v>133</v>
      </c>
      <c r="E160" s="27" t="s">
        <v>135</v>
      </c>
      <c r="F160" s="27"/>
    </row>
    <row r="161" spans="1:9" x14ac:dyDescent="0.3">
      <c r="A161" s="25"/>
      <c r="B161" s="27"/>
      <c r="C161" s="27"/>
      <c r="D161" s="3" t="s">
        <v>134</v>
      </c>
      <c r="E161" s="27"/>
      <c r="F161" s="27"/>
    </row>
    <row r="162" spans="1:9" ht="17.25" thickBot="1" x14ac:dyDescent="0.35">
      <c r="A162" s="13" t="s">
        <v>66</v>
      </c>
      <c r="B162" s="2">
        <v>13459</v>
      </c>
      <c r="C162" s="2">
        <v>8.6605519999999991</v>
      </c>
      <c r="D162" s="2">
        <v>8.0210000000000004E-3</v>
      </c>
      <c r="E162" s="2">
        <v>8.6447912999999996</v>
      </c>
      <c r="F162" s="2">
        <v>8.6763124999999999</v>
      </c>
      <c r="H162" s="8" t="str">
        <f t="shared" ref="H162:H165" si="6">TEXT(C162,"0.00")&amp;" ("&amp;TEXT(E162,"0.00")&amp;" to "&amp;TEXT(F162,"0.00")&amp;")"</f>
        <v>8.66 (8.64 to 8.68)</v>
      </c>
      <c r="I162" t="s">
        <v>24</v>
      </c>
    </row>
    <row r="163" spans="1:9" ht="17.25" thickBot="1" x14ac:dyDescent="0.35">
      <c r="A163" s="13" t="s">
        <v>67</v>
      </c>
      <c r="B163" s="2">
        <v>13459</v>
      </c>
      <c r="C163" s="2">
        <v>0.67879400000000001</v>
      </c>
      <c r="D163" s="2">
        <v>1.0250000000000001E-3</v>
      </c>
      <c r="E163" s="2">
        <v>0.67677949999999998</v>
      </c>
      <c r="F163" s="2">
        <v>0.68080830000000003</v>
      </c>
      <c r="H163" s="8" t="str">
        <f t="shared" si="6"/>
        <v>0.68 (0.68 to 0.68)</v>
      </c>
      <c r="I163" t="s">
        <v>24</v>
      </c>
    </row>
    <row r="164" spans="1:9" ht="17.25" thickBot="1" x14ac:dyDescent="0.35">
      <c r="A164" s="13" t="s">
        <v>68</v>
      </c>
      <c r="B164" s="2">
        <v>13459</v>
      </c>
      <c r="C164" s="2">
        <v>0.38117899999999999</v>
      </c>
      <c r="D164" s="2">
        <v>3.8509999999999998E-3</v>
      </c>
      <c r="E164" s="2">
        <v>0.3736121</v>
      </c>
      <c r="F164" s="2">
        <v>0.38874599999999998</v>
      </c>
      <c r="H164" s="8" t="str">
        <f t="shared" si="6"/>
        <v>0.38 (0.37 to 0.39)</v>
      </c>
      <c r="I164" t="s">
        <v>24</v>
      </c>
    </row>
    <row r="165" spans="1:9" x14ac:dyDescent="0.3">
      <c r="A165" s="14" t="s">
        <v>69</v>
      </c>
      <c r="B165" s="2">
        <v>13459</v>
      </c>
      <c r="C165" s="2">
        <v>36.475332000000002</v>
      </c>
      <c r="D165" s="2">
        <v>9.5769000000000007E-2</v>
      </c>
      <c r="E165" s="2">
        <v>36.2871533</v>
      </c>
      <c r="F165" s="2">
        <v>36.6635098</v>
      </c>
      <c r="H165" s="8" t="str">
        <f t="shared" si="6"/>
        <v>36.48 (36.29 to 36.66)</v>
      </c>
      <c r="I165" t="s">
        <v>24</v>
      </c>
    </row>
    <row r="166" spans="1:9" x14ac:dyDescent="0.3">
      <c r="I166" t="s">
        <v>24</v>
      </c>
    </row>
    <row r="169" spans="1:9" x14ac:dyDescent="0.3">
      <c r="A169" s="1" t="s">
        <v>129</v>
      </c>
    </row>
    <row r="171" spans="1:9" x14ac:dyDescent="0.3">
      <c r="A171" s="1" t="s">
        <v>401</v>
      </c>
    </row>
    <row r="172" spans="1:9" ht="17.25" thickBot="1" x14ac:dyDescent="0.35"/>
    <row r="173" spans="1:9" ht="16.5" customHeight="1" x14ac:dyDescent="0.3">
      <c r="A173" s="24" t="s">
        <v>75</v>
      </c>
      <c r="B173" s="26"/>
    </row>
    <row r="174" spans="1:9" ht="26.25" thickBot="1" x14ac:dyDescent="0.35">
      <c r="A174" s="13" t="s">
        <v>76</v>
      </c>
      <c r="B174" s="2">
        <v>183</v>
      </c>
    </row>
    <row r="175" spans="1:9" ht="26.25" thickBot="1" x14ac:dyDescent="0.35">
      <c r="A175" s="13" t="s">
        <v>77</v>
      </c>
      <c r="B175" s="2">
        <v>2354</v>
      </c>
    </row>
    <row r="176" spans="1:9" ht="39" thickBot="1" x14ac:dyDescent="0.35">
      <c r="A176" s="13" t="s">
        <v>78</v>
      </c>
      <c r="B176" s="2">
        <v>9199</v>
      </c>
    </row>
    <row r="177" spans="1:9" ht="25.5" x14ac:dyDescent="0.3">
      <c r="A177" s="14" t="s">
        <v>79</v>
      </c>
      <c r="B177" s="2">
        <v>2778708.12</v>
      </c>
    </row>
    <row r="178" spans="1:9" ht="17.25" thickBot="1" x14ac:dyDescent="0.35"/>
    <row r="179" spans="1:9" ht="33" customHeight="1" x14ac:dyDescent="0.3">
      <c r="A179" s="24" t="s">
        <v>80</v>
      </c>
      <c r="B179" s="26"/>
    </row>
    <row r="180" spans="1:9" ht="33.75" thickBot="1" x14ac:dyDescent="0.35">
      <c r="A180" s="13" t="s">
        <v>81</v>
      </c>
      <c r="B180" s="2" t="s">
        <v>82</v>
      </c>
    </row>
    <row r="181" spans="1:9" ht="25.5" x14ac:dyDescent="0.3">
      <c r="A181" s="14" t="s">
        <v>83</v>
      </c>
      <c r="B181" s="2" t="s">
        <v>84</v>
      </c>
    </row>
    <row r="182" spans="1:9" ht="17.25" thickBot="1" x14ac:dyDescent="0.35"/>
    <row r="183" spans="1:9" ht="16.5" customHeight="1" x14ac:dyDescent="0.3">
      <c r="A183" s="24" t="s">
        <v>130</v>
      </c>
      <c r="B183" s="26"/>
      <c r="C183" s="26"/>
      <c r="D183" s="26"/>
      <c r="E183" s="26"/>
      <c r="F183" s="26"/>
    </row>
    <row r="184" spans="1:9" x14ac:dyDescent="0.3">
      <c r="A184" s="25" t="s">
        <v>131</v>
      </c>
      <c r="B184" s="27" t="s">
        <v>46</v>
      </c>
      <c r="C184" s="27" t="s">
        <v>132</v>
      </c>
      <c r="D184" s="3" t="s">
        <v>133</v>
      </c>
      <c r="E184" s="27" t="s">
        <v>135</v>
      </c>
      <c r="F184" s="27"/>
    </row>
    <row r="185" spans="1:9" x14ac:dyDescent="0.3">
      <c r="A185" s="25"/>
      <c r="B185" s="27"/>
      <c r="C185" s="27"/>
      <c r="D185" s="3" t="s">
        <v>134</v>
      </c>
      <c r="E185" s="27"/>
      <c r="F185" s="27"/>
    </row>
    <row r="186" spans="1:9" ht="17.25" thickBot="1" x14ac:dyDescent="0.35">
      <c r="A186" s="13" t="s">
        <v>66</v>
      </c>
      <c r="B186" s="2">
        <v>9199</v>
      </c>
      <c r="C186" s="2">
        <v>8.7443679999999997</v>
      </c>
      <c r="D186" s="2">
        <v>8.3960000000000007E-3</v>
      </c>
      <c r="E186" s="2">
        <v>8.7279023000000002</v>
      </c>
      <c r="F186" s="2">
        <v>8.7608341999999997</v>
      </c>
      <c r="H186" s="8" t="str">
        <f t="shared" ref="H186:H189" si="7">TEXT(C186,"0.00")&amp;" ("&amp;TEXT(E186,"0.00")&amp;" to "&amp;TEXT(F186,"0.00")&amp;")"</f>
        <v>8.74 (8.73 to 8.76)</v>
      </c>
      <c r="I186" t="s">
        <v>24</v>
      </c>
    </row>
    <row r="187" spans="1:9" ht="17.25" thickBot="1" x14ac:dyDescent="0.35">
      <c r="A187" s="13" t="s">
        <v>67</v>
      </c>
      <c r="B187" s="2">
        <v>9199</v>
      </c>
      <c r="C187" s="2">
        <v>0.70778300000000005</v>
      </c>
      <c r="D187" s="2">
        <v>9.7300000000000002E-4</v>
      </c>
      <c r="E187" s="2">
        <v>0.7058738</v>
      </c>
      <c r="F187" s="2">
        <v>0.70969139999999997</v>
      </c>
      <c r="H187" s="8" t="str">
        <f t="shared" si="7"/>
        <v>0.71 (0.71 to 0.71)</v>
      </c>
      <c r="I187" t="s">
        <v>24</v>
      </c>
    </row>
    <row r="188" spans="1:9" ht="17.25" thickBot="1" x14ac:dyDescent="0.35">
      <c r="A188" s="13" t="s">
        <v>68</v>
      </c>
      <c r="B188" s="2">
        <v>9199</v>
      </c>
      <c r="C188" s="2">
        <v>0.40611000000000003</v>
      </c>
      <c r="D188" s="2">
        <v>4.0660000000000002E-3</v>
      </c>
      <c r="E188" s="2">
        <v>0.3981365</v>
      </c>
      <c r="F188" s="2">
        <v>0.41408260000000002</v>
      </c>
      <c r="H188" s="8" t="str">
        <f t="shared" si="7"/>
        <v>0.41 (0.40 to 0.41)</v>
      </c>
      <c r="I188" t="s">
        <v>24</v>
      </c>
    </row>
    <row r="189" spans="1:9" x14ac:dyDescent="0.3">
      <c r="A189" s="14" t="s">
        <v>69</v>
      </c>
      <c r="B189" s="2">
        <v>9199</v>
      </c>
      <c r="C189" s="2">
        <v>37.003045999999998</v>
      </c>
      <c r="D189" s="2">
        <v>8.7484999999999993E-2</v>
      </c>
      <c r="E189" s="2">
        <v>36.831481699999998</v>
      </c>
      <c r="F189" s="2">
        <v>37.174609799999999</v>
      </c>
      <c r="H189" s="8" t="str">
        <f t="shared" si="7"/>
        <v>37.00 (36.83 to 37.17)</v>
      </c>
      <c r="I189" t="s">
        <v>24</v>
      </c>
    </row>
    <row r="190" spans="1:9" x14ac:dyDescent="0.3">
      <c r="I190" t="s">
        <v>24</v>
      </c>
    </row>
    <row r="193" spans="1:6" x14ac:dyDescent="0.3">
      <c r="A193" s="1" t="s">
        <v>129</v>
      </c>
    </row>
    <row r="195" spans="1:6" x14ac:dyDescent="0.3">
      <c r="A195" s="1" t="s">
        <v>402</v>
      </c>
    </row>
    <row r="196" spans="1:6" ht="17.25" thickBot="1" x14ac:dyDescent="0.35"/>
    <row r="197" spans="1:6" ht="16.5" customHeight="1" x14ac:dyDescent="0.3">
      <c r="A197" s="24" t="s">
        <v>75</v>
      </c>
      <c r="B197" s="26"/>
    </row>
    <row r="198" spans="1:6" ht="26.25" thickBot="1" x14ac:dyDescent="0.35">
      <c r="A198" s="13" t="s">
        <v>76</v>
      </c>
      <c r="B198" s="2">
        <v>183</v>
      </c>
    </row>
    <row r="199" spans="1:6" ht="26.25" thickBot="1" x14ac:dyDescent="0.35">
      <c r="A199" s="13" t="s">
        <v>77</v>
      </c>
      <c r="B199" s="2">
        <v>2477</v>
      </c>
    </row>
    <row r="200" spans="1:6" ht="39" thickBot="1" x14ac:dyDescent="0.35">
      <c r="A200" s="13" t="s">
        <v>78</v>
      </c>
      <c r="B200" s="2">
        <v>7937</v>
      </c>
    </row>
    <row r="201" spans="1:6" ht="25.5" x14ac:dyDescent="0.3">
      <c r="A201" s="14" t="s">
        <v>79</v>
      </c>
      <c r="B201" s="2">
        <v>2682504.48</v>
      </c>
    </row>
    <row r="202" spans="1:6" ht="17.25" thickBot="1" x14ac:dyDescent="0.35"/>
    <row r="203" spans="1:6" ht="33" customHeight="1" x14ac:dyDescent="0.3">
      <c r="A203" s="24" t="s">
        <v>80</v>
      </c>
      <c r="B203" s="26"/>
    </row>
    <row r="204" spans="1:6" ht="33.75" thickBot="1" x14ac:dyDescent="0.35">
      <c r="A204" s="13" t="s">
        <v>81</v>
      </c>
      <c r="B204" s="2" t="s">
        <v>82</v>
      </c>
    </row>
    <row r="205" spans="1:6" ht="25.5" x14ac:dyDescent="0.3">
      <c r="A205" s="14" t="s">
        <v>83</v>
      </c>
      <c r="B205" s="2" t="s">
        <v>84</v>
      </c>
    </row>
    <row r="206" spans="1:6" ht="17.25" thickBot="1" x14ac:dyDescent="0.35"/>
    <row r="207" spans="1:6" ht="16.5" customHeight="1" x14ac:dyDescent="0.3">
      <c r="A207" s="24" t="s">
        <v>130</v>
      </c>
      <c r="B207" s="26"/>
      <c r="C207" s="26"/>
      <c r="D207" s="26"/>
      <c r="E207" s="26"/>
      <c r="F207" s="26"/>
    </row>
    <row r="208" spans="1:6" x14ac:dyDescent="0.3">
      <c r="A208" s="25" t="s">
        <v>131</v>
      </c>
      <c r="B208" s="27" t="s">
        <v>46</v>
      </c>
      <c r="C208" s="27" t="s">
        <v>132</v>
      </c>
      <c r="D208" s="3" t="s">
        <v>133</v>
      </c>
      <c r="E208" s="27" t="s">
        <v>135</v>
      </c>
      <c r="F208" s="27"/>
    </row>
    <row r="209" spans="1:9" x14ac:dyDescent="0.3">
      <c r="A209" s="25"/>
      <c r="B209" s="27"/>
      <c r="C209" s="27"/>
      <c r="D209" s="3" t="s">
        <v>134</v>
      </c>
      <c r="E209" s="27"/>
      <c r="F209" s="27"/>
    </row>
    <row r="210" spans="1:9" ht="17.25" thickBot="1" x14ac:dyDescent="0.35">
      <c r="A210" s="13" t="s">
        <v>66</v>
      </c>
      <c r="B210" s="2">
        <v>7937</v>
      </c>
      <c r="C210" s="2">
        <v>8.7467620000000004</v>
      </c>
      <c r="D210" s="2">
        <v>9.1610000000000007E-3</v>
      </c>
      <c r="E210" s="2">
        <v>8.7287979999999994</v>
      </c>
      <c r="F210" s="2">
        <v>8.7647261000000007</v>
      </c>
      <c r="H210" s="8" t="str">
        <f t="shared" ref="H210:H213" si="8">TEXT(C210,"0.00")&amp;" ("&amp;TEXT(E210,"0.00")&amp;" to "&amp;TEXT(F210,"0.00")&amp;")"</f>
        <v>8.75 (8.73 to 8.76)</v>
      </c>
      <c r="I210" t="s">
        <v>24</v>
      </c>
    </row>
    <row r="211" spans="1:9" ht="17.25" thickBot="1" x14ac:dyDescent="0.35">
      <c r="A211" s="13" t="s">
        <v>67</v>
      </c>
      <c r="B211" s="2">
        <v>7937</v>
      </c>
      <c r="C211" s="2">
        <v>0.69678899999999999</v>
      </c>
      <c r="D211" s="2">
        <v>9.8900000000000008E-4</v>
      </c>
      <c r="E211" s="2">
        <v>0.69485039999999998</v>
      </c>
      <c r="F211" s="2">
        <v>0.69872780000000001</v>
      </c>
      <c r="H211" s="8" t="str">
        <f t="shared" si="8"/>
        <v>0.70 (0.69 to 0.70)</v>
      </c>
      <c r="I211" t="s">
        <v>24</v>
      </c>
    </row>
    <row r="212" spans="1:9" ht="17.25" thickBot="1" x14ac:dyDescent="0.35">
      <c r="A212" s="13" t="s">
        <v>68</v>
      </c>
      <c r="B212" s="2">
        <v>7937</v>
      </c>
      <c r="C212" s="2">
        <v>0.40745500000000001</v>
      </c>
      <c r="D212" s="2">
        <v>4.4330000000000003E-3</v>
      </c>
      <c r="E212" s="2">
        <v>0.39876149999999999</v>
      </c>
      <c r="F212" s="2">
        <v>0.41614899999999999</v>
      </c>
      <c r="H212" s="8" t="str">
        <f t="shared" si="8"/>
        <v>0.41 (0.40 to 0.42)</v>
      </c>
      <c r="I212" t="s">
        <v>24</v>
      </c>
    </row>
    <row r="213" spans="1:9" x14ac:dyDescent="0.3">
      <c r="A213" s="14" t="s">
        <v>69</v>
      </c>
      <c r="B213" s="2">
        <v>7937</v>
      </c>
      <c r="C213" s="2">
        <v>36.934215999999999</v>
      </c>
      <c r="D213" s="2">
        <v>9.5035999999999995E-2</v>
      </c>
      <c r="E213" s="2">
        <v>36.747851199999999</v>
      </c>
      <c r="F213" s="2">
        <v>37.120581299999998</v>
      </c>
      <c r="H213" s="8" t="str">
        <f t="shared" si="8"/>
        <v>36.93 (36.75 to 37.12)</v>
      </c>
      <c r="I213" t="s">
        <v>24</v>
      </c>
    </row>
    <row r="214" spans="1:9" x14ac:dyDescent="0.3">
      <c r="I214" t="s">
        <v>24</v>
      </c>
    </row>
    <row r="217" spans="1:9" x14ac:dyDescent="0.3">
      <c r="A217" s="1" t="s">
        <v>129</v>
      </c>
    </row>
    <row r="219" spans="1:9" x14ac:dyDescent="0.3">
      <c r="A219" s="1" t="s">
        <v>403</v>
      </c>
    </row>
    <row r="220" spans="1:9" ht="17.25" thickBot="1" x14ac:dyDescent="0.35"/>
    <row r="221" spans="1:9" ht="16.5" customHeight="1" x14ac:dyDescent="0.3">
      <c r="A221" s="24" t="s">
        <v>75</v>
      </c>
      <c r="B221" s="26"/>
    </row>
    <row r="222" spans="1:9" ht="26.25" thickBot="1" x14ac:dyDescent="0.35">
      <c r="A222" s="13" t="s">
        <v>76</v>
      </c>
      <c r="B222" s="2">
        <v>183</v>
      </c>
    </row>
    <row r="223" spans="1:9" ht="26.25" thickBot="1" x14ac:dyDescent="0.35">
      <c r="A223" s="13" t="s">
        <v>77</v>
      </c>
      <c r="B223" s="2">
        <v>2888</v>
      </c>
    </row>
    <row r="224" spans="1:9" ht="39" thickBot="1" x14ac:dyDescent="0.35">
      <c r="A224" s="13" t="s">
        <v>78</v>
      </c>
      <c r="B224" s="2">
        <v>17758</v>
      </c>
    </row>
    <row r="225" spans="1:9" ht="25.5" x14ac:dyDescent="0.3">
      <c r="A225" s="14" t="s">
        <v>79</v>
      </c>
      <c r="B225" s="2">
        <v>7987795.8600000003</v>
      </c>
    </row>
    <row r="226" spans="1:9" ht="17.25" thickBot="1" x14ac:dyDescent="0.35"/>
    <row r="227" spans="1:9" ht="33" customHeight="1" x14ac:dyDescent="0.3">
      <c r="A227" s="24" t="s">
        <v>80</v>
      </c>
      <c r="B227" s="26"/>
    </row>
    <row r="228" spans="1:9" ht="33.75" thickBot="1" x14ac:dyDescent="0.35">
      <c r="A228" s="13" t="s">
        <v>81</v>
      </c>
      <c r="B228" s="2" t="s">
        <v>82</v>
      </c>
    </row>
    <row r="229" spans="1:9" ht="25.5" x14ac:dyDescent="0.3">
      <c r="A229" s="14" t="s">
        <v>83</v>
      </c>
      <c r="B229" s="2" t="s">
        <v>84</v>
      </c>
    </row>
    <row r="230" spans="1:9" ht="17.25" thickBot="1" x14ac:dyDescent="0.35"/>
    <row r="231" spans="1:9" ht="16.5" customHeight="1" x14ac:dyDescent="0.3">
      <c r="A231" s="24" t="s">
        <v>130</v>
      </c>
      <c r="B231" s="26"/>
      <c r="C231" s="26"/>
      <c r="D231" s="26"/>
      <c r="E231" s="26"/>
      <c r="F231" s="26"/>
    </row>
    <row r="232" spans="1:9" x14ac:dyDescent="0.3">
      <c r="A232" s="25" t="s">
        <v>131</v>
      </c>
      <c r="B232" s="27" t="s">
        <v>46</v>
      </c>
      <c r="C232" s="27" t="s">
        <v>132</v>
      </c>
      <c r="D232" s="3" t="s">
        <v>133</v>
      </c>
      <c r="E232" s="27" t="s">
        <v>135</v>
      </c>
      <c r="F232" s="27"/>
    </row>
    <row r="233" spans="1:9" x14ac:dyDescent="0.3">
      <c r="A233" s="25"/>
      <c r="B233" s="27"/>
      <c r="C233" s="27"/>
      <c r="D233" s="3" t="s">
        <v>134</v>
      </c>
      <c r="E233" s="27"/>
      <c r="F233" s="27"/>
    </row>
    <row r="234" spans="1:9" ht="17.25" thickBot="1" x14ac:dyDescent="0.35">
      <c r="A234" s="13" t="s">
        <v>66</v>
      </c>
      <c r="B234" s="2">
        <v>17758</v>
      </c>
      <c r="C234" s="2">
        <v>8.6586639999999999</v>
      </c>
      <c r="D234" s="2">
        <v>6.2519999999999997E-3</v>
      </c>
      <c r="E234" s="2">
        <v>8.6464052999999996</v>
      </c>
      <c r="F234" s="2">
        <v>8.6709233999999995</v>
      </c>
      <c r="H234" s="8" t="str">
        <f t="shared" ref="H234:H237" si="9">TEXT(C234,"0.00")&amp;" ("&amp;TEXT(E234,"0.00")&amp;" to "&amp;TEXT(F234,"0.00")&amp;")"</f>
        <v>8.66 (8.65 to 8.67)</v>
      </c>
      <c r="I234" t="s">
        <v>24</v>
      </c>
    </row>
    <row r="235" spans="1:9" ht="17.25" thickBot="1" x14ac:dyDescent="0.35">
      <c r="A235" s="13" t="s">
        <v>67</v>
      </c>
      <c r="B235" s="2">
        <v>17758</v>
      </c>
      <c r="C235" s="2">
        <v>0.67185600000000001</v>
      </c>
      <c r="D235" s="2">
        <v>6.8300000000000001E-4</v>
      </c>
      <c r="E235" s="2">
        <v>0.67051720000000004</v>
      </c>
      <c r="F235" s="2">
        <v>0.67319479999999998</v>
      </c>
      <c r="H235" s="8" t="str">
        <f t="shared" si="9"/>
        <v>0.67 (0.67 to 0.67)</v>
      </c>
      <c r="I235" t="s">
        <v>24</v>
      </c>
    </row>
    <row r="236" spans="1:9" ht="17.25" thickBot="1" x14ac:dyDescent="0.35">
      <c r="A236" s="13" t="s">
        <v>68</v>
      </c>
      <c r="B236" s="2">
        <v>17758</v>
      </c>
      <c r="C236" s="2">
        <v>0.36909500000000001</v>
      </c>
      <c r="D236" s="2">
        <v>3.009E-3</v>
      </c>
      <c r="E236" s="2">
        <v>0.3631934</v>
      </c>
      <c r="F236" s="2">
        <v>0.37499569999999999</v>
      </c>
      <c r="H236" s="8" t="str">
        <f t="shared" si="9"/>
        <v>0.37 (0.36 to 0.37)</v>
      </c>
      <c r="I236" t="s">
        <v>24</v>
      </c>
    </row>
    <row r="237" spans="1:9" x14ac:dyDescent="0.3">
      <c r="A237" s="14" t="s">
        <v>69</v>
      </c>
      <c r="B237" s="2">
        <v>17758</v>
      </c>
      <c r="C237" s="2">
        <v>36.150181000000003</v>
      </c>
      <c r="D237" s="2">
        <v>6.9234000000000004E-2</v>
      </c>
      <c r="E237" s="2">
        <v>36.014423899999997</v>
      </c>
      <c r="F237" s="2">
        <v>36.285937599999997</v>
      </c>
      <c r="H237" s="8" t="str">
        <f t="shared" si="9"/>
        <v>36.15 (36.01 to 36.29)</v>
      </c>
      <c r="I237" t="s">
        <v>24</v>
      </c>
    </row>
    <row r="238" spans="1:9" x14ac:dyDescent="0.3">
      <c r="I238" t="s">
        <v>24</v>
      </c>
    </row>
    <row r="241" spans="1:6" x14ac:dyDescent="0.3">
      <c r="A241" s="1" t="s">
        <v>129</v>
      </c>
    </row>
    <row r="243" spans="1:6" x14ac:dyDescent="0.3">
      <c r="A243" s="1" t="s">
        <v>404</v>
      </c>
    </row>
    <row r="244" spans="1:6" ht="17.25" thickBot="1" x14ac:dyDescent="0.35"/>
    <row r="245" spans="1:6" ht="16.5" customHeight="1" x14ac:dyDescent="0.3">
      <c r="A245" s="24" t="s">
        <v>75</v>
      </c>
      <c r="B245" s="26"/>
    </row>
    <row r="246" spans="1:6" ht="26.25" thickBot="1" x14ac:dyDescent="0.35">
      <c r="A246" s="13" t="s">
        <v>76</v>
      </c>
      <c r="B246" s="2">
        <v>183</v>
      </c>
    </row>
    <row r="247" spans="1:6" ht="26.25" thickBot="1" x14ac:dyDescent="0.35">
      <c r="A247" s="13" t="s">
        <v>77</v>
      </c>
      <c r="B247" s="2">
        <v>2925</v>
      </c>
    </row>
    <row r="248" spans="1:6" ht="39" thickBot="1" x14ac:dyDescent="0.35">
      <c r="A248" s="13" t="s">
        <v>78</v>
      </c>
      <c r="B248" s="2">
        <v>33741</v>
      </c>
    </row>
    <row r="249" spans="1:6" ht="25.5" x14ac:dyDescent="0.3">
      <c r="A249" s="14" t="s">
        <v>79</v>
      </c>
      <c r="B249" s="2">
        <v>16802927.199999999</v>
      </c>
    </row>
    <row r="250" spans="1:6" ht="17.25" thickBot="1" x14ac:dyDescent="0.35"/>
    <row r="251" spans="1:6" ht="33" customHeight="1" x14ac:dyDescent="0.3">
      <c r="A251" s="24" t="s">
        <v>80</v>
      </c>
      <c r="B251" s="26"/>
    </row>
    <row r="252" spans="1:6" ht="33.75" thickBot="1" x14ac:dyDescent="0.35">
      <c r="A252" s="13" t="s">
        <v>81</v>
      </c>
      <c r="B252" s="2" t="s">
        <v>82</v>
      </c>
    </row>
    <row r="253" spans="1:6" ht="25.5" x14ac:dyDescent="0.3">
      <c r="A253" s="14" t="s">
        <v>83</v>
      </c>
      <c r="B253" s="2" t="s">
        <v>84</v>
      </c>
    </row>
    <row r="254" spans="1:6" ht="17.25" thickBot="1" x14ac:dyDescent="0.35"/>
    <row r="255" spans="1:6" ht="16.5" customHeight="1" x14ac:dyDescent="0.3">
      <c r="A255" s="24" t="s">
        <v>130</v>
      </c>
      <c r="B255" s="26"/>
      <c r="C255" s="26"/>
      <c r="D255" s="26"/>
      <c r="E255" s="26"/>
      <c r="F255" s="26"/>
    </row>
    <row r="256" spans="1:6" x14ac:dyDescent="0.3">
      <c r="A256" s="25" t="s">
        <v>131</v>
      </c>
      <c r="B256" s="27" t="s">
        <v>46</v>
      </c>
      <c r="C256" s="27" t="s">
        <v>132</v>
      </c>
      <c r="D256" s="3" t="s">
        <v>133</v>
      </c>
      <c r="E256" s="27" t="s">
        <v>135</v>
      </c>
      <c r="F256" s="27"/>
    </row>
    <row r="257" spans="1:9" x14ac:dyDescent="0.3">
      <c r="A257" s="25"/>
      <c r="B257" s="27"/>
      <c r="C257" s="27"/>
      <c r="D257" s="3" t="s">
        <v>134</v>
      </c>
      <c r="E257" s="27"/>
      <c r="F257" s="27"/>
    </row>
    <row r="258" spans="1:9" ht="17.25" thickBot="1" x14ac:dyDescent="0.35">
      <c r="A258" s="13" t="s">
        <v>66</v>
      </c>
      <c r="B258" s="2">
        <v>33741</v>
      </c>
      <c r="C258" s="2">
        <v>8.4937629999999995</v>
      </c>
      <c r="D258" s="2">
        <v>4.3239999999999997E-3</v>
      </c>
      <c r="E258" s="2">
        <v>8.4852843</v>
      </c>
      <c r="F258" s="2">
        <v>8.5022421000000001</v>
      </c>
      <c r="H258" s="8" t="str">
        <f t="shared" ref="H258:H261" si="10">TEXT(C258,"0.00")&amp;" ("&amp;TEXT(E258,"0.00")&amp;" to "&amp;TEXT(F258,"0.00")&amp;")"</f>
        <v>8.49 (8.49 to 8.50)</v>
      </c>
      <c r="I258" t="s">
        <v>24</v>
      </c>
    </row>
    <row r="259" spans="1:9" ht="17.25" thickBot="1" x14ac:dyDescent="0.35">
      <c r="A259" s="13" t="s">
        <v>67</v>
      </c>
      <c r="B259" s="2">
        <v>33741</v>
      </c>
      <c r="C259" s="2">
        <v>0.64726600000000001</v>
      </c>
      <c r="D259" s="2">
        <v>5.0500000000000002E-4</v>
      </c>
      <c r="E259" s="2">
        <v>0.64627610000000002</v>
      </c>
      <c r="F259" s="2">
        <v>0.6482559</v>
      </c>
      <c r="H259" s="8" t="str">
        <f t="shared" si="10"/>
        <v>0.65 (0.65 to 0.65)</v>
      </c>
      <c r="I259" t="s">
        <v>24</v>
      </c>
    </row>
    <row r="260" spans="1:9" ht="17.25" thickBot="1" x14ac:dyDescent="0.35">
      <c r="A260" s="13" t="s">
        <v>68</v>
      </c>
      <c r="B260" s="2">
        <v>33741</v>
      </c>
      <c r="C260" s="2">
        <v>0.31389499999999998</v>
      </c>
      <c r="D260" s="2">
        <v>2.1559999999999999E-3</v>
      </c>
      <c r="E260" s="2">
        <v>0.3096679</v>
      </c>
      <c r="F260" s="2">
        <v>0.3181216</v>
      </c>
      <c r="H260" s="8" t="str">
        <f t="shared" si="10"/>
        <v>0.31 (0.31 to 0.32)</v>
      </c>
      <c r="I260" t="s">
        <v>24</v>
      </c>
    </row>
    <row r="261" spans="1:9" x14ac:dyDescent="0.3">
      <c r="A261" s="14" t="s">
        <v>69</v>
      </c>
      <c r="B261" s="2">
        <v>33741</v>
      </c>
      <c r="C261" s="2">
        <v>34.895406000000001</v>
      </c>
      <c r="D261" s="2">
        <v>5.2580000000000002E-2</v>
      </c>
      <c r="E261" s="2">
        <v>34.792305200000001</v>
      </c>
      <c r="F261" s="2">
        <v>34.9985073</v>
      </c>
      <c r="H261" s="8" t="str">
        <f t="shared" si="10"/>
        <v>34.90 (34.79 to 35.00)</v>
      </c>
      <c r="I261" t="s">
        <v>24</v>
      </c>
    </row>
    <row r="262" spans="1:9" x14ac:dyDescent="0.3">
      <c r="I262" t="s">
        <v>24</v>
      </c>
    </row>
    <row r="265" spans="1:9" x14ac:dyDescent="0.3">
      <c r="A265" s="1" t="s">
        <v>129</v>
      </c>
    </row>
    <row r="267" spans="1:9" x14ac:dyDescent="0.3">
      <c r="A267" s="1" t="s">
        <v>405</v>
      </c>
    </row>
    <row r="268" spans="1:9" ht="17.25" thickBot="1" x14ac:dyDescent="0.35"/>
    <row r="269" spans="1:9" ht="16.5" customHeight="1" x14ac:dyDescent="0.3">
      <c r="A269" s="24" t="s">
        <v>75</v>
      </c>
      <c r="B269" s="26"/>
    </row>
    <row r="270" spans="1:9" ht="26.25" thickBot="1" x14ac:dyDescent="0.35">
      <c r="A270" s="13" t="s">
        <v>76</v>
      </c>
      <c r="B270" s="2">
        <v>183</v>
      </c>
    </row>
    <row r="271" spans="1:9" ht="26.25" thickBot="1" x14ac:dyDescent="0.35">
      <c r="A271" s="13" t="s">
        <v>77</v>
      </c>
      <c r="B271" s="2">
        <v>2478</v>
      </c>
    </row>
    <row r="272" spans="1:9" ht="39" thickBot="1" x14ac:dyDescent="0.35">
      <c r="A272" s="13" t="s">
        <v>78</v>
      </c>
      <c r="B272" s="2">
        <v>11265</v>
      </c>
    </row>
    <row r="273" spans="1:9" ht="25.5" x14ac:dyDescent="0.3">
      <c r="A273" s="14" t="s">
        <v>79</v>
      </c>
      <c r="B273" s="2">
        <v>3936155.48</v>
      </c>
    </row>
    <row r="274" spans="1:9" ht="17.25" thickBot="1" x14ac:dyDescent="0.35"/>
    <row r="275" spans="1:9" ht="33" customHeight="1" x14ac:dyDescent="0.3">
      <c r="A275" s="24" t="s">
        <v>80</v>
      </c>
      <c r="B275" s="26"/>
    </row>
    <row r="276" spans="1:9" ht="33.75" thickBot="1" x14ac:dyDescent="0.35">
      <c r="A276" s="13" t="s">
        <v>81</v>
      </c>
      <c r="B276" s="2" t="s">
        <v>82</v>
      </c>
    </row>
    <row r="277" spans="1:9" ht="25.5" x14ac:dyDescent="0.3">
      <c r="A277" s="14" t="s">
        <v>83</v>
      </c>
      <c r="B277" s="2" t="s">
        <v>84</v>
      </c>
    </row>
    <row r="278" spans="1:9" ht="17.25" thickBot="1" x14ac:dyDescent="0.35"/>
    <row r="279" spans="1:9" ht="16.5" customHeight="1" x14ac:dyDescent="0.3">
      <c r="A279" s="24" t="s">
        <v>130</v>
      </c>
      <c r="B279" s="26"/>
      <c r="C279" s="26"/>
      <c r="D279" s="26"/>
      <c r="E279" s="26"/>
      <c r="F279" s="26"/>
    </row>
    <row r="280" spans="1:9" x14ac:dyDescent="0.3">
      <c r="A280" s="25" t="s">
        <v>131</v>
      </c>
      <c r="B280" s="27" t="s">
        <v>46</v>
      </c>
      <c r="C280" s="27" t="s">
        <v>132</v>
      </c>
      <c r="D280" s="3" t="s">
        <v>133</v>
      </c>
      <c r="E280" s="27" t="s">
        <v>135</v>
      </c>
      <c r="F280" s="27"/>
    </row>
    <row r="281" spans="1:9" x14ac:dyDescent="0.3">
      <c r="A281" s="25"/>
      <c r="B281" s="27"/>
      <c r="C281" s="27"/>
      <c r="D281" s="3" t="s">
        <v>134</v>
      </c>
      <c r="E281" s="27"/>
      <c r="F281" s="27"/>
    </row>
    <row r="282" spans="1:9" ht="17.25" thickBot="1" x14ac:dyDescent="0.35">
      <c r="A282" s="13" t="s">
        <v>66</v>
      </c>
      <c r="B282" s="2">
        <v>11265</v>
      </c>
      <c r="C282" s="2">
        <v>8.6671669999999992</v>
      </c>
      <c r="D282" s="2">
        <v>9.0279999999999996E-3</v>
      </c>
      <c r="E282" s="2">
        <v>8.6494634999999995</v>
      </c>
      <c r="F282" s="2">
        <v>8.6848712999999993</v>
      </c>
      <c r="H282" s="8" t="str">
        <f t="shared" ref="H282:H285" si="11">TEXT(C282,"0.00")&amp;" ("&amp;TEXT(E282,"0.00")&amp;" to "&amp;TEXT(F282,"0.00")&amp;")"</f>
        <v>8.67 (8.65 to 8.68)</v>
      </c>
      <c r="I282" t="s">
        <v>24</v>
      </c>
    </row>
    <row r="283" spans="1:9" ht="17.25" thickBot="1" x14ac:dyDescent="0.35">
      <c r="A283" s="13" t="s">
        <v>67</v>
      </c>
      <c r="B283" s="2">
        <v>11265</v>
      </c>
      <c r="C283" s="2">
        <v>0.68712300000000004</v>
      </c>
      <c r="D283" s="2">
        <v>1.16E-3</v>
      </c>
      <c r="E283" s="2">
        <v>0.68484840000000002</v>
      </c>
      <c r="F283" s="2">
        <v>0.68939810000000001</v>
      </c>
      <c r="H283" s="8" t="str">
        <f t="shared" si="11"/>
        <v>0.69 (0.68 to 0.69)</v>
      </c>
      <c r="I283" t="s">
        <v>24</v>
      </c>
    </row>
    <row r="284" spans="1:9" ht="17.25" thickBot="1" x14ac:dyDescent="0.35">
      <c r="A284" s="13" t="s">
        <v>68</v>
      </c>
      <c r="B284" s="2">
        <v>11265</v>
      </c>
      <c r="C284" s="2">
        <v>0.38044899999999998</v>
      </c>
      <c r="D284" s="2">
        <v>4.2110000000000003E-3</v>
      </c>
      <c r="E284" s="2">
        <v>0.37219099999999999</v>
      </c>
      <c r="F284" s="2">
        <v>0.38870739999999998</v>
      </c>
      <c r="H284" s="8" t="str">
        <f t="shared" si="11"/>
        <v>0.38 (0.37 to 0.39)</v>
      </c>
      <c r="I284" t="s">
        <v>24</v>
      </c>
    </row>
    <row r="285" spans="1:9" x14ac:dyDescent="0.3">
      <c r="A285" s="14" t="s">
        <v>69</v>
      </c>
      <c r="B285" s="2">
        <v>11265</v>
      </c>
      <c r="C285" s="2">
        <v>36.123854000000001</v>
      </c>
      <c r="D285" s="2">
        <v>0.100383</v>
      </c>
      <c r="E285" s="2">
        <v>35.927004199999999</v>
      </c>
      <c r="F285" s="2">
        <v>36.3207041</v>
      </c>
      <c r="H285" s="8" t="str">
        <f t="shared" si="11"/>
        <v>36.12 (35.93 to 36.32)</v>
      </c>
      <c r="I285" t="s">
        <v>24</v>
      </c>
    </row>
    <row r="286" spans="1:9" x14ac:dyDescent="0.3">
      <c r="I286" t="s">
        <v>24</v>
      </c>
    </row>
    <row r="289" spans="1:6" x14ac:dyDescent="0.3">
      <c r="A289" s="1" t="s">
        <v>129</v>
      </c>
    </row>
    <row r="291" spans="1:6" x14ac:dyDescent="0.3">
      <c r="A291" s="1" t="s">
        <v>406</v>
      </c>
    </row>
    <row r="292" spans="1:6" ht="17.25" thickBot="1" x14ac:dyDescent="0.35"/>
    <row r="293" spans="1:6" ht="16.5" customHeight="1" x14ac:dyDescent="0.3">
      <c r="A293" s="24" t="s">
        <v>75</v>
      </c>
      <c r="B293" s="26"/>
    </row>
    <row r="294" spans="1:6" ht="26.25" thickBot="1" x14ac:dyDescent="0.35">
      <c r="A294" s="13" t="s">
        <v>76</v>
      </c>
      <c r="B294" s="2">
        <v>183</v>
      </c>
    </row>
    <row r="295" spans="1:6" ht="26.25" thickBot="1" x14ac:dyDescent="0.35">
      <c r="A295" s="13" t="s">
        <v>77</v>
      </c>
      <c r="B295" s="2">
        <v>2823</v>
      </c>
    </row>
    <row r="296" spans="1:6" ht="39" thickBot="1" x14ac:dyDescent="0.35">
      <c r="A296" s="13" t="s">
        <v>78</v>
      </c>
      <c r="B296" s="2">
        <v>16834</v>
      </c>
    </row>
    <row r="297" spans="1:6" ht="25.5" x14ac:dyDescent="0.3">
      <c r="A297" s="14" t="s">
        <v>79</v>
      </c>
      <c r="B297" s="2">
        <v>7267524.9900000002</v>
      </c>
    </row>
    <row r="298" spans="1:6" ht="17.25" thickBot="1" x14ac:dyDescent="0.35"/>
    <row r="299" spans="1:6" ht="33" customHeight="1" x14ac:dyDescent="0.3">
      <c r="A299" s="24" t="s">
        <v>80</v>
      </c>
      <c r="B299" s="26"/>
    </row>
    <row r="300" spans="1:6" ht="33.75" thickBot="1" x14ac:dyDescent="0.35">
      <c r="A300" s="13" t="s">
        <v>81</v>
      </c>
      <c r="B300" s="2" t="s">
        <v>82</v>
      </c>
    </row>
    <row r="301" spans="1:6" ht="25.5" x14ac:dyDescent="0.3">
      <c r="A301" s="14" t="s">
        <v>83</v>
      </c>
      <c r="B301" s="2" t="s">
        <v>84</v>
      </c>
    </row>
    <row r="302" spans="1:6" ht="17.25" thickBot="1" x14ac:dyDescent="0.35"/>
    <row r="303" spans="1:6" ht="16.5" customHeight="1" x14ac:dyDescent="0.3">
      <c r="A303" s="24" t="s">
        <v>130</v>
      </c>
      <c r="B303" s="26"/>
      <c r="C303" s="26"/>
      <c r="D303" s="26"/>
      <c r="E303" s="26"/>
      <c r="F303" s="26"/>
    </row>
    <row r="304" spans="1:6" x14ac:dyDescent="0.3">
      <c r="A304" s="25" t="s">
        <v>131</v>
      </c>
      <c r="B304" s="27" t="s">
        <v>46</v>
      </c>
      <c r="C304" s="27" t="s">
        <v>132</v>
      </c>
      <c r="D304" s="3" t="s">
        <v>133</v>
      </c>
      <c r="E304" s="27" t="s">
        <v>135</v>
      </c>
      <c r="F304" s="27"/>
    </row>
    <row r="305" spans="1:9" x14ac:dyDescent="0.3">
      <c r="A305" s="25"/>
      <c r="B305" s="27"/>
      <c r="C305" s="27"/>
      <c r="D305" s="3" t="s">
        <v>134</v>
      </c>
      <c r="E305" s="27"/>
      <c r="F305" s="27"/>
    </row>
    <row r="306" spans="1:9" ht="17.25" thickBot="1" x14ac:dyDescent="0.35">
      <c r="A306" s="13" t="s">
        <v>66</v>
      </c>
      <c r="B306" s="2">
        <v>16834</v>
      </c>
      <c r="C306" s="2">
        <v>8.5996699999999997</v>
      </c>
      <c r="D306" s="2">
        <v>6.731E-3</v>
      </c>
      <c r="E306" s="2">
        <v>8.5864712999999995</v>
      </c>
      <c r="F306" s="2">
        <v>8.6128684</v>
      </c>
      <c r="H306" s="8" t="str">
        <f t="shared" ref="H306:H309" si="12">TEXT(C306,"0.00")&amp;" ("&amp;TEXT(E306,"0.00")&amp;" to "&amp;TEXT(F306,"0.00")&amp;")"</f>
        <v>8.60 (8.59 to 8.61)</v>
      </c>
      <c r="I306" t="s">
        <v>24</v>
      </c>
    </row>
    <row r="307" spans="1:9" ht="17.25" thickBot="1" x14ac:dyDescent="0.35">
      <c r="A307" s="13" t="s">
        <v>67</v>
      </c>
      <c r="B307" s="2">
        <v>16834</v>
      </c>
      <c r="C307" s="2">
        <v>0.66722899999999996</v>
      </c>
      <c r="D307" s="2">
        <v>8.0400000000000003E-4</v>
      </c>
      <c r="E307" s="2">
        <v>0.66565280000000004</v>
      </c>
      <c r="F307" s="2">
        <v>0.66880479999999998</v>
      </c>
      <c r="H307" s="8" t="str">
        <f t="shared" si="12"/>
        <v>0.67 (0.67 to 0.67)</v>
      </c>
      <c r="I307" t="s">
        <v>24</v>
      </c>
    </row>
    <row r="308" spans="1:9" ht="17.25" thickBot="1" x14ac:dyDescent="0.35">
      <c r="A308" s="13" t="s">
        <v>68</v>
      </c>
      <c r="B308" s="2">
        <v>16834</v>
      </c>
      <c r="C308" s="2">
        <v>0.35463699999999998</v>
      </c>
      <c r="D308" s="2">
        <v>3.1619999999999999E-3</v>
      </c>
      <c r="E308" s="2">
        <v>0.34843610000000003</v>
      </c>
      <c r="F308" s="2">
        <v>0.36083789999999999</v>
      </c>
      <c r="H308" s="8" t="str">
        <f t="shared" si="12"/>
        <v>0.35 (0.35 to 0.36)</v>
      </c>
      <c r="I308" t="s">
        <v>24</v>
      </c>
    </row>
    <row r="309" spans="1:9" x14ac:dyDescent="0.3">
      <c r="A309" s="14" t="s">
        <v>69</v>
      </c>
      <c r="B309" s="2">
        <v>16834</v>
      </c>
      <c r="C309" s="2">
        <v>35.914062999999999</v>
      </c>
      <c r="D309" s="2">
        <v>7.7979000000000007E-2</v>
      </c>
      <c r="E309" s="2">
        <v>35.761156</v>
      </c>
      <c r="F309" s="2">
        <v>36.066969499999999</v>
      </c>
      <c r="H309" s="8" t="str">
        <f t="shared" si="12"/>
        <v>35.91 (35.76 to 36.07)</v>
      </c>
      <c r="I309" t="s">
        <v>24</v>
      </c>
    </row>
    <row r="310" spans="1:9" x14ac:dyDescent="0.3">
      <c r="I310" t="s">
        <v>24</v>
      </c>
    </row>
    <row r="313" spans="1:9" x14ac:dyDescent="0.3">
      <c r="A313" s="1" t="s">
        <v>129</v>
      </c>
    </row>
    <row r="315" spans="1:9" x14ac:dyDescent="0.3">
      <c r="A315" s="1" t="s">
        <v>407</v>
      </c>
    </row>
    <row r="316" spans="1:9" ht="17.25" thickBot="1" x14ac:dyDescent="0.35"/>
    <row r="317" spans="1:9" ht="16.5" customHeight="1" x14ac:dyDescent="0.3">
      <c r="A317" s="24" t="s">
        <v>75</v>
      </c>
      <c r="B317" s="26"/>
    </row>
    <row r="318" spans="1:9" ht="26.25" thickBot="1" x14ac:dyDescent="0.35">
      <c r="A318" s="13" t="s">
        <v>76</v>
      </c>
      <c r="B318" s="2">
        <v>183</v>
      </c>
    </row>
    <row r="319" spans="1:9" ht="26.25" thickBot="1" x14ac:dyDescent="0.35">
      <c r="A319" s="13" t="s">
        <v>77</v>
      </c>
      <c r="B319" s="2">
        <v>2858</v>
      </c>
    </row>
    <row r="320" spans="1:9" ht="39" thickBot="1" x14ac:dyDescent="0.35">
      <c r="A320" s="13" t="s">
        <v>78</v>
      </c>
      <c r="B320" s="2">
        <v>19586</v>
      </c>
    </row>
    <row r="321" spans="1:9" ht="25.5" x14ac:dyDescent="0.3">
      <c r="A321" s="14" t="s">
        <v>79</v>
      </c>
      <c r="B321" s="2">
        <v>9190109.3300000001</v>
      </c>
    </row>
    <row r="322" spans="1:9" ht="17.25" thickBot="1" x14ac:dyDescent="0.35"/>
    <row r="323" spans="1:9" ht="33" customHeight="1" x14ac:dyDescent="0.3">
      <c r="A323" s="24" t="s">
        <v>80</v>
      </c>
      <c r="B323" s="26"/>
    </row>
    <row r="324" spans="1:9" ht="33.75" thickBot="1" x14ac:dyDescent="0.35">
      <c r="A324" s="13" t="s">
        <v>81</v>
      </c>
      <c r="B324" s="2" t="s">
        <v>82</v>
      </c>
    </row>
    <row r="325" spans="1:9" ht="25.5" x14ac:dyDescent="0.3">
      <c r="A325" s="14" t="s">
        <v>83</v>
      </c>
      <c r="B325" s="2" t="s">
        <v>84</v>
      </c>
    </row>
    <row r="326" spans="1:9" ht="17.25" thickBot="1" x14ac:dyDescent="0.35"/>
    <row r="327" spans="1:9" ht="16.5" customHeight="1" x14ac:dyDescent="0.3">
      <c r="A327" s="24" t="s">
        <v>130</v>
      </c>
      <c r="B327" s="26"/>
      <c r="C327" s="26"/>
      <c r="D327" s="26"/>
      <c r="E327" s="26"/>
      <c r="F327" s="26"/>
    </row>
    <row r="328" spans="1:9" x14ac:dyDescent="0.3">
      <c r="A328" s="25" t="s">
        <v>131</v>
      </c>
      <c r="B328" s="27" t="s">
        <v>46</v>
      </c>
      <c r="C328" s="27" t="s">
        <v>132</v>
      </c>
      <c r="D328" s="3" t="s">
        <v>133</v>
      </c>
      <c r="E328" s="27" t="s">
        <v>135</v>
      </c>
      <c r="F328" s="27"/>
    </row>
    <row r="329" spans="1:9" x14ac:dyDescent="0.3">
      <c r="A329" s="25"/>
      <c r="B329" s="27"/>
      <c r="C329" s="27"/>
      <c r="D329" s="3" t="s">
        <v>134</v>
      </c>
      <c r="E329" s="27"/>
      <c r="F329" s="27"/>
    </row>
    <row r="330" spans="1:9" ht="17.25" thickBot="1" x14ac:dyDescent="0.35">
      <c r="A330" s="13" t="s">
        <v>66</v>
      </c>
      <c r="B330" s="2">
        <v>19586</v>
      </c>
      <c r="C330" s="2">
        <v>8.571275</v>
      </c>
      <c r="D330" s="2">
        <v>5.8230000000000001E-3</v>
      </c>
      <c r="E330" s="2">
        <v>8.5598568000000004</v>
      </c>
      <c r="F330" s="2">
        <v>8.5826925999999997</v>
      </c>
      <c r="H330" s="8" t="str">
        <f t="shared" ref="H330:H333" si="13">TEXT(C330,"0.00")&amp;" ("&amp;TEXT(E330,"0.00")&amp;" to "&amp;TEXT(F330,"0.00")&amp;")"</f>
        <v>8.57 (8.56 to 8.58)</v>
      </c>
      <c r="I330" t="s">
        <v>24</v>
      </c>
    </row>
    <row r="331" spans="1:9" ht="17.25" thickBot="1" x14ac:dyDescent="0.35">
      <c r="A331" s="13" t="s">
        <v>67</v>
      </c>
      <c r="B331" s="2">
        <v>19586</v>
      </c>
      <c r="C331" s="2">
        <v>0.65973700000000002</v>
      </c>
      <c r="D331" s="2">
        <v>6.5899999999999997E-4</v>
      </c>
      <c r="E331" s="2">
        <v>0.65844400000000003</v>
      </c>
      <c r="F331" s="2">
        <v>0.66103029999999996</v>
      </c>
      <c r="H331" s="8" t="str">
        <f t="shared" si="13"/>
        <v>0.66 (0.66 to 0.66)</v>
      </c>
      <c r="I331" t="s">
        <v>24</v>
      </c>
    </row>
    <row r="332" spans="1:9" ht="17.25" thickBot="1" x14ac:dyDescent="0.35">
      <c r="A332" s="13" t="s">
        <v>68</v>
      </c>
      <c r="B332" s="2">
        <v>19586</v>
      </c>
      <c r="C332" s="2">
        <v>0.34153699999999998</v>
      </c>
      <c r="D332" s="2">
        <v>2.8019999999999998E-3</v>
      </c>
      <c r="E332" s="2">
        <v>0.33604220000000001</v>
      </c>
      <c r="F332" s="2">
        <v>0.3470319</v>
      </c>
      <c r="H332" s="8" t="str">
        <f t="shared" si="13"/>
        <v>0.34 (0.34 to 0.35)</v>
      </c>
      <c r="I332" t="s">
        <v>24</v>
      </c>
    </row>
    <row r="333" spans="1:9" x14ac:dyDescent="0.3">
      <c r="A333" s="14" t="s">
        <v>69</v>
      </c>
      <c r="B333" s="2">
        <v>19586</v>
      </c>
      <c r="C333" s="2">
        <v>35.584496999999999</v>
      </c>
      <c r="D333" s="2">
        <v>6.7802000000000001E-2</v>
      </c>
      <c r="E333" s="2">
        <v>35.451546800000003</v>
      </c>
      <c r="F333" s="2">
        <v>35.717447499999999</v>
      </c>
      <c r="H333" s="8" t="str">
        <f t="shared" si="13"/>
        <v>35.58 (35.45 to 35.72)</v>
      </c>
      <c r="I333" t="s">
        <v>24</v>
      </c>
    </row>
    <row r="334" spans="1:9" x14ac:dyDescent="0.3">
      <c r="I334" t="s">
        <v>24</v>
      </c>
    </row>
    <row r="337" spans="1:6" x14ac:dyDescent="0.3">
      <c r="A337" s="1" t="s">
        <v>129</v>
      </c>
    </row>
    <row r="339" spans="1:6" x14ac:dyDescent="0.3">
      <c r="A339" s="1" t="s">
        <v>408</v>
      </c>
    </row>
    <row r="340" spans="1:6" ht="17.25" thickBot="1" x14ac:dyDescent="0.35"/>
    <row r="341" spans="1:6" ht="16.5" customHeight="1" x14ac:dyDescent="0.3">
      <c r="A341" s="24" t="s">
        <v>75</v>
      </c>
      <c r="B341" s="26"/>
    </row>
    <row r="342" spans="1:6" ht="26.25" thickBot="1" x14ac:dyDescent="0.35">
      <c r="A342" s="13" t="s">
        <v>76</v>
      </c>
      <c r="B342" s="2">
        <v>183</v>
      </c>
    </row>
    <row r="343" spans="1:6" ht="26.25" thickBot="1" x14ac:dyDescent="0.35">
      <c r="A343" s="13" t="s">
        <v>77</v>
      </c>
      <c r="B343" s="2">
        <v>2660</v>
      </c>
    </row>
    <row r="344" spans="1:6" ht="39" thickBot="1" x14ac:dyDescent="0.35">
      <c r="A344" s="13" t="s">
        <v>78</v>
      </c>
      <c r="B344" s="2">
        <v>20950</v>
      </c>
    </row>
    <row r="345" spans="1:6" ht="25.5" x14ac:dyDescent="0.3">
      <c r="A345" s="14" t="s">
        <v>79</v>
      </c>
      <c r="B345" s="2">
        <v>9858145.8800000008</v>
      </c>
    </row>
    <row r="346" spans="1:6" ht="17.25" thickBot="1" x14ac:dyDescent="0.35"/>
    <row r="347" spans="1:6" ht="33" customHeight="1" x14ac:dyDescent="0.3">
      <c r="A347" s="24" t="s">
        <v>80</v>
      </c>
      <c r="B347" s="26"/>
    </row>
    <row r="348" spans="1:6" ht="33.75" thickBot="1" x14ac:dyDescent="0.35">
      <c r="A348" s="13" t="s">
        <v>81</v>
      </c>
      <c r="B348" s="2" t="s">
        <v>82</v>
      </c>
    </row>
    <row r="349" spans="1:6" ht="25.5" x14ac:dyDescent="0.3">
      <c r="A349" s="14" t="s">
        <v>83</v>
      </c>
      <c r="B349" s="2" t="s">
        <v>84</v>
      </c>
    </row>
    <row r="350" spans="1:6" ht="17.25" thickBot="1" x14ac:dyDescent="0.35"/>
    <row r="351" spans="1:6" ht="16.5" customHeight="1" x14ac:dyDescent="0.3">
      <c r="A351" s="24" t="s">
        <v>130</v>
      </c>
      <c r="B351" s="26"/>
      <c r="C351" s="26"/>
      <c r="D351" s="26"/>
      <c r="E351" s="26"/>
      <c r="F351" s="26"/>
    </row>
    <row r="352" spans="1:6" x14ac:dyDescent="0.3">
      <c r="A352" s="25" t="s">
        <v>131</v>
      </c>
      <c r="B352" s="27" t="s">
        <v>46</v>
      </c>
      <c r="C352" s="27" t="s">
        <v>132</v>
      </c>
      <c r="D352" s="3" t="s">
        <v>133</v>
      </c>
      <c r="E352" s="27" t="s">
        <v>135</v>
      </c>
      <c r="F352" s="27"/>
    </row>
    <row r="353" spans="1:9" x14ac:dyDescent="0.3">
      <c r="A353" s="25"/>
      <c r="B353" s="27"/>
      <c r="C353" s="27"/>
      <c r="D353" s="3" t="s">
        <v>134</v>
      </c>
      <c r="E353" s="27"/>
      <c r="F353" s="27"/>
    </row>
    <row r="354" spans="1:9" ht="17.25" thickBot="1" x14ac:dyDescent="0.35">
      <c r="A354" s="13" t="s">
        <v>66</v>
      </c>
      <c r="B354" s="2">
        <v>20950</v>
      </c>
      <c r="C354" s="2">
        <v>8.5472889999999992</v>
      </c>
      <c r="D354" s="2">
        <v>5.7489999999999998E-3</v>
      </c>
      <c r="E354" s="2">
        <v>8.5360154000000001</v>
      </c>
      <c r="F354" s="2">
        <v>8.5585617000000003</v>
      </c>
      <c r="H354" s="8" t="str">
        <f t="shared" ref="H354:H357" si="14">TEXT(C354,"0.00")&amp;" ("&amp;TEXT(E354,"0.00")&amp;" to "&amp;TEXT(F354,"0.00")&amp;")"</f>
        <v>8.55 (8.54 to 8.56)</v>
      </c>
      <c r="I354" t="s">
        <v>24</v>
      </c>
    </row>
    <row r="355" spans="1:9" ht="17.25" thickBot="1" x14ac:dyDescent="0.35">
      <c r="A355" s="13" t="s">
        <v>67</v>
      </c>
      <c r="B355" s="2">
        <v>20950</v>
      </c>
      <c r="C355" s="2">
        <v>0.65546700000000002</v>
      </c>
      <c r="D355" s="2">
        <v>6.3299999999999999E-4</v>
      </c>
      <c r="E355" s="2">
        <v>0.6542268</v>
      </c>
      <c r="F355" s="2">
        <v>0.65670759999999995</v>
      </c>
      <c r="H355" s="8" t="str">
        <f t="shared" si="14"/>
        <v>0.66 (0.65 to 0.66)</v>
      </c>
      <c r="I355" t="s">
        <v>24</v>
      </c>
    </row>
    <row r="356" spans="1:9" ht="17.25" thickBot="1" x14ac:dyDescent="0.35">
      <c r="A356" s="13" t="s">
        <v>68</v>
      </c>
      <c r="B356" s="2">
        <v>20950</v>
      </c>
      <c r="C356" s="2">
        <v>0.32769399999999999</v>
      </c>
      <c r="D356" s="2">
        <v>2.9069999999999999E-3</v>
      </c>
      <c r="E356" s="2">
        <v>0.32199480000000003</v>
      </c>
      <c r="F356" s="2">
        <v>0.33339410000000003</v>
      </c>
      <c r="H356" s="8" t="str">
        <f t="shared" si="14"/>
        <v>0.33 (0.32 to 0.33)</v>
      </c>
      <c r="I356" t="s">
        <v>24</v>
      </c>
    </row>
    <row r="357" spans="1:9" x14ac:dyDescent="0.3">
      <c r="A357" s="14" t="s">
        <v>69</v>
      </c>
      <c r="B357" s="2">
        <v>20950</v>
      </c>
      <c r="C357" s="2">
        <v>35.177123999999999</v>
      </c>
      <c r="D357" s="2">
        <v>6.7330000000000001E-2</v>
      </c>
      <c r="E357" s="2">
        <v>35.045094900000002</v>
      </c>
      <c r="F357" s="2">
        <v>35.309154100000001</v>
      </c>
      <c r="H357" s="8" t="str">
        <f t="shared" si="14"/>
        <v>35.18 (35.05 to 35.31)</v>
      </c>
      <c r="I357" t="s">
        <v>24</v>
      </c>
    </row>
    <row r="358" spans="1:9" x14ac:dyDescent="0.3">
      <c r="I358" t="s">
        <v>24</v>
      </c>
    </row>
    <row r="361" spans="1:9" x14ac:dyDescent="0.3">
      <c r="A361" s="1" t="s">
        <v>129</v>
      </c>
    </row>
    <row r="363" spans="1:9" x14ac:dyDescent="0.3">
      <c r="A363" s="1" t="s">
        <v>409</v>
      </c>
    </row>
    <row r="364" spans="1:9" ht="17.25" thickBot="1" x14ac:dyDescent="0.35"/>
    <row r="365" spans="1:9" ht="16.5" customHeight="1" x14ac:dyDescent="0.3">
      <c r="A365" s="24" t="s">
        <v>75</v>
      </c>
      <c r="B365" s="26"/>
    </row>
    <row r="366" spans="1:9" ht="26.25" thickBot="1" x14ac:dyDescent="0.35">
      <c r="A366" s="13" t="s">
        <v>76</v>
      </c>
      <c r="B366" s="2">
        <v>179</v>
      </c>
    </row>
    <row r="367" spans="1:9" ht="26.25" thickBot="1" x14ac:dyDescent="0.35">
      <c r="A367" s="13" t="s">
        <v>77</v>
      </c>
      <c r="B367" s="2">
        <v>1683</v>
      </c>
    </row>
    <row r="368" spans="1:9" ht="39" thickBot="1" x14ac:dyDescent="0.35">
      <c r="A368" s="13" t="s">
        <v>78</v>
      </c>
      <c r="B368" s="2">
        <v>2777</v>
      </c>
    </row>
    <row r="369" spans="1:9" ht="25.5" x14ac:dyDescent="0.3">
      <c r="A369" s="14" t="s">
        <v>79</v>
      </c>
      <c r="B369" s="2">
        <v>1296192.51</v>
      </c>
    </row>
    <row r="370" spans="1:9" ht="17.25" thickBot="1" x14ac:dyDescent="0.35"/>
    <row r="371" spans="1:9" ht="33" customHeight="1" x14ac:dyDescent="0.3">
      <c r="A371" s="24" t="s">
        <v>80</v>
      </c>
      <c r="B371" s="26"/>
    </row>
    <row r="372" spans="1:9" ht="33.75" thickBot="1" x14ac:dyDescent="0.35">
      <c r="A372" s="13" t="s">
        <v>81</v>
      </c>
      <c r="B372" s="2" t="s">
        <v>82</v>
      </c>
    </row>
    <row r="373" spans="1:9" ht="25.5" x14ac:dyDescent="0.3">
      <c r="A373" s="14" t="s">
        <v>83</v>
      </c>
      <c r="B373" s="2" t="s">
        <v>84</v>
      </c>
    </row>
    <row r="374" spans="1:9" ht="17.25" thickBot="1" x14ac:dyDescent="0.35"/>
    <row r="375" spans="1:9" ht="16.5" customHeight="1" x14ac:dyDescent="0.3">
      <c r="A375" s="24" t="s">
        <v>130</v>
      </c>
      <c r="B375" s="26"/>
      <c r="C375" s="26"/>
      <c r="D375" s="26"/>
      <c r="E375" s="26"/>
      <c r="F375" s="26"/>
    </row>
    <row r="376" spans="1:9" x14ac:dyDescent="0.3">
      <c r="A376" s="25" t="s">
        <v>131</v>
      </c>
      <c r="B376" s="27" t="s">
        <v>46</v>
      </c>
      <c r="C376" s="27" t="s">
        <v>132</v>
      </c>
      <c r="D376" s="3" t="s">
        <v>133</v>
      </c>
      <c r="E376" s="27" t="s">
        <v>135</v>
      </c>
      <c r="F376" s="27"/>
    </row>
    <row r="377" spans="1:9" x14ac:dyDescent="0.3">
      <c r="A377" s="25"/>
      <c r="B377" s="27"/>
      <c r="C377" s="27"/>
      <c r="D377" s="3" t="s">
        <v>134</v>
      </c>
      <c r="E377" s="27"/>
      <c r="F377" s="27"/>
    </row>
    <row r="378" spans="1:9" ht="17.25" thickBot="1" x14ac:dyDescent="0.35">
      <c r="A378" s="13" t="s">
        <v>66</v>
      </c>
      <c r="B378" s="2">
        <v>2777</v>
      </c>
      <c r="C378" s="2">
        <v>8.0783670000000001</v>
      </c>
      <c r="D378" s="2">
        <v>1.0340999999999999E-2</v>
      </c>
      <c r="E378" s="2">
        <v>8.0580824999999994</v>
      </c>
      <c r="F378" s="2">
        <v>8.0986507000000003</v>
      </c>
      <c r="H378" s="8" t="str">
        <f t="shared" ref="H378:H381" si="15">TEXT(C378,"0.00")&amp;" ("&amp;TEXT(E378,"0.00")&amp;" to "&amp;TEXT(F378,"0.00")&amp;")"</f>
        <v>8.08 (8.06 to 8.10)</v>
      </c>
      <c r="I378" t="s">
        <v>24</v>
      </c>
    </row>
    <row r="379" spans="1:9" ht="17.25" thickBot="1" x14ac:dyDescent="0.35">
      <c r="A379" s="13" t="s">
        <v>67</v>
      </c>
      <c r="B379" s="2">
        <v>2777</v>
      </c>
      <c r="C379" s="2">
        <v>0.60936599999999996</v>
      </c>
      <c r="D379" s="2">
        <v>1.2229999999999999E-3</v>
      </c>
      <c r="E379" s="2">
        <v>0.60696680000000003</v>
      </c>
      <c r="F379" s="2">
        <v>0.61176459999999999</v>
      </c>
      <c r="H379" s="8" t="str">
        <f t="shared" si="15"/>
        <v>0.61 (0.61 to 0.61)</v>
      </c>
      <c r="I379" t="s">
        <v>24</v>
      </c>
    </row>
    <row r="380" spans="1:9" ht="17.25" thickBot="1" x14ac:dyDescent="0.35">
      <c r="A380" s="13" t="s">
        <v>68</v>
      </c>
      <c r="B380" s="2">
        <v>2777</v>
      </c>
      <c r="C380" s="2">
        <v>9.3159000000000006E-2</v>
      </c>
      <c r="D380" s="2">
        <v>5.1840000000000002E-3</v>
      </c>
      <c r="E380" s="2">
        <v>8.2990900000000006E-2</v>
      </c>
      <c r="F380" s="2">
        <v>0.1033265</v>
      </c>
      <c r="H380" s="8" t="str">
        <f t="shared" si="15"/>
        <v>0.09 (0.08 to 0.10)</v>
      </c>
      <c r="I380" t="s">
        <v>24</v>
      </c>
    </row>
    <row r="381" spans="1:9" x14ac:dyDescent="0.3">
      <c r="A381" s="14" t="s">
        <v>69</v>
      </c>
      <c r="B381" s="2">
        <v>2777</v>
      </c>
      <c r="C381" s="2">
        <v>23.981465</v>
      </c>
      <c r="D381" s="2">
        <v>4.6764E-2</v>
      </c>
      <c r="E381" s="2">
        <v>23.889736500000001</v>
      </c>
      <c r="F381" s="2">
        <v>24.073193799999999</v>
      </c>
      <c r="H381" s="8" t="str">
        <f t="shared" si="15"/>
        <v>23.98 (23.89 to 24.07)</v>
      </c>
      <c r="I381" t="s">
        <v>24</v>
      </c>
    </row>
    <row r="382" spans="1:9" x14ac:dyDescent="0.3">
      <c r="I382" t="s">
        <v>24</v>
      </c>
    </row>
    <row r="385" spans="1:6" x14ac:dyDescent="0.3">
      <c r="A385" s="1" t="s">
        <v>129</v>
      </c>
    </row>
    <row r="387" spans="1:6" x14ac:dyDescent="0.3">
      <c r="A387" s="1" t="s">
        <v>410</v>
      </c>
    </row>
    <row r="388" spans="1:6" ht="17.25" thickBot="1" x14ac:dyDescent="0.35"/>
    <row r="389" spans="1:6" ht="16.5" customHeight="1" x14ac:dyDescent="0.3">
      <c r="A389" s="24" t="s">
        <v>75</v>
      </c>
      <c r="B389" s="26"/>
    </row>
    <row r="390" spans="1:6" ht="26.25" thickBot="1" x14ac:dyDescent="0.35">
      <c r="A390" s="13" t="s">
        <v>76</v>
      </c>
      <c r="B390" s="2">
        <v>183</v>
      </c>
    </row>
    <row r="391" spans="1:6" ht="26.25" thickBot="1" x14ac:dyDescent="0.35">
      <c r="A391" s="13" t="s">
        <v>77</v>
      </c>
      <c r="B391" s="2">
        <v>2975</v>
      </c>
    </row>
    <row r="392" spans="1:6" ht="39" thickBot="1" x14ac:dyDescent="0.35">
      <c r="A392" s="13" t="s">
        <v>78</v>
      </c>
      <c r="B392" s="2">
        <v>26435</v>
      </c>
    </row>
    <row r="393" spans="1:6" ht="25.5" x14ac:dyDescent="0.3">
      <c r="A393" s="14" t="s">
        <v>79</v>
      </c>
      <c r="B393" s="2">
        <v>11585646.9</v>
      </c>
    </row>
    <row r="394" spans="1:6" ht="17.25" thickBot="1" x14ac:dyDescent="0.35"/>
    <row r="395" spans="1:6" ht="33" customHeight="1" x14ac:dyDescent="0.3">
      <c r="A395" s="24" t="s">
        <v>80</v>
      </c>
      <c r="B395" s="26"/>
    </row>
    <row r="396" spans="1:6" ht="33.75" thickBot="1" x14ac:dyDescent="0.35">
      <c r="A396" s="13" t="s">
        <v>81</v>
      </c>
      <c r="B396" s="2" t="s">
        <v>82</v>
      </c>
    </row>
    <row r="397" spans="1:6" ht="25.5" x14ac:dyDescent="0.3">
      <c r="A397" s="14" t="s">
        <v>83</v>
      </c>
      <c r="B397" s="2" t="s">
        <v>84</v>
      </c>
    </row>
    <row r="398" spans="1:6" ht="17.25" thickBot="1" x14ac:dyDescent="0.35"/>
    <row r="399" spans="1:6" ht="16.5" customHeight="1" x14ac:dyDescent="0.3">
      <c r="A399" s="24" t="s">
        <v>130</v>
      </c>
      <c r="B399" s="26"/>
      <c r="C399" s="26"/>
      <c r="D399" s="26"/>
      <c r="E399" s="26"/>
      <c r="F399" s="26"/>
    </row>
    <row r="400" spans="1:6" x14ac:dyDescent="0.3">
      <c r="A400" s="25" t="s">
        <v>131</v>
      </c>
      <c r="B400" s="27" t="s">
        <v>46</v>
      </c>
      <c r="C400" s="27" t="s">
        <v>132</v>
      </c>
      <c r="D400" s="3" t="s">
        <v>133</v>
      </c>
      <c r="E400" s="27" t="s">
        <v>135</v>
      </c>
      <c r="F400" s="27"/>
    </row>
    <row r="401" spans="1:9" x14ac:dyDescent="0.3">
      <c r="A401" s="25"/>
      <c r="B401" s="27"/>
      <c r="C401" s="27"/>
      <c r="D401" s="3" t="s">
        <v>134</v>
      </c>
      <c r="E401" s="27"/>
      <c r="F401" s="27"/>
    </row>
    <row r="402" spans="1:9" ht="17.25" thickBot="1" x14ac:dyDescent="0.35">
      <c r="A402" s="13" t="s">
        <v>66</v>
      </c>
      <c r="B402" s="2">
        <v>26435</v>
      </c>
      <c r="C402" s="2">
        <v>8.3386069999999997</v>
      </c>
      <c r="D402" s="2">
        <v>4.6039999999999996E-3</v>
      </c>
      <c r="E402" s="2">
        <v>8.3295785000000002</v>
      </c>
      <c r="F402" s="2">
        <v>8.3476345999999992</v>
      </c>
      <c r="H402" s="8" t="str">
        <f t="shared" ref="H402:H405" si="16">TEXT(C402,"0.00")&amp;" ("&amp;TEXT(E402,"0.00")&amp;" to "&amp;TEXT(F402,"0.00")&amp;")"</f>
        <v>8.34 (8.33 to 8.35)</v>
      </c>
      <c r="I402" t="s">
        <v>24</v>
      </c>
    </row>
    <row r="403" spans="1:9" ht="17.25" thickBot="1" x14ac:dyDescent="0.35">
      <c r="A403" s="13" t="s">
        <v>67</v>
      </c>
      <c r="B403" s="2">
        <v>26435</v>
      </c>
      <c r="C403" s="2">
        <v>0.63842600000000005</v>
      </c>
      <c r="D403" s="2">
        <v>5.8600000000000004E-4</v>
      </c>
      <c r="E403" s="2">
        <v>0.63727739999999999</v>
      </c>
      <c r="F403" s="2">
        <v>0.63957529999999996</v>
      </c>
      <c r="H403" s="8" t="str">
        <f t="shared" si="16"/>
        <v>0.64 (0.64 to 0.64)</v>
      </c>
      <c r="I403" t="s">
        <v>24</v>
      </c>
    </row>
    <row r="404" spans="1:9" ht="17.25" thickBot="1" x14ac:dyDescent="0.35">
      <c r="A404" s="13" t="s">
        <v>68</v>
      </c>
      <c r="B404" s="2">
        <v>26435</v>
      </c>
      <c r="C404" s="2">
        <v>0.22428799999999999</v>
      </c>
      <c r="D404" s="2">
        <v>2.2590000000000002E-3</v>
      </c>
      <c r="E404" s="2">
        <v>0.219858</v>
      </c>
      <c r="F404" s="2">
        <v>0.2287188</v>
      </c>
      <c r="H404" s="8" t="str">
        <f t="shared" si="16"/>
        <v>0.22 (0.22 to 0.23)</v>
      </c>
      <c r="I404" t="s">
        <v>24</v>
      </c>
    </row>
    <row r="405" spans="1:9" x14ac:dyDescent="0.3">
      <c r="A405" s="14" t="s">
        <v>69</v>
      </c>
      <c r="B405" s="2">
        <v>26435</v>
      </c>
      <c r="C405" s="2">
        <v>30.15371</v>
      </c>
      <c r="D405" s="2">
        <v>2.6755000000000001E-2</v>
      </c>
      <c r="E405" s="2">
        <v>30.101248999999999</v>
      </c>
      <c r="F405" s="2">
        <v>30.2061703</v>
      </c>
      <c r="H405" s="8" t="str">
        <f t="shared" si="16"/>
        <v>30.15 (30.10 to 30.21)</v>
      </c>
      <c r="I405" t="s">
        <v>24</v>
      </c>
    </row>
    <row r="406" spans="1:9" x14ac:dyDescent="0.3">
      <c r="I406" t="s">
        <v>24</v>
      </c>
    </row>
    <row r="409" spans="1:9" x14ac:dyDescent="0.3">
      <c r="A409" s="1" t="s">
        <v>129</v>
      </c>
    </row>
    <row r="411" spans="1:9" x14ac:dyDescent="0.3">
      <c r="A411" s="1" t="s">
        <v>411</v>
      </c>
    </row>
    <row r="412" spans="1:9" ht="17.25" thickBot="1" x14ac:dyDescent="0.35"/>
    <row r="413" spans="1:9" ht="16.5" customHeight="1" x14ac:dyDescent="0.3">
      <c r="A413" s="24" t="s">
        <v>75</v>
      </c>
      <c r="B413" s="26"/>
    </row>
    <row r="414" spans="1:9" ht="26.25" thickBot="1" x14ac:dyDescent="0.35">
      <c r="A414" s="13" t="s">
        <v>76</v>
      </c>
      <c r="B414" s="2">
        <v>183</v>
      </c>
    </row>
    <row r="415" spans="1:9" ht="26.25" thickBot="1" x14ac:dyDescent="0.35">
      <c r="A415" s="13" t="s">
        <v>77</v>
      </c>
      <c r="B415" s="2">
        <v>2951</v>
      </c>
    </row>
    <row r="416" spans="1:9" ht="39" thickBot="1" x14ac:dyDescent="0.35">
      <c r="A416" s="13" t="s">
        <v>78</v>
      </c>
      <c r="B416" s="2">
        <v>16265</v>
      </c>
    </row>
    <row r="417" spans="1:9" ht="25.5" x14ac:dyDescent="0.3">
      <c r="A417" s="14" t="s">
        <v>79</v>
      </c>
      <c r="B417" s="2">
        <v>7016830.1600000001</v>
      </c>
    </row>
    <row r="418" spans="1:9" ht="17.25" thickBot="1" x14ac:dyDescent="0.35"/>
    <row r="419" spans="1:9" ht="33" customHeight="1" x14ac:dyDescent="0.3">
      <c r="A419" s="24" t="s">
        <v>80</v>
      </c>
      <c r="B419" s="26"/>
    </row>
    <row r="420" spans="1:9" ht="33.75" thickBot="1" x14ac:dyDescent="0.35">
      <c r="A420" s="13" t="s">
        <v>81</v>
      </c>
      <c r="B420" s="2" t="s">
        <v>82</v>
      </c>
    </row>
    <row r="421" spans="1:9" ht="25.5" x14ac:dyDescent="0.3">
      <c r="A421" s="14" t="s">
        <v>83</v>
      </c>
      <c r="B421" s="2" t="s">
        <v>84</v>
      </c>
    </row>
    <row r="422" spans="1:9" ht="17.25" thickBot="1" x14ac:dyDescent="0.35"/>
    <row r="423" spans="1:9" ht="16.5" customHeight="1" x14ac:dyDescent="0.3">
      <c r="A423" s="24" t="s">
        <v>130</v>
      </c>
      <c r="B423" s="26"/>
      <c r="C423" s="26"/>
      <c r="D423" s="26"/>
      <c r="E423" s="26"/>
      <c r="F423" s="26"/>
    </row>
    <row r="424" spans="1:9" x14ac:dyDescent="0.3">
      <c r="A424" s="25" t="s">
        <v>131</v>
      </c>
      <c r="B424" s="27" t="s">
        <v>46</v>
      </c>
      <c r="C424" s="27" t="s">
        <v>132</v>
      </c>
      <c r="D424" s="3" t="s">
        <v>133</v>
      </c>
      <c r="E424" s="27" t="s">
        <v>135</v>
      </c>
      <c r="F424" s="27"/>
    </row>
    <row r="425" spans="1:9" x14ac:dyDescent="0.3">
      <c r="A425" s="25"/>
      <c r="B425" s="27"/>
      <c r="C425" s="27"/>
      <c r="D425" s="3" t="s">
        <v>134</v>
      </c>
      <c r="E425" s="27"/>
      <c r="F425" s="27"/>
    </row>
    <row r="426" spans="1:9" ht="17.25" thickBot="1" x14ac:dyDescent="0.35">
      <c r="A426" s="13" t="s">
        <v>66</v>
      </c>
      <c r="B426" s="2">
        <v>16265</v>
      </c>
      <c r="C426" s="2">
        <v>8.6380339999999993</v>
      </c>
      <c r="D426" s="2">
        <v>6.2490000000000002E-3</v>
      </c>
      <c r="E426" s="2">
        <v>8.6257809000000005</v>
      </c>
      <c r="F426" s="2">
        <v>8.6502862999999994</v>
      </c>
      <c r="H426" s="8" t="str">
        <f t="shared" ref="H426:H429" si="17">TEXT(C426,"0.00")&amp;" ("&amp;TEXT(E426,"0.00")&amp;" to "&amp;TEXT(F426,"0.00")&amp;")"</f>
        <v>8.64 (8.63 to 8.65)</v>
      </c>
      <c r="I426" t="s">
        <v>24</v>
      </c>
    </row>
    <row r="427" spans="1:9" ht="17.25" thickBot="1" x14ac:dyDescent="0.35">
      <c r="A427" s="13" t="s">
        <v>67</v>
      </c>
      <c r="B427" s="2">
        <v>16265</v>
      </c>
      <c r="C427" s="2">
        <v>0.67199799999999998</v>
      </c>
      <c r="D427" s="2">
        <v>7.2800000000000002E-4</v>
      </c>
      <c r="E427" s="2">
        <v>0.67056990000000005</v>
      </c>
      <c r="F427" s="2">
        <v>0.67342610000000003</v>
      </c>
      <c r="H427" s="8" t="str">
        <f t="shared" si="17"/>
        <v>0.67 (0.67 to 0.67)</v>
      </c>
      <c r="I427" t="s">
        <v>24</v>
      </c>
    </row>
    <row r="428" spans="1:9" ht="17.25" thickBot="1" x14ac:dyDescent="0.35">
      <c r="A428" s="13" t="s">
        <v>68</v>
      </c>
      <c r="B428" s="2">
        <v>16265</v>
      </c>
      <c r="C428" s="2">
        <v>0.37664999999999998</v>
      </c>
      <c r="D428" s="2">
        <v>3.0179999999999998E-3</v>
      </c>
      <c r="E428" s="2">
        <v>0.3707317</v>
      </c>
      <c r="F428" s="2">
        <v>0.38256760000000001</v>
      </c>
      <c r="H428" s="8" t="str">
        <f t="shared" si="17"/>
        <v>0.38 (0.37 to 0.38)</v>
      </c>
      <c r="I428" t="s">
        <v>24</v>
      </c>
    </row>
    <row r="429" spans="1:9" x14ac:dyDescent="0.3">
      <c r="A429" s="14" t="s">
        <v>69</v>
      </c>
      <c r="B429" s="2">
        <v>16265</v>
      </c>
      <c r="C429" s="2">
        <v>35.846054000000002</v>
      </c>
      <c r="D429" s="2">
        <v>3.4001000000000003E-2</v>
      </c>
      <c r="E429" s="2">
        <v>35.7793846</v>
      </c>
      <c r="F429" s="2">
        <v>35.912723300000003</v>
      </c>
      <c r="H429" s="8" t="str">
        <f t="shared" si="17"/>
        <v>35.85 (35.78 to 35.91)</v>
      </c>
      <c r="I429" t="s">
        <v>24</v>
      </c>
    </row>
    <row r="430" spans="1:9" x14ac:dyDescent="0.3">
      <c r="I430" t="s">
        <v>24</v>
      </c>
    </row>
    <row r="433" spans="1:6" x14ac:dyDescent="0.3">
      <c r="A433" s="1" t="s">
        <v>129</v>
      </c>
    </row>
    <row r="435" spans="1:6" x14ac:dyDescent="0.3">
      <c r="A435" s="1" t="s">
        <v>412</v>
      </c>
    </row>
    <row r="436" spans="1:6" ht="17.25" thickBot="1" x14ac:dyDescent="0.35"/>
    <row r="437" spans="1:6" ht="16.5" customHeight="1" x14ac:dyDescent="0.3">
      <c r="A437" s="24" t="s">
        <v>75</v>
      </c>
      <c r="B437" s="26"/>
    </row>
    <row r="438" spans="1:6" ht="26.25" thickBot="1" x14ac:dyDescent="0.35">
      <c r="A438" s="13" t="s">
        <v>76</v>
      </c>
      <c r="B438" s="2">
        <v>183</v>
      </c>
    </row>
    <row r="439" spans="1:6" ht="26.25" thickBot="1" x14ac:dyDescent="0.35">
      <c r="A439" s="13" t="s">
        <v>77</v>
      </c>
      <c r="B439" s="2">
        <v>2974</v>
      </c>
    </row>
    <row r="440" spans="1:6" ht="39" thickBot="1" x14ac:dyDescent="0.35">
      <c r="A440" s="13" t="s">
        <v>78</v>
      </c>
      <c r="B440" s="2">
        <v>23158</v>
      </c>
    </row>
    <row r="441" spans="1:6" ht="25.5" x14ac:dyDescent="0.3">
      <c r="A441" s="14" t="s">
        <v>79</v>
      </c>
      <c r="B441" s="2">
        <v>10353266.1</v>
      </c>
    </row>
    <row r="442" spans="1:6" ht="17.25" thickBot="1" x14ac:dyDescent="0.35"/>
    <row r="443" spans="1:6" ht="33" customHeight="1" x14ac:dyDescent="0.3">
      <c r="A443" s="24" t="s">
        <v>80</v>
      </c>
      <c r="B443" s="26"/>
    </row>
    <row r="444" spans="1:6" ht="33.75" thickBot="1" x14ac:dyDescent="0.35">
      <c r="A444" s="13" t="s">
        <v>81</v>
      </c>
      <c r="B444" s="2" t="s">
        <v>82</v>
      </c>
    </row>
    <row r="445" spans="1:6" ht="25.5" x14ac:dyDescent="0.3">
      <c r="A445" s="14" t="s">
        <v>83</v>
      </c>
      <c r="B445" s="2" t="s">
        <v>84</v>
      </c>
    </row>
    <row r="446" spans="1:6" ht="17.25" thickBot="1" x14ac:dyDescent="0.35"/>
    <row r="447" spans="1:6" ht="16.5" customHeight="1" x14ac:dyDescent="0.3">
      <c r="A447" s="24" t="s">
        <v>130</v>
      </c>
      <c r="B447" s="26"/>
      <c r="C447" s="26"/>
      <c r="D447" s="26"/>
      <c r="E447" s="26"/>
      <c r="F447" s="26"/>
    </row>
    <row r="448" spans="1:6" x14ac:dyDescent="0.3">
      <c r="A448" s="25" t="s">
        <v>131</v>
      </c>
      <c r="B448" s="27" t="s">
        <v>46</v>
      </c>
      <c r="C448" s="27" t="s">
        <v>132</v>
      </c>
      <c r="D448" s="3" t="s">
        <v>133</v>
      </c>
      <c r="E448" s="27" t="s">
        <v>135</v>
      </c>
      <c r="F448" s="27"/>
    </row>
    <row r="449" spans="1:9" x14ac:dyDescent="0.3">
      <c r="A449" s="25"/>
      <c r="B449" s="27"/>
      <c r="C449" s="27"/>
      <c r="D449" s="3" t="s">
        <v>134</v>
      </c>
      <c r="E449" s="27"/>
      <c r="F449" s="27"/>
    </row>
    <row r="450" spans="1:9" ht="17.25" thickBot="1" x14ac:dyDescent="0.35">
      <c r="A450" s="13" t="s">
        <v>66</v>
      </c>
      <c r="B450" s="2">
        <v>23158</v>
      </c>
      <c r="C450" s="2">
        <v>8.881653</v>
      </c>
      <c r="D450" s="2">
        <v>5.215E-3</v>
      </c>
      <c r="E450" s="2">
        <v>8.8714270000000006</v>
      </c>
      <c r="F450" s="2">
        <v>8.8918794000000005</v>
      </c>
      <c r="H450" s="8" t="str">
        <f t="shared" ref="H450:H453" si="18">TEXT(C450,"0.00")&amp;" ("&amp;TEXT(E450,"0.00")&amp;" to "&amp;TEXT(F450,"0.00")&amp;")"</f>
        <v>8.88 (8.87 to 8.89)</v>
      </c>
      <c r="I450" t="s">
        <v>24</v>
      </c>
    </row>
    <row r="451" spans="1:9" ht="17.25" thickBot="1" x14ac:dyDescent="0.35">
      <c r="A451" s="13" t="s">
        <v>67</v>
      </c>
      <c r="B451" s="2">
        <v>23158</v>
      </c>
      <c r="C451" s="2">
        <v>0.69318599999999997</v>
      </c>
      <c r="D451" s="2">
        <v>5.8100000000000003E-4</v>
      </c>
      <c r="E451" s="2">
        <v>0.6920461</v>
      </c>
      <c r="F451" s="2">
        <v>0.694326</v>
      </c>
      <c r="H451" s="8" t="str">
        <f t="shared" si="18"/>
        <v>0.69 (0.69 to 0.69)</v>
      </c>
      <c r="I451" t="s">
        <v>24</v>
      </c>
    </row>
    <row r="452" spans="1:9" ht="17.25" thickBot="1" x14ac:dyDescent="0.35">
      <c r="A452" s="13" t="s">
        <v>68</v>
      </c>
      <c r="B452" s="2">
        <v>23158</v>
      </c>
      <c r="C452" s="2">
        <v>0.49085000000000001</v>
      </c>
      <c r="D452" s="2">
        <v>2.4740000000000001E-3</v>
      </c>
      <c r="E452" s="2">
        <v>0.48599969999999998</v>
      </c>
      <c r="F452" s="2">
        <v>0.49569990000000003</v>
      </c>
      <c r="H452" s="8" t="str">
        <f t="shared" si="18"/>
        <v>0.49 (0.49 to 0.50)</v>
      </c>
      <c r="I452" t="s">
        <v>24</v>
      </c>
    </row>
    <row r="453" spans="1:9" x14ac:dyDescent="0.3">
      <c r="A453" s="14" t="s">
        <v>69</v>
      </c>
      <c r="B453" s="2">
        <v>23158</v>
      </c>
      <c r="C453" s="2">
        <v>42.985622999999997</v>
      </c>
      <c r="D453" s="2">
        <v>5.0431999999999998E-2</v>
      </c>
      <c r="E453" s="2">
        <v>42.8867349</v>
      </c>
      <c r="F453" s="2">
        <v>43.084511999999997</v>
      </c>
      <c r="H453" s="8" t="str">
        <f t="shared" si="18"/>
        <v>42.99 (42.89 to 43.08)</v>
      </c>
      <c r="I453" t="s">
        <v>24</v>
      </c>
    </row>
    <row r="454" spans="1:9" x14ac:dyDescent="0.3">
      <c r="I454" t="s">
        <v>24</v>
      </c>
    </row>
    <row r="457" spans="1:9" x14ac:dyDescent="0.3">
      <c r="A457" s="1" t="s">
        <v>129</v>
      </c>
    </row>
    <row r="459" spans="1:9" x14ac:dyDescent="0.3">
      <c r="A459" s="1" t="s">
        <v>413</v>
      </c>
    </row>
    <row r="460" spans="1:9" ht="17.25" thickBot="1" x14ac:dyDescent="0.35"/>
    <row r="461" spans="1:9" ht="16.5" customHeight="1" x14ac:dyDescent="0.3">
      <c r="A461" s="24" t="s">
        <v>75</v>
      </c>
      <c r="B461" s="26"/>
    </row>
    <row r="462" spans="1:9" ht="26.25" thickBot="1" x14ac:dyDescent="0.35">
      <c r="A462" s="13" t="s">
        <v>76</v>
      </c>
      <c r="B462" s="2">
        <v>183</v>
      </c>
    </row>
    <row r="463" spans="1:9" ht="26.25" thickBot="1" x14ac:dyDescent="0.35">
      <c r="A463" s="13" t="s">
        <v>77</v>
      </c>
      <c r="B463" s="2">
        <v>2979</v>
      </c>
    </row>
    <row r="464" spans="1:9" ht="39" thickBot="1" x14ac:dyDescent="0.35">
      <c r="A464" s="13" t="s">
        <v>78</v>
      </c>
      <c r="B464" s="2">
        <v>56814</v>
      </c>
    </row>
    <row r="465" spans="1:9" ht="25.5" x14ac:dyDescent="0.3">
      <c r="A465" s="14" t="s">
        <v>79</v>
      </c>
      <c r="B465" s="2">
        <v>22898766.100000001</v>
      </c>
    </row>
    <row r="466" spans="1:9" ht="17.25" thickBot="1" x14ac:dyDescent="0.35"/>
    <row r="467" spans="1:9" ht="33" customHeight="1" x14ac:dyDescent="0.3">
      <c r="A467" s="24" t="s">
        <v>80</v>
      </c>
      <c r="B467" s="26"/>
    </row>
    <row r="468" spans="1:9" ht="33.75" thickBot="1" x14ac:dyDescent="0.35">
      <c r="A468" s="13" t="s">
        <v>81</v>
      </c>
      <c r="B468" s="2" t="s">
        <v>82</v>
      </c>
    </row>
    <row r="469" spans="1:9" ht="25.5" x14ac:dyDescent="0.3">
      <c r="A469" s="14" t="s">
        <v>83</v>
      </c>
      <c r="B469" s="2" t="s">
        <v>84</v>
      </c>
    </row>
    <row r="470" spans="1:9" ht="17.25" thickBot="1" x14ac:dyDescent="0.35"/>
    <row r="471" spans="1:9" ht="16.5" customHeight="1" x14ac:dyDescent="0.3">
      <c r="A471" s="24" t="s">
        <v>130</v>
      </c>
      <c r="B471" s="26"/>
      <c r="C471" s="26"/>
      <c r="D471" s="26"/>
      <c r="E471" s="26"/>
      <c r="F471" s="26"/>
    </row>
    <row r="472" spans="1:9" x14ac:dyDescent="0.3">
      <c r="A472" s="25" t="s">
        <v>131</v>
      </c>
      <c r="B472" s="27" t="s">
        <v>46</v>
      </c>
      <c r="C472" s="27" t="s">
        <v>132</v>
      </c>
      <c r="D472" s="3" t="s">
        <v>133</v>
      </c>
      <c r="E472" s="27" t="s">
        <v>135</v>
      </c>
      <c r="F472" s="27"/>
    </row>
    <row r="473" spans="1:9" x14ac:dyDescent="0.3">
      <c r="A473" s="25"/>
      <c r="B473" s="27"/>
      <c r="C473" s="27"/>
      <c r="D473" s="3" t="s">
        <v>134</v>
      </c>
      <c r="E473" s="27"/>
      <c r="F473" s="27"/>
    </row>
    <row r="474" spans="1:9" ht="17.25" thickBot="1" x14ac:dyDescent="0.35">
      <c r="A474" s="13" t="s">
        <v>66</v>
      </c>
      <c r="B474" s="2">
        <v>56814</v>
      </c>
      <c r="C474" s="2">
        <v>8.6521050000000006</v>
      </c>
      <c r="D474" s="2">
        <v>3.565E-3</v>
      </c>
      <c r="E474" s="2">
        <v>8.6451148999999994</v>
      </c>
      <c r="F474" s="2">
        <v>8.6590957</v>
      </c>
      <c r="H474" s="8" t="str">
        <f t="shared" ref="H474:H477" si="19">TEXT(C474,"0.00")&amp;" ("&amp;TEXT(E474,"0.00")&amp;" to "&amp;TEXT(F474,"0.00")&amp;")"</f>
        <v>8.65 (8.65 to 8.66)</v>
      </c>
      <c r="I474" t="s">
        <v>24</v>
      </c>
    </row>
    <row r="475" spans="1:9" ht="17.25" thickBot="1" x14ac:dyDescent="0.35">
      <c r="A475" s="13" t="s">
        <v>67</v>
      </c>
      <c r="B475" s="2">
        <v>56814</v>
      </c>
      <c r="C475" s="2">
        <v>0.67569699999999999</v>
      </c>
      <c r="D475" s="2">
        <v>4.4799999999999999E-4</v>
      </c>
      <c r="E475" s="2">
        <v>0.67481840000000004</v>
      </c>
      <c r="F475" s="2">
        <v>0.67657619999999996</v>
      </c>
      <c r="H475" s="8" t="str">
        <f t="shared" si="19"/>
        <v>0.68 (0.67 to 0.68)</v>
      </c>
      <c r="I475" t="s">
        <v>24</v>
      </c>
    </row>
    <row r="476" spans="1:9" ht="17.25" thickBot="1" x14ac:dyDescent="0.35">
      <c r="A476" s="13" t="s">
        <v>68</v>
      </c>
      <c r="B476" s="2">
        <v>56814</v>
      </c>
      <c r="C476" s="2">
        <v>0.37124400000000002</v>
      </c>
      <c r="D476" s="2">
        <v>1.719E-3</v>
      </c>
      <c r="E476" s="2">
        <v>0.36787409999999998</v>
      </c>
      <c r="F476" s="2">
        <v>0.37461440000000001</v>
      </c>
      <c r="H476" s="8" t="str">
        <f t="shared" si="19"/>
        <v>0.37 (0.37 to 0.37)</v>
      </c>
      <c r="I476" t="s">
        <v>24</v>
      </c>
    </row>
    <row r="477" spans="1:9" x14ac:dyDescent="0.3">
      <c r="A477" s="14" t="s">
        <v>69</v>
      </c>
      <c r="B477" s="2">
        <v>56814</v>
      </c>
      <c r="C477" s="2">
        <v>36.129204000000001</v>
      </c>
      <c r="D477" s="2">
        <v>3.832E-2</v>
      </c>
      <c r="E477" s="2">
        <v>36.054066300000002</v>
      </c>
      <c r="F477" s="2">
        <v>36.204341700000001</v>
      </c>
      <c r="H477" s="8" t="str">
        <f t="shared" si="19"/>
        <v>36.13 (36.05 to 36.20)</v>
      </c>
      <c r="I477" t="s">
        <v>24</v>
      </c>
    </row>
    <row r="478" spans="1:9" x14ac:dyDescent="0.3">
      <c r="I478" t="s">
        <v>24</v>
      </c>
    </row>
    <row r="481" spans="1:6" x14ac:dyDescent="0.3">
      <c r="A481" s="1" t="s">
        <v>129</v>
      </c>
    </row>
    <row r="483" spans="1:6" x14ac:dyDescent="0.3">
      <c r="A483" s="1" t="s">
        <v>414</v>
      </c>
    </row>
    <row r="484" spans="1:6" ht="17.25" thickBot="1" x14ac:dyDescent="0.35"/>
    <row r="485" spans="1:6" ht="16.5" customHeight="1" x14ac:dyDescent="0.3">
      <c r="A485" s="24" t="s">
        <v>75</v>
      </c>
      <c r="B485" s="26"/>
    </row>
    <row r="486" spans="1:6" ht="26.25" thickBot="1" x14ac:dyDescent="0.35">
      <c r="A486" s="13" t="s">
        <v>76</v>
      </c>
      <c r="B486" s="2">
        <v>183</v>
      </c>
    </row>
    <row r="487" spans="1:6" ht="26.25" thickBot="1" x14ac:dyDescent="0.35">
      <c r="A487" s="13" t="s">
        <v>77</v>
      </c>
      <c r="B487" s="2">
        <v>2750</v>
      </c>
    </row>
    <row r="488" spans="1:6" ht="39" thickBot="1" x14ac:dyDescent="0.35">
      <c r="A488" s="13" t="s">
        <v>78</v>
      </c>
      <c r="B488" s="2">
        <v>11821</v>
      </c>
    </row>
    <row r="489" spans="1:6" ht="25.5" x14ac:dyDescent="0.3">
      <c r="A489" s="14" t="s">
        <v>79</v>
      </c>
      <c r="B489" s="2">
        <v>7353169.5800000001</v>
      </c>
    </row>
    <row r="490" spans="1:6" ht="17.25" thickBot="1" x14ac:dyDescent="0.35"/>
    <row r="491" spans="1:6" ht="33" customHeight="1" x14ac:dyDescent="0.3">
      <c r="A491" s="24" t="s">
        <v>80</v>
      </c>
      <c r="B491" s="26"/>
    </row>
    <row r="492" spans="1:6" ht="33.75" thickBot="1" x14ac:dyDescent="0.35">
      <c r="A492" s="13" t="s">
        <v>81</v>
      </c>
      <c r="B492" s="2" t="s">
        <v>82</v>
      </c>
    </row>
    <row r="493" spans="1:6" ht="25.5" x14ac:dyDescent="0.3">
      <c r="A493" s="14" t="s">
        <v>83</v>
      </c>
      <c r="B493" s="2" t="s">
        <v>84</v>
      </c>
    </row>
    <row r="494" spans="1:6" ht="17.25" thickBot="1" x14ac:dyDescent="0.35"/>
    <row r="495" spans="1:6" ht="16.5" customHeight="1" x14ac:dyDescent="0.3">
      <c r="A495" s="24" t="s">
        <v>130</v>
      </c>
      <c r="B495" s="26"/>
      <c r="C495" s="26"/>
      <c r="D495" s="26"/>
      <c r="E495" s="26"/>
      <c r="F495" s="26"/>
    </row>
    <row r="496" spans="1:6" x14ac:dyDescent="0.3">
      <c r="A496" s="25" t="s">
        <v>131</v>
      </c>
      <c r="B496" s="27" t="s">
        <v>46</v>
      </c>
      <c r="C496" s="27" t="s">
        <v>132</v>
      </c>
      <c r="D496" s="3" t="s">
        <v>133</v>
      </c>
      <c r="E496" s="27" t="s">
        <v>135</v>
      </c>
      <c r="F496" s="27"/>
    </row>
    <row r="497" spans="1:9" x14ac:dyDescent="0.3">
      <c r="A497" s="25"/>
      <c r="B497" s="27"/>
      <c r="C497" s="27"/>
      <c r="D497" s="3" t="s">
        <v>134</v>
      </c>
      <c r="E497" s="27"/>
      <c r="F497" s="27"/>
    </row>
    <row r="498" spans="1:9" ht="17.25" thickBot="1" x14ac:dyDescent="0.35">
      <c r="A498" s="13" t="s">
        <v>66</v>
      </c>
      <c r="B498" s="2">
        <v>11821</v>
      </c>
      <c r="C498" s="2">
        <v>8.3667960000000008</v>
      </c>
      <c r="D498" s="2">
        <v>7.2379999999999996E-3</v>
      </c>
      <c r="E498" s="2">
        <v>8.3526036000000001</v>
      </c>
      <c r="F498" s="2">
        <v>8.3809878999999992</v>
      </c>
      <c r="H498" s="8" t="str">
        <f t="shared" ref="H498:H501" si="20">TEXT(C498,"0.00")&amp;" ("&amp;TEXT(E498,"0.00")&amp;" to "&amp;TEXT(F498,"0.00")&amp;")"</f>
        <v>8.37 (8.35 to 8.38)</v>
      </c>
      <c r="I498" t="s">
        <v>24</v>
      </c>
    </row>
    <row r="499" spans="1:9" ht="17.25" thickBot="1" x14ac:dyDescent="0.35">
      <c r="A499" s="13" t="s">
        <v>67</v>
      </c>
      <c r="B499" s="2">
        <v>11821</v>
      </c>
      <c r="C499" s="2">
        <v>0.62637500000000002</v>
      </c>
      <c r="D499" s="2">
        <v>7.76E-4</v>
      </c>
      <c r="E499" s="2">
        <v>0.62485389999999996</v>
      </c>
      <c r="F499" s="2">
        <v>0.62789550000000005</v>
      </c>
      <c r="H499" s="8" t="str">
        <f t="shared" si="20"/>
        <v>0.63 (0.62 to 0.63)</v>
      </c>
      <c r="I499" t="s">
        <v>24</v>
      </c>
    </row>
    <row r="500" spans="1:9" ht="17.25" thickBot="1" x14ac:dyDescent="0.35">
      <c r="A500" s="13" t="s">
        <v>68</v>
      </c>
      <c r="B500" s="2">
        <v>11821</v>
      </c>
      <c r="C500" s="2">
        <v>0.26424399999999998</v>
      </c>
      <c r="D500" s="2">
        <v>3.5539999999999999E-3</v>
      </c>
      <c r="E500" s="2">
        <v>0.25727450000000002</v>
      </c>
      <c r="F500" s="2">
        <v>0.27121279999999998</v>
      </c>
      <c r="H500" s="8" t="str">
        <f t="shared" si="20"/>
        <v>0.26 (0.26 to 0.27)</v>
      </c>
      <c r="I500" t="s">
        <v>24</v>
      </c>
    </row>
    <row r="501" spans="1:9" x14ac:dyDescent="0.3">
      <c r="A501" s="14" t="s">
        <v>69</v>
      </c>
      <c r="B501" s="2">
        <v>11821</v>
      </c>
      <c r="C501" s="2">
        <v>33.956501000000003</v>
      </c>
      <c r="D501" s="2">
        <v>9.4445000000000001E-2</v>
      </c>
      <c r="E501" s="2">
        <v>33.771304100000002</v>
      </c>
      <c r="F501" s="2">
        <v>34.141697299999997</v>
      </c>
      <c r="H501" s="8" t="str">
        <f t="shared" si="20"/>
        <v>33.96 (33.77 to 34.14)</v>
      </c>
      <c r="I501" t="s">
        <v>24</v>
      </c>
    </row>
    <row r="502" spans="1:9" x14ac:dyDescent="0.3">
      <c r="I502" t="s">
        <v>24</v>
      </c>
    </row>
    <row r="505" spans="1:9" x14ac:dyDescent="0.3">
      <c r="A505" s="1" t="s">
        <v>129</v>
      </c>
    </row>
    <row r="507" spans="1:9" x14ac:dyDescent="0.3">
      <c r="A507" s="1" t="s">
        <v>415</v>
      </c>
    </row>
    <row r="508" spans="1:9" ht="17.25" thickBot="1" x14ac:dyDescent="0.35"/>
    <row r="509" spans="1:9" ht="16.5" customHeight="1" x14ac:dyDescent="0.3">
      <c r="A509" s="24" t="s">
        <v>75</v>
      </c>
      <c r="B509" s="26"/>
    </row>
    <row r="510" spans="1:9" ht="26.25" thickBot="1" x14ac:dyDescent="0.35">
      <c r="A510" s="13" t="s">
        <v>76</v>
      </c>
      <c r="B510" s="2">
        <v>183</v>
      </c>
    </row>
    <row r="511" spans="1:9" ht="26.25" thickBot="1" x14ac:dyDescent="0.35">
      <c r="A511" s="13" t="s">
        <v>77</v>
      </c>
      <c r="B511" s="2">
        <v>2960</v>
      </c>
    </row>
    <row r="512" spans="1:9" ht="39" thickBot="1" x14ac:dyDescent="0.35">
      <c r="A512" s="13" t="s">
        <v>78</v>
      </c>
      <c r="B512" s="2">
        <v>22876</v>
      </c>
    </row>
    <row r="513" spans="1:9" ht="25.5" x14ac:dyDescent="0.3">
      <c r="A513" s="14" t="s">
        <v>79</v>
      </c>
      <c r="B513" s="2">
        <v>10423022.9</v>
      </c>
    </row>
    <row r="514" spans="1:9" ht="17.25" thickBot="1" x14ac:dyDescent="0.35"/>
    <row r="515" spans="1:9" ht="33" customHeight="1" x14ac:dyDescent="0.3">
      <c r="A515" s="24" t="s">
        <v>80</v>
      </c>
      <c r="B515" s="26"/>
    </row>
    <row r="516" spans="1:9" ht="33.75" thickBot="1" x14ac:dyDescent="0.35">
      <c r="A516" s="13" t="s">
        <v>81</v>
      </c>
      <c r="B516" s="2" t="s">
        <v>82</v>
      </c>
    </row>
    <row r="517" spans="1:9" ht="25.5" x14ac:dyDescent="0.3">
      <c r="A517" s="14" t="s">
        <v>83</v>
      </c>
      <c r="B517" s="2" t="s">
        <v>84</v>
      </c>
    </row>
    <row r="518" spans="1:9" ht="17.25" thickBot="1" x14ac:dyDescent="0.35"/>
    <row r="519" spans="1:9" ht="16.5" customHeight="1" x14ac:dyDescent="0.3">
      <c r="A519" s="24" t="s">
        <v>130</v>
      </c>
      <c r="B519" s="26"/>
      <c r="C519" s="26"/>
      <c r="D519" s="26"/>
      <c r="E519" s="26"/>
      <c r="F519" s="26"/>
    </row>
    <row r="520" spans="1:9" x14ac:dyDescent="0.3">
      <c r="A520" s="25" t="s">
        <v>131</v>
      </c>
      <c r="B520" s="27" t="s">
        <v>46</v>
      </c>
      <c r="C520" s="27" t="s">
        <v>132</v>
      </c>
      <c r="D520" s="3" t="s">
        <v>133</v>
      </c>
      <c r="E520" s="27" t="s">
        <v>135</v>
      </c>
      <c r="F520" s="27"/>
    </row>
    <row r="521" spans="1:9" x14ac:dyDescent="0.3">
      <c r="A521" s="25"/>
      <c r="B521" s="27"/>
      <c r="C521" s="27"/>
      <c r="D521" s="3" t="s">
        <v>134</v>
      </c>
      <c r="E521" s="27"/>
      <c r="F521" s="27"/>
    </row>
    <row r="522" spans="1:9" ht="17.25" thickBot="1" x14ac:dyDescent="0.35">
      <c r="A522" s="13" t="s">
        <v>66</v>
      </c>
      <c r="B522" s="2">
        <v>22876</v>
      </c>
      <c r="C522" s="2">
        <v>8.4887770000000007</v>
      </c>
      <c r="D522" s="2">
        <v>5.339E-3</v>
      </c>
      <c r="E522" s="2">
        <v>8.4783086000000001</v>
      </c>
      <c r="F522" s="2">
        <v>8.4992452000000007</v>
      </c>
      <c r="H522" s="8" t="str">
        <f t="shared" ref="H522:H525" si="21">TEXT(C522,"0.00")&amp;" ("&amp;TEXT(E522,"0.00")&amp;" to "&amp;TEXT(F522,"0.00")&amp;")"</f>
        <v>8.49 (8.48 to 8.50)</v>
      </c>
      <c r="I522" t="s">
        <v>24</v>
      </c>
    </row>
    <row r="523" spans="1:9" ht="17.25" thickBot="1" x14ac:dyDescent="0.35">
      <c r="A523" s="13" t="s">
        <v>67</v>
      </c>
      <c r="B523" s="2">
        <v>22876</v>
      </c>
      <c r="C523" s="2">
        <v>0.649501</v>
      </c>
      <c r="D523" s="2">
        <v>6.2E-4</v>
      </c>
      <c r="E523" s="2">
        <v>0.64828470000000005</v>
      </c>
      <c r="F523" s="2">
        <v>0.65071769999999995</v>
      </c>
      <c r="H523" s="8" t="str">
        <f t="shared" si="21"/>
        <v>0.65 (0.65 to 0.65)</v>
      </c>
      <c r="I523" t="s">
        <v>24</v>
      </c>
    </row>
    <row r="524" spans="1:9" ht="17.25" thickBot="1" x14ac:dyDescent="0.35">
      <c r="A524" s="13" t="s">
        <v>68</v>
      </c>
      <c r="B524" s="2">
        <v>22876</v>
      </c>
      <c r="C524" s="2">
        <v>0.30809999999999998</v>
      </c>
      <c r="D524" s="2">
        <v>2.6580000000000002E-3</v>
      </c>
      <c r="E524" s="2">
        <v>0.30288920000000003</v>
      </c>
      <c r="F524" s="2">
        <v>0.31331110000000001</v>
      </c>
      <c r="H524" s="8" t="str">
        <f t="shared" si="21"/>
        <v>0.31 (0.30 to 0.31)</v>
      </c>
      <c r="I524" t="s">
        <v>24</v>
      </c>
    </row>
    <row r="525" spans="1:9" x14ac:dyDescent="0.3">
      <c r="A525" s="14" t="s">
        <v>69</v>
      </c>
      <c r="B525" s="2">
        <v>22876</v>
      </c>
      <c r="C525" s="2">
        <v>34.755394000000003</v>
      </c>
      <c r="D525" s="2">
        <v>5.8764999999999998E-2</v>
      </c>
      <c r="E525" s="2">
        <v>34.640166000000001</v>
      </c>
      <c r="F525" s="2">
        <v>34.870621900000003</v>
      </c>
      <c r="H525" s="8" t="str">
        <f t="shared" si="21"/>
        <v>34.76 (34.64 to 34.87)</v>
      </c>
      <c r="I525" t="s">
        <v>24</v>
      </c>
    </row>
    <row r="526" spans="1:9" x14ac:dyDescent="0.3">
      <c r="I526" t="s">
        <v>24</v>
      </c>
    </row>
    <row r="529" spans="1:6" x14ac:dyDescent="0.3">
      <c r="A529" s="1" t="s">
        <v>129</v>
      </c>
    </row>
    <row r="531" spans="1:6" x14ac:dyDescent="0.3">
      <c r="A531" s="1" t="s">
        <v>416</v>
      </c>
    </row>
    <row r="532" spans="1:6" ht="17.25" thickBot="1" x14ac:dyDescent="0.35"/>
    <row r="533" spans="1:6" ht="16.5" customHeight="1" x14ac:dyDescent="0.3">
      <c r="A533" s="24" t="s">
        <v>75</v>
      </c>
      <c r="B533" s="26"/>
    </row>
    <row r="534" spans="1:6" ht="26.25" thickBot="1" x14ac:dyDescent="0.35">
      <c r="A534" s="13" t="s">
        <v>76</v>
      </c>
      <c r="B534" s="2">
        <v>183</v>
      </c>
    </row>
    <row r="535" spans="1:6" ht="26.25" thickBot="1" x14ac:dyDescent="0.35">
      <c r="A535" s="13" t="s">
        <v>77</v>
      </c>
      <c r="B535" s="2">
        <v>2965</v>
      </c>
    </row>
    <row r="536" spans="1:6" ht="39" thickBot="1" x14ac:dyDescent="0.35">
      <c r="A536" s="13" t="s">
        <v>78</v>
      </c>
      <c r="B536" s="2">
        <v>33210</v>
      </c>
    </row>
    <row r="537" spans="1:6" ht="25.5" x14ac:dyDescent="0.3">
      <c r="A537" s="14" t="s">
        <v>79</v>
      </c>
      <c r="B537" s="2">
        <v>14887575.800000001</v>
      </c>
    </row>
    <row r="538" spans="1:6" ht="17.25" thickBot="1" x14ac:dyDescent="0.35"/>
    <row r="539" spans="1:6" ht="33" customHeight="1" x14ac:dyDescent="0.3">
      <c r="A539" s="24" t="s">
        <v>80</v>
      </c>
      <c r="B539" s="26"/>
    </row>
    <row r="540" spans="1:6" ht="33.75" thickBot="1" x14ac:dyDescent="0.35">
      <c r="A540" s="13" t="s">
        <v>81</v>
      </c>
      <c r="B540" s="2" t="s">
        <v>82</v>
      </c>
    </row>
    <row r="541" spans="1:6" ht="25.5" x14ac:dyDescent="0.3">
      <c r="A541" s="14" t="s">
        <v>83</v>
      </c>
      <c r="B541" s="2" t="s">
        <v>84</v>
      </c>
    </row>
    <row r="542" spans="1:6" ht="17.25" thickBot="1" x14ac:dyDescent="0.35"/>
    <row r="543" spans="1:6" ht="16.5" customHeight="1" x14ac:dyDescent="0.3">
      <c r="A543" s="24" t="s">
        <v>130</v>
      </c>
      <c r="B543" s="26"/>
      <c r="C543" s="26"/>
      <c r="D543" s="26"/>
      <c r="E543" s="26"/>
      <c r="F543" s="26"/>
    </row>
    <row r="544" spans="1:6" x14ac:dyDescent="0.3">
      <c r="A544" s="25" t="s">
        <v>131</v>
      </c>
      <c r="B544" s="27" t="s">
        <v>46</v>
      </c>
      <c r="C544" s="27" t="s">
        <v>132</v>
      </c>
      <c r="D544" s="3" t="s">
        <v>133</v>
      </c>
      <c r="E544" s="27" t="s">
        <v>135</v>
      </c>
      <c r="F544" s="27"/>
    </row>
    <row r="545" spans="1:9" x14ac:dyDescent="0.3">
      <c r="A545" s="25"/>
      <c r="B545" s="27"/>
      <c r="C545" s="27"/>
      <c r="D545" s="3" t="s">
        <v>134</v>
      </c>
      <c r="E545" s="27"/>
      <c r="F545" s="27"/>
    </row>
    <row r="546" spans="1:9" ht="17.25" thickBot="1" x14ac:dyDescent="0.35">
      <c r="A546" s="13" t="s">
        <v>66</v>
      </c>
      <c r="B546" s="2">
        <v>33210</v>
      </c>
      <c r="C546" s="2">
        <v>8.6116159999999997</v>
      </c>
      <c r="D546" s="2">
        <v>4.5519999999999996E-3</v>
      </c>
      <c r="E546" s="2">
        <v>8.6026898999999997</v>
      </c>
      <c r="F546" s="2">
        <v>8.6205411999999999</v>
      </c>
      <c r="H546" s="8" t="str">
        <f t="shared" ref="H546:H549" si="22">TEXT(C546,"0.00")&amp;" ("&amp;TEXT(E546,"0.00")&amp;" to "&amp;TEXT(F546,"0.00")&amp;")"</f>
        <v>8.61 (8.60 to 8.62)</v>
      </c>
      <c r="I546" t="s">
        <v>24</v>
      </c>
    </row>
    <row r="547" spans="1:9" ht="17.25" thickBot="1" x14ac:dyDescent="0.35">
      <c r="A547" s="13" t="s">
        <v>67</v>
      </c>
      <c r="B547" s="2">
        <v>33210</v>
      </c>
      <c r="C547" s="2">
        <v>0.66711600000000004</v>
      </c>
      <c r="D547" s="2">
        <v>5.4500000000000002E-4</v>
      </c>
      <c r="E547" s="2">
        <v>0.66604790000000003</v>
      </c>
      <c r="F547" s="2">
        <v>0.66818500000000003</v>
      </c>
      <c r="H547" s="8" t="str">
        <f t="shared" si="22"/>
        <v>0.67 (0.67 to 0.67)</v>
      </c>
      <c r="I547" t="s">
        <v>24</v>
      </c>
    </row>
    <row r="548" spans="1:9" ht="17.25" thickBot="1" x14ac:dyDescent="0.35">
      <c r="A548" s="13" t="s">
        <v>68</v>
      </c>
      <c r="B548" s="2">
        <v>33210</v>
      </c>
      <c r="C548" s="2">
        <v>0.35608899999999999</v>
      </c>
      <c r="D548" s="2">
        <v>2.2190000000000001E-3</v>
      </c>
      <c r="E548" s="2">
        <v>0.35173840000000001</v>
      </c>
      <c r="F548" s="2">
        <v>0.36043979999999998</v>
      </c>
      <c r="H548" s="8" t="str">
        <f t="shared" si="22"/>
        <v>0.36 (0.35 to 0.36)</v>
      </c>
      <c r="I548" t="s">
        <v>24</v>
      </c>
    </row>
    <row r="549" spans="1:9" x14ac:dyDescent="0.3">
      <c r="A549" s="14" t="s">
        <v>69</v>
      </c>
      <c r="B549" s="2">
        <v>33210</v>
      </c>
      <c r="C549" s="2">
        <v>35.713408999999999</v>
      </c>
      <c r="D549" s="2">
        <v>5.2378000000000001E-2</v>
      </c>
      <c r="E549" s="2">
        <v>35.610705500000002</v>
      </c>
      <c r="F549" s="2">
        <v>35.816111900000003</v>
      </c>
      <c r="H549" s="8" t="str">
        <f t="shared" si="22"/>
        <v>35.71 (35.61 to 35.82)</v>
      </c>
      <c r="I549" t="s">
        <v>24</v>
      </c>
    </row>
    <row r="550" spans="1:9" x14ac:dyDescent="0.3">
      <c r="I550" t="s">
        <v>24</v>
      </c>
    </row>
    <row r="553" spans="1:9" x14ac:dyDescent="0.3">
      <c r="A553" s="1" t="s">
        <v>129</v>
      </c>
    </row>
    <row r="555" spans="1:9" x14ac:dyDescent="0.3">
      <c r="A555" s="1" t="s">
        <v>417</v>
      </c>
    </row>
    <row r="556" spans="1:9" ht="17.25" thickBot="1" x14ac:dyDescent="0.35"/>
    <row r="557" spans="1:9" ht="16.5" customHeight="1" x14ac:dyDescent="0.3">
      <c r="A557" s="24" t="s">
        <v>75</v>
      </c>
      <c r="B557" s="26"/>
    </row>
    <row r="558" spans="1:9" ht="26.25" thickBot="1" x14ac:dyDescent="0.35">
      <c r="A558" s="13" t="s">
        <v>76</v>
      </c>
      <c r="B558" s="2">
        <v>183</v>
      </c>
    </row>
    <row r="559" spans="1:9" ht="26.25" thickBot="1" x14ac:dyDescent="0.35">
      <c r="A559" s="13" t="s">
        <v>77</v>
      </c>
      <c r="B559" s="2">
        <v>2901</v>
      </c>
    </row>
    <row r="560" spans="1:9" ht="39" thickBot="1" x14ac:dyDescent="0.35">
      <c r="A560" s="13" t="s">
        <v>78</v>
      </c>
      <c r="B560" s="2">
        <v>12549</v>
      </c>
    </row>
    <row r="561" spans="1:9" ht="25.5" x14ac:dyDescent="0.3">
      <c r="A561" s="14" t="s">
        <v>79</v>
      </c>
      <c r="B561" s="2">
        <v>4941337.01</v>
      </c>
    </row>
    <row r="562" spans="1:9" ht="17.25" thickBot="1" x14ac:dyDescent="0.35"/>
    <row r="563" spans="1:9" ht="33" customHeight="1" x14ac:dyDescent="0.3">
      <c r="A563" s="24" t="s">
        <v>80</v>
      </c>
      <c r="B563" s="26"/>
    </row>
    <row r="564" spans="1:9" ht="33.75" thickBot="1" x14ac:dyDescent="0.35">
      <c r="A564" s="13" t="s">
        <v>81</v>
      </c>
      <c r="B564" s="2" t="s">
        <v>82</v>
      </c>
    </row>
    <row r="565" spans="1:9" ht="25.5" x14ac:dyDescent="0.3">
      <c r="A565" s="14" t="s">
        <v>83</v>
      </c>
      <c r="B565" s="2" t="s">
        <v>84</v>
      </c>
    </row>
    <row r="566" spans="1:9" ht="17.25" thickBot="1" x14ac:dyDescent="0.35"/>
    <row r="567" spans="1:9" ht="16.5" customHeight="1" x14ac:dyDescent="0.3">
      <c r="A567" s="24" t="s">
        <v>130</v>
      </c>
      <c r="B567" s="26"/>
      <c r="C567" s="26"/>
      <c r="D567" s="26"/>
      <c r="E567" s="26"/>
      <c r="F567" s="26"/>
    </row>
    <row r="568" spans="1:9" x14ac:dyDescent="0.3">
      <c r="A568" s="25" t="s">
        <v>131</v>
      </c>
      <c r="B568" s="27" t="s">
        <v>46</v>
      </c>
      <c r="C568" s="27" t="s">
        <v>132</v>
      </c>
      <c r="D568" s="3" t="s">
        <v>133</v>
      </c>
      <c r="E568" s="27" t="s">
        <v>135</v>
      </c>
      <c r="F568" s="27"/>
    </row>
    <row r="569" spans="1:9" x14ac:dyDescent="0.3">
      <c r="A569" s="25"/>
      <c r="B569" s="27"/>
      <c r="C569" s="27"/>
      <c r="D569" s="3" t="s">
        <v>134</v>
      </c>
      <c r="E569" s="27"/>
      <c r="F569" s="27"/>
    </row>
    <row r="570" spans="1:9" ht="17.25" thickBot="1" x14ac:dyDescent="0.35">
      <c r="A570" s="13" t="s">
        <v>66</v>
      </c>
      <c r="B570" s="2">
        <v>12549</v>
      </c>
      <c r="C570" s="2">
        <v>8.6940449999999991</v>
      </c>
      <c r="D570" s="2">
        <v>7.9150000000000002E-3</v>
      </c>
      <c r="E570" s="2">
        <v>8.6785259999999997</v>
      </c>
      <c r="F570" s="2">
        <v>8.7095646000000002</v>
      </c>
      <c r="H570" s="8" t="str">
        <f t="shared" ref="H570:H573" si="23">TEXT(C570,"0.00")&amp;" ("&amp;TEXT(E570,"0.00")&amp;" to "&amp;TEXT(F570,"0.00")&amp;")"</f>
        <v>8.69 (8.68 to 8.71)</v>
      </c>
      <c r="I570" t="s">
        <v>24</v>
      </c>
    </row>
    <row r="571" spans="1:9" ht="17.25" thickBot="1" x14ac:dyDescent="0.35">
      <c r="A571" s="13" t="s">
        <v>67</v>
      </c>
      <c r="B571" s="2">
        <v>12549</v>
      </c>
      <c r="C571" s="2">
        <v>0.68340999999999996</v>
      </c>
      <c r="D571" s="2">
        <v>9.0899999999999998E-4</v>
      </c>
      <c r="E571" s="2">
        <v>0.68162780000000001</v>
      </c>
      <c r="F571" s="2">
        <v>0.68519300000000005</v>
      </c>
      <c r="H571" s="8" t="str">
        <f t="shared" si="23"/>
        <v>0.68 (0.68 to 0.69)</v>
      </c>
      <c r="I571" t="s">
        <v>24</v>
      </c>
    </row>
    <row r="572" spans="1:9" ht="17.25" thickBot="1" x14ac:dyDescent="0.35">
      <c r="A572" s="13" t="s">
        <v>68</v>
      </c>
      <c r="B572" s="2">
        <v>12549</v>
      </c>
      <c r="C572" s="2">
        <v>0.39087100000000002</v>
      </c>
      <c r="D572" s="2">
        <v>3.6329999999999999E-3</v>
      </c>
      <c r="E572" s="2">
        <v>0.38374659999999999</v>
      </c>
      <c r="F572" s="2">
        <v>0.3979953</v>
      </c>
      <c r="H572" s="8" t="str">
        <f t="shared" si="23"/>
        <v>0.39 (0.38 to 0.40)</v>
      </c>
      <c r="I572" t="s">
        <v>24</v>
      </c>
    </row>
    <row r="573" spans="1:9" x14ac:dyDescent="0.3">
      <c r="A573" s="14" t="s">
        <v>69</v>
      </c>
      <c r="B573" s="2">
        <v>12549</v>
      </c>
      <c r="C573" s="2">
        <v>37.046604000000002</v>
      </c>
      <c r="D573" s="2">
        <v>9.8506999999999997E-2</v>
      </c>
      <c r="E573" s="2">
        <v>36.853447099999997</v>
      </c>
      <c r="F573" s="2">
        <v>37.239760699999998</v>
      </c>
      <c r="H573" s="8" t="str">
        <f t="shared" si="23"/>
        <v>37.05 (36.85 to 37.24)</v>
      </c>
      <c r="I573" t="s">
        <v>24</v>
      </c>
    </row>
    <row r="574" spans="1:9" x14ac:dyDescent="0.3">
      <c r="I574" t="s">
        <v>24</v>
      </c>
    </row>
    <row r="577" spans="1:6" x14ac:dyDescent="0.3">
      <c r="A577" s="1" t="s">
        <v>129</v>
      </c>
    </row>
    <row r="579" spans="1:6" x14ac:dyDescent="0.3">
      <c r="A579" s="1" t="s">
        <v>418</v>
      </c>
    </row>
    <row r="580" spans="1:6" ht="17.25" thickBot="1" x14ac:dyDescent="0.35"/>
    <row r="581" spans="1:6" ht="16.5" customHeight="1" x14ac:dyDescent="0.3">
      <c r="A581" s="24" t="s">
        <v>75</v>
      </c>
      <c r="B581" s="26"/>
    </row>
    <row r="582" spans="1:6" ht="26.25" thickBot="1" x14ac:dyDescent="0.35">
      <c r="A582" s="13" t="s">
        <v>76</v>
      </c>
      <c r="B582" s="2">
        <v>183</v>
      </c>
    </row>
    <row r="583" spans="1:6" ht="26.25" thickBot="1" x14ac:dyDescent="0.35">
      <c r="A583" s="13" t="s">
        <v>77</v>
      </c>
      <c r="B583" s="2">
        <v>2959</v>
      </c>
    </row>
    <row r="584" spans="1:6" ht="39" thickBot="1" x14ac:dyDescent="0.35">
      <c r="A584" s="13" t="s">
        <v>78</v>
      </c>
      <c r="B584" s="2">
        <v>18257</v>
      </c>
    </row>
    <row r="585" spans="1:6" ht="25.5" x14ac:dyDescent="0.3">
      <c r="A585" s="14" t="s">
        <v>79</v>
      </c>
      <c r="B585" s="2">
        <v>8413045.4499999993</v>
      </c>
    </row>
    <row r="586" spans="1:6" ht="17.25" thickBot="1" x14ac:dyDescent="0.35"/>
    <row r="587" spans="1:6" ht="33" customHeight="1" x14ac:dyDescent="0.3">
      <c r="A587" s="24" t="s">
        <v>80</v>
      </c>
      <c r="B587" s="26"/>
    </row>
    <row r="588" spans="1:6" ht="33.75" thickBot="1" x14ac:dyDescent="0.35">
      <c r="A588" s="13" t="s">
        <v>81</v>
      </c>
      <c r="B588" s="2" t="s">
        <v>82</v>
      </c>
    </row>
    <row r="589" spans="1:6" ht="25.5" x14ac:dyDescent="0.3">
      <c r="A589" s="14" t="s">
        <v>83</v>
      </c>
      <c r="B589" s="2" t="s">
        <v>84</v>
      </c>
    </row>
    <row r="590" spans="1:6" ht="17.25" thickBot="1" x14ac:dyDescent="0.35"/>
    <row r="591" spans="1:6" ht="16.5" customHeight="1" x14ac:dyDescent="0.3">
      <c r="A591" s="24" t="s">
        <v>130</v>
      </c>
      <c r="B591" s="26"/>
      <c r="C591" s="26"/>
      <c r="D591" s="26"/>
      <c r="E591" s="26"/>
      <c r="F591" s="26"/>
    </row>
    <row r="592" spans="1:6" x14ac:dyDescent="0.3">
      <c r="A592" s="25" t="s">
        <v>131</v>
      </c>
      <c r="B592" s="27" t="s">
        <v>46</v>
      </c>
      <c r="C592" s="27" t="s">
        <v>132</v>
      </c>
      <c r="D592" s="3" t="s">
        <v>133</v>
      </c>
      <c r="E592" s="27" t="s">
        <v>135</v>
      </c>
      <c r="F592" s="27"/>
    </row>
    <row r="593" spans="1:9" x14ac:dyDescent="0.3">
      <c r="A593" s="25"/>
      <c r="B593" s="27"/>
      <c r="C593" s="27"/>
      <c r="D593" s="3" t="s">
        <v>134</v>
      </c>
      <c r="E593" s="27"/>
      <c r="F593" s="27"/>
    </row>
    <row r="594" spans="1:9" ht="17.25" thickBot="1" x14ac:dyDescent="0.35">
      <c r="A594" s="13" t="s">
        <v>66</v>
      </c>
      <c r="B594" s="2">
        <v>18257</v>
      </c>
      <c r="C594" s="2">
        <v>8.5871860000000009</v>
      </c>
      <c r="D594" s="2">
        <v>6.267E-3</v>
      </c>
      <c r="E594" s="2">
        <v>8.5748976999999993</v>
      </c>
      <c r="F594" s="2">
        <v>8.5994741999999995</v>
      </c>
      <c r="H594" s="8" t="str">
        <f t="shared" ref="H594:H597" si="24">TEXT(C594,"0.00")&amp;" ("&amp;TEXT(E594,"0.00")&amp;" to "&amp;TEXT(F594,"0.00")&amp;")"</f>
        <v>8.59 (8.57 to 8.60)</v>
      </c>
      <c r="I594" t="s">
        <v>24</v>
      </c>
    </row>
    <row r="595" spans="1:9" ht="17.25" thickBot="1" x14ac:dyDescent="0.35">
      <c r="A595" s="13" t="s">
        <v>67</v>
      </c>
      <c r="B595" s="2">
        <v>18257</v>
      </c>
      <c r="C595" s="2">
        <v>0.66106799999999999</v>
      </c>
      <c r="D595" s="2">
        <v>6.9800000000000005E-4</v>
      </c>
      <c r="E595" s="2">
        <v>0.65970030000000002</v>
      </c>
      <c r="F595" s="2">
        <v>0.66243669999999999</v>
      </c>
      <c r="H595" s="8" t="str">
        <f t="shared" si="24"/>
        <v>0.66 (0.66 to 0.66)</v>
      </c>
      <c r="I595" t="s">
        <v>24</v>
      </c>
    </row>
    <row r="596" spans="1:9" ht="17.25" thickBot="1" x14ac:dyDescent="0.35">
      <c r="A596" s="13" t="s">
        <v>68</v>
      </c>
      <c r="B596" s="2">
        <v>18257</v>
      </c>
      <c r="C596" s="2">
        <v>0.34934599999999999</v>
      </c>
      <c r="D596" s="2">
        <v>3.0070000000000001E-3</v>
      </c>
      <c r="E596" s="2">
        <v>0.34345049999999999</v>
      </c>
      <c r="F596" s="2">
        <v>0.35524090000000003</v>
      </c>
      <c r="H596" s="8" t="str">
        <f t="shared" si="24"/>
        <v>0.35 (0.34 to 0.36)</v>
      </c>
      <c r="I596" t="s">
        <v>24</v>
      </c>
    </row>
    <row r="597" spans="1:9" x14ac:dyDescent="0.3">
      <c r="A597" s="14" t="s">
        <v>69</v>
      </c>
      <c r="B597" s="2">
        <v>18257</v>
      </c>
      <c r="C597" s="2">
        <v>35.821040000000004</v>
      </c>
      <c r="D597" s="2">
        <v>7.3304999999999995E-2</v>
      </c>
      <c r="E597" s="2">
        <v>35.677301999999997</v>
      </c>
      <c r="F597" s="2">
        <v>35.964778899999999</v>
      </c>
      <c r="H597" s="8" t="str">
        <f t="shared" si="24"/>
        <v>35.82 (35.68 to 35.96)</v>
      </c>
      <c r="I597" t="s">
        <v>24</v>
      </c>
    </row>
    <row r="598" spans="1:9" x14ac:dyDescent="0.3">
      <c r="I598" t="s">
        <v>24</v>
      </c>
    </row>
    <row r="601" spans="1:9" x14ac:dyDescent="0.3">
      <c r="A601" s="1" t="s">
        <v>129</v>
      </c>
    </row>
    <row r="603" spans="1:9" x14ac:dyDescent="0.3">
      <c r="A603" s="1" t="s">
        <v>419</v>
      </c>
    </row>
    <row r="604" spans="1:9" ht="17.25" thickBot="1" x14ac:dyDescent="0.35"/>
    <row r="605" spans="1:9" ht="16.5" customHeight="1" x14ac:dyDescent="0.3">
      <c r="A605" s="24" t="s">
        <v>75</v>
      </c>
      <c r="B605" s="26"/>
    </row>
    <row r="606" spans="1:9" ht="26.25" thickBot="1" x14ac:dyDescent="0.35">
      <c r="A606" s="13" t="s">
        <v>76</v>
      </c>
      <c r="B606" s="2">
        <v>183</v>
      </c>
    </row>
    <row r="607" spans="1:9" ht="26.25" thickBot="1" x14ac:dyDescent="0.35">
      <c r="A607" s="13" t="s">
        <v>77</v>
      </c>
      <c r="B607" s="2">
        <v>2981</v>
      </c>
    </row>
    <row r="608" spans="1:9" ht="39" thickBot="1" x14ac:dyDescent="0.35">
      <c r="A608" s="13" t="s">
        <v>78</v>
      </c>
      <c r="B608" s="2">
        <v>39551</v>
      </c>
    </row>
    <row r="609" spans="1:9" ht="25.5" x14ac:dyDescent="0.3">
      <c r="A609" s="14" t="s">
        <v>79</v>
      </c>
      <c r="B609" s="2">
        <v>17621468.199999999</v>
      </c>
    </row>
    <row r="610" spans="1:9" ht="17.25" thickBot="1" x14ac:dyDescent="0.35"/>
    <row r="611" spans="1:9" ht="33" customHeight="1" x14ac:dyDescent="0.3">
      <c r="A611" s="24" t="s">
        <v>80</v>
      </c>
      <c r="B611" s="26"/>
    </row>
    <row r="612" spans="1:9" ht="33.75" thickBot="1" x14ac:dyDescent="0.35">
      <c r="A612" s="13" t="s">
        <v>81</v>
      </c>
      <c r="B612" s="2" t="s">
        <v>82</v>
      </c>
    </row>
    <row r="613" spans="1:9" ht="25.5" x14ac:dyDescent="0.3">
      <c r="A613" s="14" t="s">
        <v>83</v>
      </c>
      <c r="B613" s="2" t="s">
        <v>84</v>
      </c>
    </row>
    <row r="614" spans="1:9" ht="17.25" thickBot="1" x14ac:dyDescent="0.35"/>
    <row r="615" spans="1:9" ht="16.5" customHeight="1" x14ac:dyDescent="0.3">
      <c r="A615" s="24" t="s">
        <v>130</v>
      </c>
      <c r="B615" s="26"/>
      <c r="C615" s="26"/>
      <c r="D615" s="26"/>
      <c r="E615" s="26"/>
      <c r="F615" s="26"/>
    </row>
    <row r="616" spans="1:9" x14ac:dyDescent="0.3">
      <c r="A616" s="25" t="s">
        <v>131</v>
      </c>
      <c r="B616" s="27" t="s">
        <v>46</v>
      </c>
      <c r="C616" s="27" t="s">
        <v>132</v>
      </c>
      <c r="D616" s="3" t="s">
        <v>133</v>
      </c>
      <c r="E616" s="27" t="s">
        <v>135</v>
      </c>
      <c r="F616" s="27"/>
    </row>
    <row r="617" spans="1:9" x14ac:dyDescent="0.3">
      <c r="A617" s="25"/>
      <c r="B617" s="27"/>
      <c r="C617" s="27"/>
      <c r="D617" s="3" t="s">
        <v>134</v>
      </c>
      <c r="E617" s="27"/>
      <c r="F617" s="27"/>
    </row>
    <row r="618" spans="1:9" ht="17.25" thickBot="1" x14ac:dyDescent="0.35">
      <c r="A618" s="13" t="s">
        <v>66</v>
      </c>
      <c r="B618" s="2">
        <v>39551</v>
      </c>
      <c r="C618" s="2">
        <v>8.5694739999999996</v>
      </c>
      <c r="D618" s="2">
        <v>4.3369999999999997E-3</v>
      </c>
      <c r="E618" s="2">
        <v>8.5609693</v>
      </c>
      <c r="F618" s="2">
        <v>8.5779782999999998</v>
      </c>
      <c r="H618" s="8" t="str">
        <f t="shared" ref="H618:H621" si="25">TEXT(C618,"0.00")&amp;" ("&amp;TEXT(E618,"0.00")&amp;" to "&amp;TEXT(F618,"0.00")&amp;")"</f>
        <v>8.57 (8.56 to 8.58)</v>
      </c>
      <c r="I618" t="s">
        <v>24</v>
      </c>
    </row>
    <row r="619" spans="1:9" ht="17.25" thickBot="1" x14ac:dyDescent="0.35">
      <c r="A619" s="13" t="s">
        <v>67</v>
      </c>
      <c r="B619" s="2">
        <v>39551</v>
      </c>
      <c r="C619" s="2">
        <v>0.66189399999999998</v>
      </c>
      <c r="D619" s="2">
        <v>5.1999999999999995E-4</v>
      </c>
      <c r="E619" s="2">
        <v>0.66087490000000004</v>
      </c>
      <c r="F619" s="2">
        <v>0.66291299999999997</v>
      </c>
      <c r="H619" s="8" t="str">
        <f t="shared" si="25"/>
        <v>0.66 (0.66 to 0.66)</v>
      </c>
      <c r="I619" t="s">
        <v>24</v>
      </c>
    </row>
    <row r="620" spans="1:9" ht="17.25" thickBot="1" x14ac:dyDescent="0.35">
      <c r="A620" s="13" t="s">
        <v>68</v>
      </c>
      <c r="B620" s="2">
        <v>39551</v>
      </c>
      <c r="C620" s="2">
        <v>0.33903800000000001</v>
      </c>
      <c r="D620" s="2">
        <v>2.1250000000000002E-3</v>
      </c>
      <c r="E620" s="2">
        <v>0.3348718</v>
      </c>
      <c r="F620" s="2">
        <v>0.3432037</v>
      </c>
      <c r="H620" s="8" t="str">
        <f t="shared" si="25"/>
        <v>0.34 (0.33 to 0.34)</v>
      </c>
      <c r="I620" t="s">
        <v>24</v>
      </c>
    </row>
    <row r="621" spans="1:9" x14ac:dyDescent="0.3">
      <c r="A621" s="14" t="s">
        <v>69</v>
      </c>
      <c r="B621" s="2">
        <v>39551</v>
      </c>
      <c r="C621" s="2">
        <v>35.384616999999999</v>
      </c>
      <c r="D621" s="2">
        <v>4.7563000000000001E-2</v>
      </c>
      <c r="E621" s="2">
        <v>35.291354900000002</v>
      </c>
      <c r="F621" s="2">
        <v>35.477878500000003</v>
      </c>
      <c r="H621" s="8" t="str">
        <f t="shared" si="25"/>
        <v>35.38 (35.29 to 35.48)</v>
      </c>
      <c r="I621" t="s">
        <v>24</v>
      </c>
    </row>
    <row r="622" spans="1:9" x14ac:dyDescent="0.3">
      <c r="I622" t="s">
        <v>24</v>
      </c>
    </row>
    <row r="625" spans="1:6" x14ac:dyDescent="0.3">
      <c r="A625" s="1" t="s">
        <v>129</v>
      </c>
    </row>
    <row r="627" spans="1:6" x14ac:dyDescent="0.3">
      <c r="A627" s="1" t="s">
        <v>420</v>
      </c>
    </row>
    <row r="628" spans="1:6" ht="17.25" thickBot="1" x14ac:dyDescent="0.35"/>
    <row r="629" spans="1:6" ht="16.5" customHeight="1" x14ac:dyDescent="0.3">
      <c r="A629" s="24" t="s">
        <v>75</v>
      </c>
      <c r="B629" s="26"/>
    </row>
    <row r="630" spans="1:6" ht="26.25" thickBot="1" x14ac:dyDescent="0.35">
      <c r="A630" s="13" t="s">
        <v>76</v>
      </c>
      <c r="B630" s="2">
        <v>183</v>
      </c>
    </row>
    <row r="631" spans="1:6" ht="26.25" thickBot="1" x14ac:dyDescent="0.35">
      <c r="A631" s="13" t="s">
        <v>77</v>
      </c>
      <c r="B631" s="2">
        <v>2842</v>
      </c>
    </row>
    <row r="632" spans="1:6" ht="39" thickBot="1" x14ac:dyDescent="0.35">
      <c r="A632" s="13" t="s">
        <v>78</v>
      </c>
      <c r="B632" s="2">
        <v>10827</v>
      </c>
    </row>
    <row r="633" spans="1:6" ht="25.5" x14ac:dyDescent="0.3">
      <c r="A633" s="14" t="s">
        <v>79</v>
      </c>
      <c r="B633" s="2">
        <v>4217422.0599999996</v>
      </c>
    </row>
    <row r="634" spans="1:6" ht="17.25" thickBot="1" x14ac:dyDescent="0.35"/>
    <row r="635" spans="1:6" ht="33" customHeight="1" x14ac:dyDescent="0.3">
      <c r="A635" s="24" t="s">
        <v>80</v>
      </c>
      <c r="B635" s="26"/>
    </row>
    <row r="636" spans="1:6" ht="33.75" thickBot="1" x14ac:dyDescent="0.35">
      <c r="A636" s="13" t="s">
        <v>81</v>
      </c>
      <c r="B636" s="2" t="s">
        <v>82</v>
      </c>
    </row>
    <row r="637" spans="1:6" ht="25.5" x14ac:dyDescent="0.3">
      <c r="A637" s="14" t="s">
        <v>83</v>
      </c>
      <c r="B637" s="2" t="s">
        <v>84</v>
      </c>
    </row>
    <row r="638" spans="1:6" ht="17.25" thickBot="1" x14ac:dyDescent="0.35"/>
    <row r="639" spans="1:6" ht="16.5" customHeight="1" x14ac:dyDescent="0.3">
      <c r="A639" s="24" t="s">
        <v>130</v>
      </c>
      <c r="B639" s="26"/>
      <c r="C639" s="26"/>
      <c r="D639" s="26"/>
      <c r="E639" s="26"/>
      <c r="F639" s="26"/>
    </row>
    <row r="640" spans="1:6" x14ac:dyDescent="0.3">
      <c r="A640" s="25" t="s">
        <v>131</v>
      </c>
      <c r="B640" s="27" t="s">
        <v>46</v>
      </c>
      <c r="C640" s="27" t="s">
        <v>132</v>
      </c>
      <c r="D640" s="3" t="s">
        <v>133</v>
      </c>
      <c r="E640" s="27" t="s">
        <v>135</v>
      </c>
      <c r="F640" s="27"/>
    </row>
    <row r="641" spans="1:9" x14ac:dyDescent="0.3">
      <c r="A641" s="25"/>
      <c r="B641" s="27"/>
      <c r="C641" s="27"/>
      <c r="D641" s="3" t="s">
        <v>134</v>
      </c>
      <c r="E641" s="27"/>
      <c r="F641" s="27"/>
    </row>
    <row r="642" spans="1:9" ht="17.25" thickBot="1" x14ac:dyDescent="0.35">
      <c r="A642" s="13" t="s">
        <v>66</v>
      </c>
      <c r="B642" s="2">
        <v>10827</v>
      </c>
      <c r="C642" s="2">
        <v>8.6294199999999996</v>
      </c>
      <c r="D642" s="2">
        <v>7.9000000000000008E-3</v>
      </c>
      <c r="E642" s="2">
        <v>8.6139288000000001</v>
      </c>
      <c r="F642" s="2">
        <v>8.6449119000000003</v>
      </c>
      <c r="H642" s="8" t="str">
        <f t="shared" ref="H642:H645" si="26">TEXT(C642,"0.00")&amp;" ("&amp;TEXT(E642,"0.00")&amp;" to "&amp;TEXT(F642,"0.00")&amp;")"</f>
        <v>8.63 (8.61 to 8.64)</v>
      </c>
      <c r="I642" t="s">
        <v>24</v>
      </c>
    </row>
    <row r="643" spans="1:9" ht="17.25" thickBot="1" x14ac:dyDescent="0.35">
      <c r="A643" s="13" t="s">
        <v>67</v>
      </c>
      <c r="B643" s="2">
        <v>10827</v>
      </c>
      <c r="C643" s="2">
        <v>0.67655799999999999</v>
      </c>
      <c r="D643" s="2">
        <v>9.41E-4</v>
      </c>
      <c r="E643" s="2">
        <v>0.67471219999999998</v>
      </c>
      <c r="F643" s="2">
        <v>0.67840389999999995</v>
      </c>
      <c r="H643" s="8" t="str">
        <f t="shared" si="26"/>
        <v>0.68 (0.67 to 0.68)</v>
      </c>
      <c r="I643" t="s">
        <v>24</v>
      </c>
    </row>
    <row r="644" spans="1:9" ht="17.25" thickBot="1" x14ac:dyDescent="0.35">
      <c r="A644" s="13" t="s">
        <v>68</v>
      </c>
      <c r="B644" s="2">
        <v>10827</v>
      </c>
      <c r="C644" s="2">
        <v>0.36293700000000001</v>
      </c>
      <c r="D644" s="2">
        <v>3.8210000000000002E-3</v>
      </c>
      <c r="E644" s="2">
        <v>0.35544559999999997</v>
      </c>
      <c r="F644" s="2">
        <v>0.3704287</v>
      </c>
      <c r="H644" s="8" t="str">
        <f t="shared" si="26"/>
        <v>0.36 (0.36 to 0.37)</v>
      </c>
      <c r="I644" t="s">
        <v>24</v>
      </c>
    </row>
    <row r="645" spans="1:9" x14ac:dyDescent="0.3">
      <c r="A645" s="14" t="s">
        <v>69</v>
      </c>
      <c r="B645" s="2">
        <v>10827</v>
      </c>
      <c r="C645" s="2">
        <v>36.066858000000003</v>
      </c>
      <c r="D645" s="2">
        <v>9.0915999999999997E-2</v>
      </c>
      <c r="E645" s="2">
        <v>35.888584299999998</v>
      </c>
      <c r="F645" s="2">
        <v>36.245131299999997</v>
      </c>
      <c r="H645" s="8" t="str">
        <f t="shared" si="26"/>
        <v>36.07 (35.89 to 36.25)</v>
      </c>
      <c r="I645" t="s">
        <v>24</v>
      </c>
    </row>
    <row r="646" spans="1:9" x14ac:dyDescent="0.3">
      <c r="I646" t="s">
        <v>24</v>
      </c>
    </row>
    <row r="649" spans="1:9" x14ac:dyDescent="0.3">
      <c r="A649" s="1" t="s">
        <v>129</v>
      </c>
    </row>
    <row r="651" spans="1:9" x14ac:dyDescent="0.3">
      <c r="A651" s="1" t="s">
        <v>421</v>
      </c>
    </row>
    <row r="652" spans="1:9" ht="17.25" thickBot="1" x14ac:dyDescent="0.35"/>
    <row r="653" spans="1:9" ht="16.5" customHeight="1" x14ac:dyDescent="0.3">
      <c r="A653" s="24" t="s">
        <v>75</v>
      </c>
      <c r="B653" s="26"/>
    </row>
    <row r="654" spans="1:9" ht="26.25" thickBot="1" x14ac:dyDescent="0.35">
      <c r="A654" s="13" t="s">
        <v>76</v>
      </c>
      <c r="B654" s="2">
        <v>183</v>
      </c>
    </row>
    <row r="655" spans="1:9" ht="26.25" thickBot="1" x14ac:dyDescent="0.35">
      <c r="A655" s="13" t="s">
        <v>77</v>
      </c>
      <c r="B655" s="2">
        <v>2980</v>
      </c>
    </row>
    <row r="656" spans="1:9" ht="39" thickBot="1" x14ac:dyDescent="0.35">
      <c r="A656" s="13" t="s">
        <v>78</v>
      </c>
      <c r="B656" s="2">
        <v>26908</v>
      </c>
    </row>
    <row r="657" spans="1:9" ht="25.5" x14ac:dyDescent="0.3">
      <c r="A657" s="14" t="s">
        <v>79</v>
      </c>
      <c r="B657" s="2">
        <v>10739070.199999999</v>
      </c>
    </row>
    <row r="658" spans="1:9" ht="17.25" thickBot="1" x14ac:dyDescent="0.35"/>
    <row r="659" spans="1:9" ht="33" customHeight="1" x14ac:dyDescent="0.3">
      <c r="A659" s="24" t="s">
        <v>80</v>
      </c>
      <c r="B659" s="26"/>
    </row>
    <row r="660" spans="1:9" ht="33.75" thickBot="1" x14ac:dyDescent="0.35">
      <c r="A660" s="13" t="s">
        <v>81</v>
      </c>
      <c r="B660" s="2" t="s">
        <v>82</v>
      </c>
    </row>
    <row r="661" spans="1:9" ht="25.5" x14ac:dyDescent="0.3">
      <c r="A661" s="14" t="s">
        <v>83</v>
      </c>
      <c r="B661" s="2" t="s">
        <v>84</v>
      </c>
    </row>
    <row r="662" spans="1:9" ht="17.25" thickBot="1" x14ac:dyDescent="0.35"/>
    <row r="663" spans="1:9" ht="16.5" customHeight="1" x14ac:dyDescent="0.3">
      <c r="A663" s="24" t="s">
        <v>130</v>
      </c>
      <c r="B663" s="26"/>
      <c r="C663" s="26"/>
      <c r="D663" s="26"/>
      <c r="E663" s="26"/>
      <c r="F663" s="26"/>
    </row>
    <row r="664" spans="1:9" x14ac:dyDescent="0.3">
      <c r="A664" s="25" t="s">
        <v>131</v>
      </c>
      <c r="B664" s="27" t="s">
        <v>46</v>
      </c>
      <c r="C664" s="27" t="s">
        <v>132</v>
      </c>
      <c r="D664" s="3" t="s">
        <v>133</v>
      </c>
      <c r="E664" s="27" t="s">
        <v>135</v>
      </c>
      <c r="F664" s="27"/>
    </row>
    <row r="665" spans="1:9" x14ac:dyDescent="0.3">
      <c r="A665" s="25"/>
      <c r="B665" s="27"/>
      <c r="C665" s="27"/>
      <c r="D665" s="3" t="s">
        <v>134</v>
      </c>
      <c r="E665" s="27"/>
      <c r="F665" s="27"/>
    </row>
    <row r="666" spans="1:9" ht="17.25" thickBot="1" x14ac:dyDescent="0.35">
      <c r="A666" s="13" t="s">
        <v>66</v>
      </c>
      <c r="B666" s="2">
        <v>26908</v>
      </c>
      <c r="C666" s="2">
        <v>8.5056390000000004</v>
      </c>
      <c r="D666" s="2">
        <v>5.0499999999999998E-3</v>
      </c>
      <c r="E666" s="2">
        <v>8.4957367000000001</v>
      </c>
      <c r="F666" s="2">
        <v>8.5155405000000002</v>
      </c>
      <c r="H666" s="8" t="str">
        <f t="shared" ref="H666:H669" si="27">TEXT(C666,"0.00")&amp;" ("&amp;TEXT(E666,"0.00")&amp;" to "&amp;TEXT(F666,"0.00")&amp;")"</f>
        <v>8.51 (8.50 to 8.52)</v>
      </c>
      <c r="I666" t="s">
        <v>24</v>
      </c>
    </row>
    <row r="667" spans="1:9" ht="17.25" thickBot="1" x14ac:dyDescent="0.35">
      <c r="A667" s="13" t="s">
        <v>67</v>
      </c>
      <c r="B667" s="2">
        <v>26908</v>
      </c>
      <c r="C667" s="2">
        <v>0.65931600000000001</v>
      </c>
      <c r="D667" s="2">
        <v>6.3199999999999997E-4</v>
      </c>
      <c r="E667" s="2">
        <v>0.65807640000000001</v>
      </c>
      <c r="F667" s="2">
        <v>0.66055629999999999</v>
      </c>
      <c r="H667" s="8" t="str">
        <f t="shared" si="27"/>
        <v>0.66 (0.66 to 0.66)</v>
      </c>
      <c r="I667" t="s">
        <v>24</v>
      </c>
    </row>
    <row r="668" spans="1:9" ht="17.25" thickBot="1" x14ac:dyDescent="0.35">
      <c r="A668" s="13" t="s">
        <v>68</v>
      </c>
      <c r="B668" s="2">
        <v>26908</v>
      </c>
      <c r="C668" s="2">
        <v>0.32055400000000001</v>
      </c>
      <c r="D668" s="2">
        <v>2.444E-3</v>
      </c>
      <c r="E668" s="2">
        <v>0.31576290000000001</v>
      </c>
      <c r="F668" s="2">
        <v>0.32534550000000001</v>
      </c>
      <c r="H668" s="8" t="str">
        <f t="shared" si="27"/>
        <v>0.32 (0.32 to 0.33)</v>
      </c>
      <c r="I668" t="s">
        <v>24</v>
      </c>
    </row>
    <row r="669" spans="1:9" x14ac:dyDescent="0.3">
      <c r="A669" s="14" t="s">
        <v>69</v>
      </c>
      <c r="B669" s="2">
        <v>26908</v>
      </c>
      <c r="C669" s="2">
        <v>35.351686999999998</v>
      </c>
      <c r="D669" s="2">
        <v>6.1682000000000001E-2</v>
      </c>
      <c r="E669" s="2">
        <v>35.230739300000003</v>
      </c>
      <c r="F669" s="2">
        <v>35.472634399999997</v>
      </c>
      <c r="H669" s="8" t="str">
        <f t="shared" si="27"/>
        <v>35.35 (35.23 to 35.47)</v>
      </c>
      <c r="I669" t="s">
        <v>24</v>
      </c>
    </row>
    <row r="670" spans="1:9" x14ac:dyDescent="0.3">
      <c r="I670" t="s">
        <v>24</v>
      </c>
    </row>
    <row r="673" spans="1:6" x14ac:dyDescent="0.3">
      <c r="A673" s="1" t="s">
        <v>129</v>
      </c>
    </row>
    <row r="675" spans="1:6" x14ac:dyDescent="0.3">
      <c r="A675" s="1" t="s">
        <v>422</v>
      </c>
    </row>
    <row r="676" spans="1:6" ht="17.25" thickBot="1" x14ac:dyDescent="0.35"/>
    <row r="677" spans="1:6" ht="16.5" customHeight="1" x14ac:dyDescent="0.3">
      <c r="A677" s="24" t="s">
        <v>75</v>
      </c>
      <c r="B677" s="26"/>
    </row>
    <row r="678" spans="1:6" ht="26.25" thickBot="1" x14ac:dyDescent="0.35">
      <c r="A678" s="13" t="s">
        <v>76</v>
      </c>
      <c r="B678" s="2">
        <v>183</v>
      </c>
    </row>
    <row r="679" spans="1:6" ht="26.25" thickBot="1" x14ac:dyDescent="0.35">
      <c r="A679" s="13" t="s">
        <v>77</v>
      </c>
      <c r="B679" s="2">
        <v>2969</v>
      </c>
    </row>
    <row r="680" spans="1:6" ht="39" thickBot="1" x14ac:dyDescent="0.35">
      <c r="A680" s="13" t="s">
        <v>78</v>
      </c>
      <c r="B680" s="2">
        <v>24999</v>
      </c>
    </row>
    <row r="681" spans="1:6" ht="25.5" x14ac:dyDescent="0.3">
      <c r="A681" s="14" t="s">
        <v>79</v>
      </c>
      <c r="B681" s="2">
        <v>11740557.6</v>
      </c>
    </row>
    <row r="682" spans="1:6" ht="17.25" thickBot="1" x14ac:dyDescent="0.35"/>
    <row r="683" spans="1:6" ht="33" customHeight="1" x14ac:dyDescent="0.3">
      <c r="A683" s="24" t="s">
        <v>80</v>
      </c>
      <c r="B683" s="26"/>
    </row>
    <row r="684" spans="1:6" ht="33.75" thickBot="1" x14ac:dyDescent="0.35">
      <c r="A684" s="13" t="s">
        <v>81</v>
      </c>
      <c r="B684" s="2" t="s">
        <v>82</v>
      </c>
    </row>
    <row r="685" spans="1:6" ht="25.5" x14ac:dyDescent="0.3">
      <c r="A685" s="14" t="s">
        <v>83</v>
      </c>
      <c r="B685" s="2" t="s">
        <v>84</v>
      </c>
    </row>
    <row r="686" spans="1:6" ht="17.25" thickBot="1" x14ac:dyDescent="0.35"/>
    <row r="687" spans="1:6" ht="16.5" customHeight="1" x14ac:dyDescent="0.3">
      <c r="A687" s="24" t="s">
        <v>130</v>
      </c>
      <c r="B687" s="26"/>
      <c r="C687" s="26"/>
      <c r="D687" s="26"/>
      <c r="E687" s="26"/>
      <c r="F687" s="26"/>
    </row>
    <row r="688" spans="1:6" x14ac:dyDescent="0.3">
      <c r="A688" s="25" t="s">
        <v>131</v>
      </c>
      <c r="B688" s="27" t="s">
        <v>46</v>
      </c>
      <c r="C688" s="27" t="s">
        <v>132</v>
      </c>
      <c r="D688" s="3" t="s">
        <v>133</v>
      </c>
      <c r="E688" s="27" t="s">
        <v>135</v>
      </c>
      <c r="F688" s="27"/>
    </row>
    <row r="689" spans="1:8" x14ac:dyDescent="0.3">
      <c r="A689" s="25"/>
      <c r="B689" s="27"/>
      <c r="C689" s="27"/>
      <c r="D689" s="3" t="s">
        <v>134</v>
      </c>
      <c r="E689" s="27"/>
      <c r="F689" s="27"/>
    </row>
    <row r="690" spans="1:8" ht="17.25" thickBot="1" x14ac:dyDescent="0.35">
      <c r="A690" s="13" t="s">
        <v>66</v>
      </c>
      <c r="B690" s="2">
        <v>24999</v>
      </c>
      <c r="C690" s="2">
        <v>8.5140750000000001</v>
      </c>
      <c r="D690" s="2">
        <v>5.0660000000000002E-3</v>
      </c>
      <c r="E690" s="2">
        <v>8.5041414</v>
      </c>
      <c r="F690" s="2">
        <v>8.5240095</v>
      </c>
      <c r="H690" s="8" t="str">
        <f t="shared" ref="H690:H693" si="28">TEXT(C690,"0.00")&amp;" ("&amp;TEXT(E690,"0.00")&amp;" to "&amp;TEXT(F690,"0.00")&amp;")"</f>
        <v>8.51 (8.50 to 8.52)</v>
      </c>
    </row>
    <row r="691" spans="1:8" ht="17.25" thickBot="1" x14ac:dyDescent="0.35">
      <c r="A691" s="13" t="s">
        <v>67</v>
      </c>
      <c r="B691" s="2">
        <v>24999</v>
      </c>
      <c r="C691" s="2">
        <v>0.65258300000000002</v>
      </c>
      <c r="D691" s="2">
        <v>5.8299999999999997E-4</v>
      </c>
      <c r="E691" s="2">
        <v>0.65143949999999995</v>
      </c>
      <c r="F691" s="2">
        <v>0.65372699999999995</v>
      </c>
      <c r="H691" s="8" t="str">
        <f t="shared" si="28"/>
        <v>0.65 (0.65 to 0.65)</v>
      </c>
    </row>
    <row r="692" spans="1:8" ht="17.25" thickBot="1" x14ac:dyDescent="0.35">
      <c r="A692" s="13" t="s">
        <v>68</v>
      </c>
      <c r="B692" s="2">
        <v>24999</v>
      </c>
      <c r="C692" s="2">
        <v>0.32277600000000001</v>
      </c>
      <c r="D692" s="2">
        <v>2.5100000000000001E-3</v>
      </c>
      <c r="E692" s="2">
        <v>0.31785400000000003</v>
      </c>
      <c r="F692" s="2">
        <v>0.32769900000000002</v>
      </c>
      <c r="H692" s="8" t="str">
        <f t="shared" si="28"/>
        <v>0.32 (0.32 to 0.33)</v>
      </c>
    </row>
    <row r="693" spans="1:8" x14ac:dyDescent="0.3">
      <c r="A693" s="14" t="s">
        <v>69</v>
      </c>
      <c r="B693" s="2">
        <v>24999</v>
      </c>
      <c r="C693" s="2">
        <v>35.273758000000001</v>
      </c>
      <c r="D693" s="2">
        <v>6.1346999999999999E-2</v>
      </c>
      <c r="E693" s="2">
        <v>35.153467200000001</v>
      </c>
      <c r="F693" s="2">
        <v>35.394049199999998</v>
      </c>
      <c r="H693" s="8" t="str">
        <f t="shared" si="28"/>
        <v>35.27 (35.15 to 35.39)</v>
      </c>
    </row>
    <row r="697" spans="1:8" x14ac:dyDescent="0.3">
      <c r="A697" s="1" t="s">
        <v>129</v>
      </c>
    </row>
    <row r="699" spans="1:8" x14ac:dyDescent="0.3">
      <c r="A699" s="1" t="s">
        <v>423</v>
      </c>
    </row>
    <row r="700" spans="1:8" ht="17.25" thickBot="1" x14ac:dyDescent="0.35"/>
    <row r="701" spans="1:8" ht="16.5" customHeight="1" x14ac:dyDescent="0.3">
      <c r="A701" s="24" t="s">
        <v>75</v>
      </c>
      <c r="B701" s="26"/>
    </row>
    <row r="702" spans="1:8" ht="26.25" thickBot="1" x14ac:dyDescent="0.35">
      <c r="A702" s="13" t="s">
        <v>76</v>
      </c>
      <c r="B702" s="2">
        <v>183</v>
      </c>
    </row>
    <row r="703" spans="1:8" ht="26.25" thickBot="1" x14ac:dyDescent="0.35">
      <c r="A703" s="13" t="s">
        <v>77</v>
      </c>
      <c r="B703" s="2">
        <v>2955</v>
      </c>
    </row>
    <row r="704" spans="1:8" ht="39" thickBot="1" x14ac:dyDescent="0.35">
      <c r="A704" s="13" t="s">
        <v>78</v>
      </c>
      <c r="B704" s="2">
        <v>16728</v>
      </c>
    </row>
    <row r="705" spans="1:8" ht="25.5" x14ac:dyDescent="0.3">
      <c r="A705" s="14" t="s">
        <v>79</v>
      </c>
      <c r="B705" s="2">
        <v>7772307.96</v>
      </c>
    </row>
    <row r="706" spans="1:8" ht="17.25" thickBot="1" x14ac:dyDescent="0.35"/>
    <row r="707" spans="1:8" ht="33" customHeight="1" x14ac:dyDescent="0.3">
      <c r="A707" s="24" t="s">
        <v>80</v>
      </c>
      <c r="B707" s="26"/>
    </row>
    <row r="708" spans="1:8" ht="33.75" thickBot="1" x14ac:dyDescent="0.35">
      <c r="A708" s="13" t="s">
        <v>81</v>
      </c>
      <c r="B708" s="2" t="s">
        <v>82</v>
      </c>
    </row>
    <row r="709" spans="1:8" ht="25.5" x14ac:dyDescent="0.3">
      <c r="A709" s="14" t="s">
        <v>83</v>
      </c>
      <c r="B709" s="2" t="s">
        <v>84</v>
      </c>
    </row>
    <row r="710" spans="1:8" ht="17.25" thickBot="1" x14ac:dyDescent="0.35"/>
    <row r="711" spans="1:8" ht="16.5" customHeight="1" x14ac:dyDescent="0.3">
      <c r="A711" s="24" t="s">
        <v>130</v>
      </c>
      <c r="B711" s="26"/>
      <c r="C711" s="26"/>
      <c r="D711" s="26"/>
      <c r="E711" s="26"/>
      <c r="F711" s="26"/>
    </row>
    <row r="712" spans="1:8" x14ac:dyDescent="0.3">
      <c r="A712" s="25" t="s">
        <v>131</v>
      </c>
      <c r="B712" s="27" t="s">
        <v>46</v>
      </c>
      <c r="C712" s="27" t="s">
        <v>132</v>
      </c>
      <c r="D712" s="3" t="s">
        <v>133</v>
      </c>
      <c r="E712" s="27" t="s">
        <v>135</v>
      </c>
      <c r="F712" s="27"/>
    </row>
    <row r="713" spans="1:8" x14ac:dyDescent="0.3">
      <c r="A713" s="25"/>
      <c r="B713" s="27"/>
      <c r="C713" s="27"/>
      <c r="D713" s="3" t="s">
        <v>134</v>
      </c>
      <c r="E713" s="27"/>
      <c r="F713" s="27"/>
    </row>
    <row r="714" spans="1:8" ht="17.25" thickBot="1" x14ac:dyDescent="0.35">
      <c r="A714" s="13" t="s">
        <v>66</v>
      </c>
      <c r="B714" s="2">
        <v>16728</v>
      </c>
      <c r="C714" s="2">
        <v>8.7930589999999995</v>
      </c>
      <c r="D714" s="2">
        <v>6.8240000000000002E-3</v>
      </c>
      <c r="E714" s="2">
        <v>8.7796789000000004</v>
      </c>
      <c r="F714" s="2">
        <v>8.8064385000000005</v>
      </c>
      <c r="H714" s="8" t="str">
        <f t="shared" ref="H714:H717" si="29">TEXT(C714,"0.00")&amp;" ("&amp;TEXT(E714,"0.00")&amp;" to "&amp;TEXT(F714,"0.00")&amp;")"</f>
        <v>8.79 (8.78 to 8.81)</v>
      </c>
    </row>
    <row r="715" spans="1:8" ht="17.25" thickBot="1" x14ac:dyDescent="0.35">
      <c r="A715" s="13" t="s">
        <v>67</v>
      </c>
      <c r="B715" s="2">
        <v>16728</v>
      </c>
      <c r="C715" s="2">
        <v>0.68658300000000005</v>
      </c>
      <c r="D715" s="2">
        <v>7.5100000000000004E-4</v>
      </c>
      <c r="E715" s="2">
        <v>0.68511</v>
      </c>
      <c r="F715" s="2">
        <v>0.68805689999999997</v>
      </c>
      <c r="H715" s="8" t="str">
        <f t="shared" si="29"/>
        <v>0.69 (0.69 to 0.69)</v>
      </c>
    </row>
    <row r="716" spans="1:8" ht="17.25" thickBot="1" x14ac:dyDescent="0.35">
      <c r="A716" s="13" t="s">
        <v>68</v>
      </c>
      <c r="B716" s="2">
        <v>16728</v>
      </c>
      <c r="C716" s="2">
        <v>0.41326600000000002</v>
      </c>
      <c r="D716" s="2">
        <v>3.2940000000000001E-3</v>
      </c>
      <c r="E716" s="2">
        <v>0.4068078</v>
      </c>
      <c r="F716" s="2">
        <v>0.41972500000000001</v>
      </c>
      <c r="H716" s="8" t="str">
        <f t="shared" si="29"/>
        <v>0.41 (0.41 to 0.42)</v>
      </c>
    </row>
    <row r="717" spans="1:8" x14ac:dyDescent="0.3">
      <c r="A717" s="14" t="s">
        <v>69</v>
      </c>
      <c r="B717" s="2">
        <v>16728</v>
      </c>
      <c r="C717" s="2">
        <v>36.440175000000004</v>
      </c>
      <c r="D717" s="2">
        <v>7.0026000000000005E-2</v>
      </c>
      <c r="E717" s="2">
        <v>36.302866000000002</v>
      </c>
      <c r="F717" s="2">
        <v>36.577484699999999</v>
      </c>
      <c r="H717" s="8" t="str">
        <f t="shared" si="29"/>
        <v>36.44 (36.30 to 36.58)</v>
      </c>
    </row>
    <row r="721" spans="1:6" x14ac:dyDescent="0.3">
      <c r="A721" s="1" t="s">
        <v>129</v>
      </c>
    </row>
    <row r="723" spans="1:6" x14ac:dyDescent="0.3">
      <c r="A723" s="1" t="s">
        <v>424</v>
      </c>
    </row>
    <row r="724" spans="1:6" ht="17.25" thickBot="1" x14ac:dyDescent="0.35"/>
    <row r="725" spans="1:6" ht="16.5" customHeight="1" x14ac:dyDescent="0.3">
      <c r="A725" s="24" t="s">
        <v>75</v>
      </c>
      <c r="B725" s="26"/>
    </row>
    <row r="726" spans="1:6" ht="26.25" thickBot="1" x14ac:dyDescent="0.35">
      <c r="A726" s="13" t="s">
        <v>76</v>
      </c>
      <c r="B726" s="2">
        <v>183</v>
      </c>
    </row>
    <row r="727" spans="1:6" ht="26.25" thickBot="1" x14ac:dyDescent="0.35">
      <c r="A727" s="13" t="s">
        <v>77</v>
      </c>
      <c r="B727" s="2">
        <v>2982</v>
      </c>
    </row>
    <row r="728" spans="1:6" ht="39" thickBot="1" x14ac:dyDescent="0.35">
      <c r="A728" s="13" t="s">
        <v>78</v>
      </c>
      <c r="B728" s="2">
        <v>52064</v>
      </c>
    </row>
    <row r="729" spans="1:6" ht="25.5" x14ac:dyDescent="0.3">
      <c r="A729" s="14" t="s">
        <v>79</v>
      </c>
      <c r="B729" s="2">
        <v>22068162.600000001</v>
      </c>
    </row>
    <row r="730" spans="1:6" ht="17.25" thickBot="1" x14ac:dyDescent="0.35"/>
    <row r="731" spans="1:6" ht="33" customHeight="1" x14ac:dyDescent="0.3">
      <c r="A731" s="24" t="s">
        <v>80</v>
      </c>
      <c r="B731" s="26"/>
    </row>
    <row r="732" spans="1:6" ht="33.75" thickBot="1" x14ac:dyDescent="0.35">
      <c r="A732" s="13" t="s">
        <v>81</v>
      </c>
      <c r="B732" s="2" t="s">
        <v>82</v>
      </c>
    </row>
    <row r="733" spans="1:6" ht="25.5" x14ac:dyDescent="0.3">
      <c r="A733" s="14" t="s">
        <v>83</v>
      </c>
      <c r="B733" s="2" t="s">
        <v>84</v>
      </c>
    </row>
    <row r="734" spans="1:6" ht="17.25" thickBot="1" x14ac:dyDescent="0.35"/>
    <row r="735" spans="1:6" ht="16.5" customHeight="1" x14ac:dyDescent="0.3">
      <c r="A735" s="24" t="s">
        <v>130</v>
      </c>
      <c r="B735" s="26"/>
      <c r="C735" s="26"/>
      <c r="D735" s="26"/>
      <c r="E735" s="26"/>
      <c r="F735" s="26"/>
    </row>
    <row r="736" spans="1:6" x14ac:dyDescent="0.3">
      <c r="A736" s="25" t="s">
        <v>131</v>
      </c>
      <c r="B736" s="27" t="s">
        <v>46</v>
      </c>
      <c r="C736" s="27" t="s">
        <v>132</v>
      </c>
      <c r="D736" s="3" t="s">
        <v>133</v>
      </c>
      <c r="E736" s="27" t="s">
        <v>135</v>
      </c>
      <c r="F736" s="27"/>
    </row>
    <row r="737" spans="1:8" x14ac:dyDescent="0.3">
      <c r="A737" s="25"/>
      <c r="B737" s="27"/>
      <c r="C737" s="27"/>
      <c r="D737" s="3" t="s">
        <v>134</v>
      </c>
      <c r="E737" s="27"/>
      <c r="F737" s="27"/>
    </row>
    <row r="738" spans="1:8" ht="17.25" thickBot="1" x14ac:dyDescent="0.35">
      <c r="A738" s="13" t="s">
        <v>66</v>
      </c>
      <c r="B738" s="2">
        <v>52064</v>
      </c>
      <c r="C738" s="2">
        <v>8.5004109999999997</v>
      </c>
      <c r="D738" s="2">
        <v>3.7550000000000001E-3</v>
      </c>
      <c r="E738" s="2">
        <v>8.4930491999999997</v>
      </c>
      <c r="F738" s="2">
        <v>8.5077733000000002</v>
      </c>
      <c r="H738" s="8" t="str">
        <f t="shared" ref="H738:H741" si="30">TEXT(C738,"0.00")&amp;" ("&amp;TEXT(E738,"0.00")&amp;" to "&amp;TEXT(F738,"0.00")&amp;")"</f>
        <v>8.50 (8.49 to 8.51)</v>
      </c>
    </row>
    <row r="739" spans="1:8" ht="17.25" thickBot="1" x14ac:dyDescent="0.35">
      <c r="A739" s="13" t="s">
        <v>67</v>
      </c>
      <c r="B739" s="2">
        <v>52064</v>
      </c>
      <c r="C739" s="2">
        <v>0.65599799999999997</v>
      </c>
      <c r="D739" s="2">
        <v>4.84E-4</v>
      </c>
      <c r="E739" s="2">
        <v>0.65504960000000001</v>
      </c>
      <c r="F739" s="2">
        <v>0.65694719999999995</v>
      </c>
      <c r="H739" s="8" t="str">
        <f t="shared" si="30"/>
        <v>0.66 (0.66 to 0.66)</v>
      </c>
    </row>
    <row r="740" spans="1:8" ht="17.25" thickBot="1" x14ac:dyDescent="0.35">
      <c r="A740" s="13" t="s">
        <v>68</v>
      </c>
      <c r="B740" s="2">
        <v>52064</v>
      </c>
      <c r="C740" s="2">
        <v>0.29988700000000001</v>
      </c>
      <c r="D740" s="2">
        <v>1.8140000000000001E-3</v>
      </c>
      <c r="E740" s="2">
        <v>0.29633039999999999</v>
      </c>
      <c r="F740" s="2">
        <v>0.30344339999999997</v>
      </c>
      <c r="H740" s="8" t="str">
        <f t="shared" si="30"/>
        <v>0.30 (0.30 to 0.30)</v>
      </c>
    </row>
    <row r="741" spans="1:8" x14ac:dyDescent="0.3">
      <c r="A741" s="14" t="s">
        <v>69</v>
      </c>
      <c r="B741" s="2">
        <v>52064</v>
      </c>
      <c r="C741" s="2">
        <v>34.962178999999999</v>
      </c>
      <c r="D741" s="2">
        <v>4.4814E-2</v>
      </c>
      <c r="E741" s="2">
        <v>34.874306900000001</v>
      </c>
      <c r="F741" s="2">
        <v>35.050051099999997</v>
      </c>
      <c r="H741" s="8" t="str">
        <f t="shared" si="30"/>
        <v>34.96 (34.87 to 35.05)</v>
      </c>
    </row>
    <row r="745" spans="1:8" x14ac:dyDescent="0.3">
      <c r="A745" s="1" t="s">
        <v>129</v>
      </c>
    </row>
    <row r="747" spans="1:8" x14ac:dyDescent="0.3">
      <c r="A747" s="1" t="s">
        <v>425</v>
      </c>
    </row>
    <row r="748" spans="1:8" ht="17.25" thickBot="1" x14ac:dyDescent="0.35"/>
    <row r="749" spans="1:8" ht="16.5" customHeight="1" x14ac:dyDescent="0.3">
      <c r="A749" s="24" t="s">
        <v>75</v>
      </c>
      <c r="B749" s="26"/>
    </row>
    <row r="750" spans="1:8" ht="26.25" thickBot="1" x14ac:dyDescent="0.35">
      <c r="A750" s="13" t="s">
        <v>76</v>
      </c>
      <c r="B750" s="2">
        <v>183</v>
      </c>
    </row>
    <row r="751" spans="1:8" ht="26.25" thickBot="1" x14ac:dyDescent="0.35">
      <c r="A751" s="13" t="s">
        <v>77</v>
      </c>
      <c r="B751" s="2">
        <v>2929</v>
      </c>
    </row>
    <row r="752" spans="1:8" ht="39" thickBot="1" x14ac:dyDescent="0.35">
      <c r="A752" s="13" t="s">
        <v>78</v>
      </c>
      <c r="B752" s="2">
        <v>16571</v>
      </c>
    </row>
    <row r="753" spans="1:8" ht="25.5" x14ac:dyDescent="0.3">
      <c r="A753" s="14" t="s">
        <v>79</v>
      </c>
      <c r="B753" s="2">
        <v>8183773.0899999999</v>
      </c>
    </row>
    <row r="754" spans="1:8" ht="17.25" thickBot="1" x14ac:dyDescent="0.35"/>
    <row r="755" spans="1:8" ht="33" customHeight="1" x14ac:dyDescent="0.3">
      <c r="A755" s="24" t="s">
        <v>80</v>
      </c>
      <c r="B755" s="26"/>
    </row>
    <row r="756" spans="1:8" ht="33.75" thickBot="1" x14ac:dyDescent="0.35">
      <c r="A756" s="13" t="s">
        <v>81</v>
      </c>
      <c r="B756" s="2" t="s">
        <v>82</v>
      </c>
    </row>
    <row r="757" spans="1:8" ht="25.5" x14ac:dyDescent="0.3">
      <c r="A757" s="14" t="s">
        <v>83</v>
      </c>
      <c r="B757" s="2" t="s">
        <v>84</v>
      </c>
    </row>
    <row r="758" spans="1:8" ht="17.25" thickBot="1" x14ac:dyDescent="0.35"/>
    <row r="759" spans="1:8" ht="16.5" customHeight="1" x14ac:dyDescent="0.3">
      <c r="A759" s="24" t="s">
        <v>130</v>
      </c>
      <c r="B759" s="26"/>
      <c r="C759" s="26"/>
      <c r="D759" s="26"/>
      <c r="E759" s="26"/>
      <c r="F759" s="26"/>
    </row>
    <row r="760" spans="1:8" x14ac:dyDescent="0.3">
      <c r="A760" s="25" t="s">
        <v>131</v>
      </c>
      <c r="B760" s="27" t="s">
        <v>46</v>
      </c>
      <c r="C760" s="27" t="s">
        <v>132</v>
      </c>
      <c r="D760" s="3" t="s">
        <v>133</v>
      </c>
      <c r="E760" s="27" t="s">
        <v>135</v>
      </c>
      <c r="F760" s="27"/>
    </row>
    <row r="761" spans="1:8" x14ac:dyDescent="0.3">
      <c r="A761" s="25"/>
      <c r="B761" s="27"/>
      <c r="C761" s="27"/>
      <c r="D761" s="3" t="s">
        <v>134</v>
      </c>
      <c r="E761" s="27"/>
      <c r="F761" s="27"/>
    </row>
    <row r="762" spans="1:8" ht="17.25" thickBot="1" x14ac:dyDescent="0.35">
      <c r="A762" s="13" t="s">
        <v>66</v>
      </c>
      <c r="B762" s="2">
        <v>16571</v>
      </c>
      <c r="C762" s="2">
        <v>8.8048070000000003</v>
      </c>
      <c r="D762" s="2">
        <v>6.4339999999999996E-3</v>
      </c>
      <c r="E762" s="2">
        <v>8.7921911999999995</v>
      </c>
      <c r="F762" s="2">
        <v>8.8174233999999991</v>
      </c>
      <c r="H762" s="8" t="str">
        <f t="shared" ref="H762:H765" si="31">TEXT(C762,"0.00")&amp;" ("&amp;TEXT(E762,"0.00")&amp;" to "&amp;TEXT(F762,"0.00")&amp;")"</f>
        <v>8.80 (8.79 to 8.82)</v>
      </c>
    </row>
    <row r="763" spans="1:8" ht="17.25" thickBot="1" x14ac:dyDescent="0.35">
      <c r="A763" s="13" t="s">
        <v>67</v>
      </c>
      <c r="B763" s="2">
        <v>16571</v>
      </c>
      <c r="C763" s="2">
        <v>0.6845</v>
      </c>
      <c r="D763" s="2">
        <v>7.2099999999999996E-4</v>
      </c>
      <c r="E763" s="2">
        <v>0.68308630000000004</v>
      </c>
      <c r="F763" s="2">
        <v>0.68591420000000003</v>
      </c>
      <c r="H763" s="8" t="str">
        <f t="shared" si="31"/>
        <v>0.68 (0.68 to 0.69)</v>
      </c>
    </row>
    <row r="764" spans="1:8" ht="17.25" thickBot="1" x14ac:dyDescent="0.35">
      <c r="A764" s="13" t="s">
        <v>68</v>
      </c>
      <c r="B764" s="2">
        <v>16571</v>
      </c>
      <c r="C764" s="2">
        <v>0.467524</v>
      </c>
      <c r="D764" s="2">
        <v>3.0170000000000002E-3</v>
      </c>
      <c r="E764" s="2">
        <v>0.46160849999999998</v>
      </c>
      <c r="F764" s="2">
        <v>0.47343950000000001</v>
      </c>
      <c r="H764" s="8" t="str">
        <f t="shared" si="31"/>
        <v>0.47 (0.46 to 0.47)</v>
      </c>
    </row>
    <row r="765" spans="1:8" x14ac:dyDescent="0.3">
      <c r="A765" s="14" t="s">
        <v>69</v>
      </c>
      <c r="B765" s="2">
        <v>16571</v>
      </c>
      <c r="C765" s="2">
        <v>37.323988</v>
      </c>
      <c r="D765" s="2">
        <v>7.1712999999999999E-2</v>
      </c>
      <c r="E765" s="2">
        <v>37.183371100000002</v>
      </c>
      <c r="F765" s="2">
        <v>37.4646051</v>
      </c>
      <c r="H765" s="8" t="str">
        <f t="shared" si="31"/>
        <v>37.32 (37.18 to 37.46)</v>
      </c>
    </row>
    <row r="769" spans="1:6" x14ac:dyDescent="0.3">
      <c r="A769" s="1" t="s">
        <v>129</v>
      </c>
    </row>
    <row r="771" spans="1:6" x14ac:dyDescent="0.3">
      <c r="A771" s="1" t="s">
        <v>426</v>
      </c>
    </row>
    <row r="772" spans="1:6" ht="17.25" thickBot="1" x14ac:dyDescent="0.35"/>
    <row r="773" spans="1:6" ht="16.5" customHeight="1" x14ac:dyDescent="0.3">
      <c r="A773" s="24" t="s">
        <v>75</v>
      </c>
      <c r="B773" s="26"/>
    </row>
    <row r="774" spans="1:6" ht="26.25" thickBot="1" x14ac:dyDescent="0.35">
      <c r="A774" s="13" t="s">
        <v>76</v>
      </c>
      <c r="B774" s="2">
        <v>183</v>
      </c>
    </row>
    <row r="775" spans="1:6" ht="26.25" thickBot="1" x14ac:dyDescent="0.35">
      <c r="A775" s="13" t="s">
        <v>77</v>
      </c>
      <c r="B775" s="2">
        <v>2982</v>
      </c>
    </row>
    <row r="776" spans="1:6" ht="39" thickBot="1" x14ac:dyDescent="0.35">
      <c r="A776" s="13" t="s">
        <v>78</v>
      </c>
      <c r="B776" s="2">
        <v>53910</v>
      </c>
    </row>
    <row r="777" spans="1:6" ht="25.5" x14ac:dyDescent="0.3">
      <c r="A777" s="14" t="s">
        <v>79</v>
      </c>
      <c r="B777" s="2">
        <v>25120747.5</v>
      </c>
    </row>
    <row r="778" spans="1:6" ht="17.25" thickBot="1" x14ac:dyDescent="0.35"/>
    <row r="779" spans="1:6" ht="33" customHeight="1" x14ac:dyDescent="0.3">
      <c r="A779" s="24" t="s">
        <v>80</v>
      </c>
      <c r="B779" s="26"/>
    </row>
    <row r="780" spans="1:6" ht="33.75" thickBot="1" x14ac:dyDescent="0.35">
      <c r="A780" s="13" t="s">
        <v>81</v>
      </c>
      <c r="B780" s="2" t="s">
        <v>82</v>
      </c>
    </row>
    <row r="781" spans="1:6" ht="25.5" x14ac:dyDescent="0.3">
      <c r="A781" s="14" t="s">
        <v>83</v>
      </c>
      <c r="B781" s="2" t="s">
        <v>84</v>
      </c>
    </row>
    <row r="782" spans="1:6" ht="17.25" thickBot="1" x14ac:dyDescent="0.35"/>
    <row r="783" spans="1:6" ht="16.5" customHeight="1" x14ac:dyDescent="0.3">
      <c r="A783" s="24" t="s">
        <v>130</v>
      </c>
      <c r="B783" s="26"/>
      <c r="C783" s="26"/>
      <c r="D783" s="26"/>
      <c r="E783" s="26"/>
      <c r="F783" s="26"/>
    </row>
    <row r="784" spans="1:6" x14ac:dyDescent="0.3">
      <c r="A784" s="25" t="s">
        <v>131</v>
      </c>
      <c r="B784" s="27" t="s">
        <v>46</v>
      </c>
      <c r="C784" s="27" t="s">
        <v>132</v>
      </c>
      <c r="D784" s="3" t="s">
        <v>133</v>
      </c>
      <c r="E784" s="27" t="s">
        <v>135</v>
      </c>
      <c r="F784" s="27"/>
    </row>
    <row r="785" spans="1:8" x14ac:dyDescent="0.3">
      <c r="A785" s="25"/>
      <c r="B785" s="27"/>
      <c r="C785" s="27"/>
      <c r="D785" s="3" t="s">
        <v>134</v>
      </c>
      <c r="E785" s="27"/>
      <c r="F785" s="27"/>
    </row>
    <row r="786" spans="1:8" ht="17.25" thickBot="1" x14ac:dyDescent="0.35">
      <c r="A786" s="13" t="s">
        <v>66</v>
      </c>
      <c r="B786" s="2">
        <v>53910</v>
      </c>
      <c r="C786" s="2">
        <v>8.5257459999999998</v>
      </c>
      <c r="D786" s="2">
        <v>3.5920000000000001E-3</v>
      </c>
      <c r="E786" s="2">
        <v>8.5187030999999998</v>
      </c>
      <c r="F786" s="2">
        <v>8.5327886999999993</v>
      </c>
      <c r="H786" s="8" t="str">
        <f t="shared" ref="H786:H789" si="32">TEXT(C786,"0.00")&amp;" ("&amp;TEXT(E786,"0.00")&amp;" to "&amp;TEXT(F786,"0.00")&amp;")"</f>
        <v>8.53 (8.52 to 8.53)</v>
      </c>
    </row>
    <row r="787" spans="1:8" ht="17.25" thickBot="1" x14ac:dyDescent="0.35">
      <c r="A787" s="13" t="s">
        <v>67</v>
      </c>
      <c r="B787" s="2">
        <v>53910</v>
      </c>
      <c r="C787" s="2">
        <v>0.65406699999999995</v>
      </c>
      <c r="D787" s="2">
        <v>4.4000000000000002E-4</v>
      </c>
      <c r="E787" s="2">
        <v>0.6532038</v>
      </c>
      <c r="F787" s="2">
        <v>0.65493029999999997</v>
      </c>
      <c r="H787" s="8" t="str">
        <f t="shared" si="32"/>
        <v>0.65 (0.65 to 0.65)</v>
      </c>
    </row>
    <row r="788" spans="1:8" ht="17.25" thickBot="1" x14ac:dyDescent="0.35">
      <c r="A788" s="13" t="s">
        <v>68</v>
      </c>
      <c r="B788" s="2">
        <v>53910</v>
      </c>
      <c r="C788" s="2">
        <v>0.323911</v>
      </c>
      <c r="D788" s="2">
        <v>1.7700000000000001E-3</v>
      </c>
      <c r="E788" s="2">
        <v>0.32044050000000002</v>
      </c>
      <c r="F788" s="2">
        <v>0.32738139999999999</v>
      </c>
      <c r="H788" s="8" t="str">
        <f t="shared" si="32"/>
        <v>0.32 (0.32 to 0.33)</v>
      </c>
    </row>
    <row r="789" spans="1:8" x14ac:dyDescent="0.3">
      <c r="A789" s="14" t="s">
        <v>69</v>
      </c>
      <c r="B789" s="2">
        <v>53910</v>
      </c>
      <c r="C789" s="2">
        <v>34.870714999999997</v>
      </c>
      <c r="D789" s="2">
        <v>4.1292000000000002E-2</v>
      </c>
      <c r="E789" s="2">
        <v>34.789748299999999</v>
      </c>
      <c r="F789" s="2">
        <v>34.951681499999999</v>
      </c>
      <c r="H789" s="8" t="str">
        <f t="shared" si="32"/>
        <v>34.87 (34.79 to 34.95)</v>
      </c>
    </row>
    <row r="793" spans="1:8" x14ac:dyDescent="0.3">
      <c r="A793" s="1" t="s">
        <v>129</v>
      </c>
    </row>
    <row r="795" spans="1:8" x14ac:dyDescent="0.3">
      <c r="A795" s="1" t="s">
        <v>427</v>
      </c>
    </row>
    <row r="796" spans="1:8" ht="17.25" thickBot="1" x14ac:dyDescent="0.35"/>
    <row r="797" spans="1:8" ht="16.5" customHeight="1" x14ac:dyDescent="0.3">
      <c r="A797" s="24" t="s">
        <v>75</v>
      </c>
      <c r="B797" s="26"/>
    </row>
    <row r="798" spans="1:8" ht="26.25" thickBot="1" x14ac:dyDescent="0.35">
      <c r="A798" s="13" t="s">
        <v>76</v>
      </c>
      <c r="B798" s="2">
        <v>183</v>
      </c>
    </row>
    <row r="799" spans="1:8" ht="26.25" thickBot="1" x14ac:dyDescent="0.35">
      <c r="A799" s="13" t="s">
        <v>77</v>
      </c>
      <c r="B799" s="2">
        <v>2883</v>
      </c>
    </row>
    <row r="800" spans="1:8" ht="39" thickBot="1" x14ac:dyDescent="0.35">
      <c r="A800" s="13" t="s">
        <v>78</v>
      </c>
      <c r="B800" s="2">
        <v>14725</v>
      </c>
    </row>
    <row r="801" spans="1:8" ht="25.5" x14ac:dyDescent="0.3">
      <c r="A801" s="14" t="s">
        <v>79</v>
      </c>
      <c r="B801" s="2">
        <v>5131188.18</v>
      </c>
    </row>
    <row r="802" spans="1:8" ht="17.25" thickBot="1" x14ac:dyDescent="0.35"/>
    <row r="803" spans="1:8" ht="33" customHeight="1" x14ac:dyDescent="0.3">
      <c r="A803" s="24" t="s">
        <v>80</v>
      </c>
      <c r="B803" s="26"/>
    </row>
    <row r="804" spans="1:8" ht="33.75" thickBot="1" x14ac:dyDescent="0.35">
      <c r="A804" s="13" t="s">
        <v>81</v>
      </c>
      <c r="B804" s="2" t="s">
        <v>82</v>
      </c>
    </row>
    <row r="805" spans="1:8" ht="25.5" x14ac:dyDescent="0.3">
      <c r="A805" s="14" t="s">
        <v>83</v>
      </c>
      <c r="B805" s="2" t="s">
        <v>84</v>
      </c>
    </row>
    <row r="806" spans="1:8" ht="17.25" thickBot="1" x14ac:dyDescent="0.35"/>
    <row r="807" spans="1:8" ht="16.5" customHeight="1" x14ac:dyDescent="0.3">
      <c r="A807" s="24" t="s">
        <v>130</v>
      </c>
      <c r="B807" s="26"/>
      <c r="C807" s="26"/>
      <c r="D807" s="26"/>
      <c r="E807" s="26"/>
      <c r="F807" s="26"/>
    </row>
    <row r="808" spans="1:8" x14ac:dyDescent="0.3">
      <c r="A808" s="25" t="s">
        <v>131</v>
      </c>
      <c r="B808" s="27" t="s">
        <v>46</v>
      </c>
      <c r="C808" s="27" t="s">
        <v>132</v>
      </c>
      <c r="D808" s="3" t="s">
        <v>133</v>
      </c>
      <c r="E808" s="27" t="s">
        <v>135</v>
      </c>
      <c r="F808" s="27"/>
    </row>
    <row r="809" spans="1:8" x14ac:dyDescent="0.3">
      <c r="A809" s="25"/>
      <c r="B809" s="27"/>
      <c r="C809" s="27"/>
      <c r="D809" s="3" t="s">
        <v>134</v>
      </c>
      <c r="E809" s="27"/>
      <c r="F809" s="27"/>
    </row>
    <row r="810" spans="1:8" ht="17.25" thickBot="1" x14ac:dyDescent="0.35">
      <c r="A810" s="13" t="s">
        <v>66</v>
      </c>
      <c r="B810" s="2">
        <v>14725</v>
      </c>
      <c r="C810" s="2">
        <v>8.8618640000000006</v>
      </c>
      <c r="D810" s="2">
        <v>6.9080000000000001E-3</v>
      </c>
      <c r="E810" s="2">
        <v>8.8483196</v>
      </c>
      <c r="F810" s="2">
        <v>8.8754089999999994</v>
      </c>
      <c r="H810" s="8" t="str">
        <f t="shared" ref="H810:H813" si="33">TEXT(C810,"0.00")&amp;" ("&amp;TEXT(E810,"0.00")&amp;" to "&amp;TEXT(F810,"0.00")&amp;")"</f>
        <v>8.86 (8.85 to 8.88)</v>
      </c>
    </row>
    <row r="811" spans="1:8" ht="17.25" thickBot="1" x14ac:dyDescent="0.35">
      <c r="A811" s="13" t="s">
        <v>67</v>
      </c>
      <c r="B811" s="2">
        <v>14725</v>
      </c>
      <c r="C811" s="2">
        <v>0.71091199999999999</v>
      </c>
      <c r="D811" s="2">
        <v>7.4399999999999998E-4</v>
      </c>
      <c r="E811" s="2">
        <v>0.70945199999999997</v>
      </c>
      <c r="F811" s="2">
        <v>0.71237110000000003</v>
      </c>
      <c r="H811" s="8" t="str">
        <f t="shared" si="33"/>
        <v>0.71 (0.71 to 0.71)</v>
      </c>
    </row>
    <row r="812" spans="1:8" ht="17.25" thickBot="1" x14ac:dyDescent="0.35">
      <c r="A812" s="13" t="s">
        <v>68</v>
      </c>
      <c r="B812" s="2">
        <v>14725</v>
      </c>
      <c r="C812" s="2">
        <v>0.44963799999999998</v>
      </c>
      <c r="D812" s="2">
        <v>3.2390000000000001E-3</v>
      </c>
      <c r="E812" s="2">
        <v>0.4432873</v>
      </c>
      <c r="F812" s="2">
        <v>0.45598949999999999</v>
      </c>
      <c r="H812" s="8" t="str">
        <f t="shared" si="33"/>
        <v>0.45 (0.44 to 0.46)</v>
      </c>
    </row>
    <row r="813" spans="1:8" x14ac:dyDescent="0.3">
      <c r="A813" s="14" t="s">
        <v>69</v>
      </c>
      <c r="B813" s="2">
        <v>14725</v>
      </c>
      <c r="C813" s="2">
        <v>39.176828</v>
      </c>
      <c r="D813" s="2">
        <v>7.7585000000000001E-2</v>
      </c>
      <c r="E813" s="2">
        <v>39.0246949</v>
      </c>
      <c r="F813" s="2">
        <v>39.328960500000001</v>
      </c>
      <c r="H813" s="8" t="str">
        <f t="shared" si="33"/>
        <v>39.18 (39.02 to 39.33)</v>
      </c>
    </row>
    <row r="817" spans="1:6" x14ac:dyDescent="0.3">
      <c r="A817" s="1" t="s">
        <v>129</v>
      </c>
    </row>
    <row r="819" spans="1:6" x14ac:dyDescent="0.3">
      <c r="A819" s="1" t="s">
        <v>428</v>
      </c>
    </row>
    <row r="820" spans="1:6" ht="17.25" thickBot="1" x14ac:dyDescent="0.35"/>
    <row r="821" spans="1:6" ht="16.5" customHeight="1" x14ac:dyDescent="0.3">
      <c r="A821" s="24" t="s">
        <v>75</v>
      </c>
      <c r="B821" s="26"/>
    </row>
    <row r="822" spans="1:6" ht="26.25" thickBot="1" x14ac:dyDescent="0.35">
      <c r="A822" s="13" t="s">
        <v>76</v>
      </c>
      <c r="B822" s="2">
        <v>183</v>
      </c>
    </row>
    <row r="823" spans="1:6" ht="26.25" thickBot="1" x14ac:dyDescent="0.35">
      <c r="A823" s="13" t="s">
        <v>77</v>
      </c>
      <c r="B823" s="2">
        <v>2982</v>
      </c>
    </row>
    <row r="824" spans="1:6" ht="39" thickBot="1" x14ac:dyDescent="0.35">
      <c r="A824" s="13" t="s">
        <v>78</v>
      </c>
      <c r="B824" s="2">
        <v>58467</v>
      </c>
    </row>
    <row r="825" spans="1:6" ht="25.5" x14ac:dyDescent="0.3">
      <c r="A825" s="14" t="s">
        <v>79</v>
      </c>
      <c r="B825" s="2">
        <v>26457206.699999999</v>
      </c>
    </row>
    <row r="826" spans="1:6" ht="17.25" thickBot="1" x14ac:dyDescent="0.35"/>
    <row r="827" spans="1:6" ht="33" customHeight="1" x14ac:dyDescent="0.3">
      <c r="A827" s="24" t="s">
        <v>80</v>
      </c>
      <c r="B827" s="26"/>
    </row>
    <row r="828" spans="1:6" ht="33.75" thickBot="1" x14ac:dyDescent="0.35">
      <c r="A828" s="13" t="s">
        <v>81</v>
      </c>
      <c r="B828" s="2" t="s">
        <v>82</v>
      </c>
    </row>
    <row r="829" spans="1:6" ht="25.5" x14ac:dyDescent="0.3">
      <c r="A829" s="14" t="s">
        <v>83</v>
      </c>
      <c r="B829" s="2" t="s">
        <v>84</v>
      </c>
    </row>
    <row r="830" spans="1:6" ht="17.25" thickBot="1" x14ac:dyDescent="0.35"/>
    <row r="831" spans="1:6" ht="16.5" customHeight="1" x14ac:dyDescent="0.3">
      <c r="A831" s="24" t="s">
        <v>130</v>
      </c>
      <c r="B831" s="26"/>
      <c r="C831" s="26"/>
      <c r="D831" s="26"/>
      <c r="E831" s="26"/>
      <c r="F831" s="26"/>
    </row>
    <row r="832" spans="1:6" x14ac:dyDescent="0.3">
      <c r="A832" s="25" t="s">
        <v>131</v>
      </c>
      <c r="B832" s="27" t="s">
        <v>46</v>
      </c>
      <c r="C832" s="27" t="s">
        <v>132</v>
      </c>
      <c r="D832" s="3" t="s">
        <v>133</v>
      </c>
      <c r="E832" s="27" t="s">
        <v>135</v>
      </c>
      <c r="F832" s="27"/>
    </row>
    <row r="833" spans="1:8" x14ac:dyDescent="0.3">
      <c r="A833" s="25"/>
      <c r="B833" s="27"/>
      <c r="C833" s="27"/>
      <c r="D833" s="3" t="s">
        <v>134</v>
      </c>
      <c r="E833" s="27"/>
      <c r="F833" s="27"/>
    </row>
    <row r="834" spans="1:8" ht="17.25" thickBot="1" x14ac:dyDescent="0.35">
      <c r="A834" s="13" t="s">
        <v>66</v>
      </c>
      <c r="B834" s="2">
        <v>58467</v>
      </c>
      <c r="C834" s="2">
        <v>8.5398770000000006</v>
      </c>
      <c r="D834" s="2">
        <v>3.604E-3</v>
      </c>
      <c r="E834" s="2">
        <v>8.5328111</v>
      </c>
      <c r="F834" s="2">
        <v>8.5469434999999994</v>
      </c>
      <c r="H834" s="8" t="str">
        <f t="shared" ref="H834:H837" si="34">TEXT(C834,"0.00")&amp;" ("&amp;TEXT(E834,"0.00")&amp;" to "&amp;TEXT(F834,"0.00")&amp;")"</f>
        <v>8.54 (8.53 to 8.55)</v>
      </c>
    </row>
    <row r="835" spans="1:8" ht="17.25" thickBot="1" x14ac:dyDescent="0.35">
      <c r="A835" s="13" t="s">
        <v>67</v>
      </c>
      <c r="B835" s="2">
        <v>58467</v>
      </c>
      <c r="C835" s="2">
        <v>0.65729700000000002</v>
      </c>
      <c r="D835" s="2">
        <v>4.4799999999999999E-4</v>
      </c>
      <c r="E835" s="2">
        <v>0.65641769999999999</v>
      </c>
      <c r="F835" s="2">
        <v>0.65817619999999999</v>
      </c>
      <c r="H835" s="8" t="str">
        <f t="shared" si="34"/>
        <v>0.66 (0.66 to 0.66)</v>
      </c>
    </row>
    <row r="836" spans="1:8" ht="17.25" thickBot="1" x14ac:dyDescent="0.35">
      <c r="A836" s="13" t="s">
        <v>68</v>
      </c>
      <c r="B836" s="2">
        <v>58467</v>
      </c>
      <c r="C836" s="2">
        <v>0.33081100000000002</v>
      </c>
      <c r="D836" s="2">
        <v>1.7589999999999999E-3</v>
      </c>
      <c r="E836" s="2">
        <v>0.32736229999999999</v>
      </c>
      <c r="F836" s="2">
        <v>0.33426</v>
      </c>
      <c r="H836" s="8" t="str">
        <f t="shared" si="34"/>
        <v>0.33 (0.33 to 0.33)</v>
      </c>
    </row>
    <row r="837" spans="1:8" x14ac:dyDescent="0.3">
      <c r="A837" s="14" t="s">
        <v>69</v>
      </c>
      <c r="B837" s="2">
        <v>58467</v>
      </c>
      <c r="C837" s="2">
        <v>35.181688999999999</v>
      </c>
      <c r="D837" s="2">
        <v>4.0384999999999997E-2</v>
      </c>
      <c r="E837" s="2">
        <v>35.1025007</v>
      </c>
      <c r="F837" s="2">
        <v>35.260876500000002</v>
      </c>
      <c r="H837" s="8" t="str">
        <f t="shared" si="34"/>
        <v>35.18 (35.10 to 35.26)</v>
      </c>
    </row>
    <row r="841" spans="1:8" x14ac:dyDescent="0.3">
      <c r="A841" s="1" t="s">
        <v>129</v>
      </c>
    </row>
    <row r="843" spans="1:8" x14ac:dyDescent="0.3">
      <c r="A843" s="1" t="s">
        <v>429</v>
      </c>
    </row>
    <row r="844" spans="1:8" ht="17.25" thickBot="1" x14ac:dyDescent="0.35"/>
    <row r="845" spans="1:8" ht="16.5" customHeight="1" x14ac:dyDescent="0.3">
      <c r="A845" s="24" t="s">
        <v>75</v>
      </c>
      <c r="B845" s="26"/>
    </row>
    <row r="846" spans="1:8" ht="26.25" thickBot="1" x14ac:dyDescent="0.35">
      <c r="A846" s="13" t="s">
        <v>76</v>
      </c>
      <c r="B846" s="2">
        <v>183</v>
      </c>
    </row>
    <row r="847" spans="1:8" ht="26.25" thickBot="1" x14ac:dyDescent="0.35">
      <c r="A847" s="13" t="s">
        <v>77</v>
      </c>
      <c r="B847" s="2">
        <v>2690</v>
      </c>
    </row>
    <row r="848" spans="1:8" ht="39" thickBot="1" x14ac:dyDescent="0.35">
      <c r="A848" s="13" t="s">
        <v>78</v>
      </c>
      <c r="B848" s="2">
        <v>10168</v>
      </c>
    </row>
    <row r="849" spans="1:8" ht="25.5" x14ac:dyDescent="0.3">
      <c r="A849" s="14" t="s">
        <v>79</v>
      </c>
      <c r="B849" s="2">
        <v>3794728.93</v>
      </c>
    </row>
    <row r="850" spans="1:8" ht="17.25" thickBot="1" x14ac:dyDescent="0.35"/>
    <row r="851" spans="1:8" ht="33" customHeight="1" x14ac:dyDescent="0.3">
      <c r="A851" s="24" t="s">
        <v>80</v>
      </c>
      <c r="B851" s="26"/>
    </row>
    <row r="852" spans="1:8" ht="33.75" thickBot="1" x14ac:dyDescent="0.35">
      <c r="A852" s="13" t="s">
        <v>81</v>
      </c>
      <c r="B852" s="2" t="s">
        <v>82</v>
      </c>
    </row>
    <row r="853" spans="1:8" ht="25.5" x14ac:dyDescent="0.3">
      <c r="A853" s="14" t="s">
        <v>83</v>
      </c>
      <c r="B853" s="2" t="s">
        <v>84</v>
      </c>
    </row>
    <row r="854" spans="1:8" ht="17.25" thickBot="1" x14ac:dyDescent="0.35"/>
    <row r="855" spans="1:8" ht="16.5" customHeight="1" x14ac:dyDescent="0.3">
      <c r="A855" s="24" t="s">
        <v>130</v>
      </c>
      <c r="B855" s="26"/>
      <c r="C855" s="26"/>
      <c r="D855" s="26"/>
      <c r="E855" s="26"/>
      <c r="F855" s="26"/>
    </row>
    <row r="856" spans="1:8" x14ac:dyDescent="0.3">
      <c r="A856" s="25" t="s">
        <v>131</v>
      </c>
      <c r="B856" s="27" t="s">
        <v>46</v>
      </c>
      <c r="C856" s="27" t="s">
        <v>132</v>
      </c>
      <c r="D856" s="3" t="s">
        <v>133</v>
      </c>
      <c r="E856" s="27" t="s">
        <v>135</v>
      </c>
      <c r="F856" s="27"/>
    </row>
    <row r="857" spans="1:8" x14ac:dyDescent="0.3">
      <c r="A857" s="25"/>
      <c r="B857" s="27"/>
      <c r="C857" s="27"/>
      <c r="D857" s="3" t="s">
        <v>134</v>
      </c>
      <c r="E857" s="27"/>
      <c r="F857" s="27"/>
    </row>
    <row r="858" spans="1:8" ht="17.25" thickBot="1" x14ac:dyDescent="0.35">
      <c r="A858" s="13" t="s">
        <v>66</v>
      </c>
      <c r="B858" s="2">
        <v>10168</v>
      </c>
      <c r="C858" s="2">
        <v>8.8817160000000008</v>
      </c>
      <c r="D858" s="2">
        <v>8.0440000000000008E-3</v>
      </c>
      <c r="E858" s="2">
        <v>8.8659429999999997</v>
      </c>
      <c r="F858" s="2">
        <v>8.8974886000000009</v>
      </c>
      <c r="H858" s="8" t="str">
        <f t="shared" ref="H858:H861" si="35">TEXT(C858,"0.00")&amp;" ("&amp;TEXT(E858,"0.00")&amp;" to "&amp;TEXT(F858,"0.00")&amp;")"</f>
        <v>8.88 (8.87 to 8.90)</v>
      </c>
    </row>
    <row r="859" spans="1:8" ht="17.25" thickBot="1" x14ac:dyDescent="0.35">
      <c r="A859" s="13" t="s">
        <v>67</v>
      </c>
      <c r="B859" s="2">
        <v>10168</v>
      </c>
      <c r="C859" s="2">
        <v>0.70841200000000004</v>
      </c>
      <c r="D859" s="2">
        <v>8.52E-4</v>
      </c>
      <c r="E859" s="2">
        <v>0.70674099999999995</v>
      </c>
      <c r="F859" s="2">
        <v>0.71008340000000003</v>
      </c>
      <c r="H859" s="8" t="str">
        <f t="shared" si="35"/>
        <v>0.71 (0.71 to 0.71)</v>
      </c>
    </row>
    <row r="860" spans="1:8" ht="17.25" thickBot="1" x14ac:dyDescent="0.35">
      <c r="A860" s="13" t="s">
        <v>68</v>
      </c>
      <c r="B860" s="2">
        <v>10168</v>
      </c>
      <c r="C860" s="2">
        <v>0.44580900000000001</v>
      </c>
      <c r="D860" s="2">
        <v>3.8899999999999998E-3</v>
      </c>
      <c r="E860" s="2">
        <v>0.43818059999999998</v>
      </c>
      <c r="F860" s="2">
        <v>0.4534377</v>
      </c>
      <c r="H860" s="8" t="str">
        <f t="shared" si="35"/>
        <v>0.45 (0.44 to 0.45)</v>
      </c>
    </row>
    <row r="861" spans="1:8" x14ac:dyDescent="0.3">
      <c r="A861" s="14" t="s">
        <v>69</v>
      </c>
      <c r="B861" s="2">
        <v>10168</v>
      </c>
      <c r="C861" s="2">
        <v>38.525252999999999</v>
      </c>
      <c r="D861" s="2">
        <v>9.0774999999999995E-2</v>
      </c>
      <c r="E861" s="2">
        <v>38.3472504</v>
      </c>
      <c r="F861" s="2">
        <v>38.703254800000003</v>
      </c>
      <c r="H861" s="8" t="str">
        <f t="shared" si="35"/>
        <v>38.53 (38.35 to 38.70)</v>
      </c>
    </row>
    <row r="865" spans="1:6" x14ac:dyDescent="0.3">
      <c r="A865" s="1" t="s">
        <v>129</v>
      </c>
    </row>
    <row r="867" spans="1:6" x14ac:dyDescent="0.3">
      <c r="A867" s="1" t="s">
        <v>430</v>
      </c>
    </row>
    <row r="868" spans="1:6" ht="17.25" thickBot="1" x14ac:dyDescent="0.35"/>
    <row r="869" spans="1:6" ht="16.5" customHeight="1" x14ac:dyDescent="0.3">
      <c r="A869" s="24" t="s">
        <v>75</v>
      </c>
      <c r="B869" s="26"/>
    </row>
    <row r="870" spans="1:6" ht="26.25" thickBot="1" x14ac:dyDescent="0.35">
      <c r="A870" s="13" t="s">
        <v>76</v>
      </c>
      <c r="B870" s="2">
        <v>183</v>
      </c>
    </row>
    <row r="871" spans="1:6" ht="26.25" thickBot="1" x14ac:dyDescent="0.35">
      <c r="A871" s="13" t="s">
        <v>77</v>
      </c>
      <c r="B871" s="2">
        <v>2982</v>
      </c>
    </row>
    <row r="872" spans="1:6" ht="39" thickBot="1" x14ac:dyDescent="0.35">
      <c r="A872" s="13" t="s">
        <v>78</v>
      </c>
      <c r="B872" s="2">
        <v>67344</v>
      </c>
    </row>
    <row r="873" spans="1:6" ht="25.5" x14ac:dyDescent="0.3">
      <c r="A873" s="14" t="s">
        <v>79</v>
      </c>
      <c r="B873" s="2">
        <v>29839323.300000001</v>
      </c>
    </row>
    <row r="874" spans="1:6" ht="17.25" thickBot="1" x14ac:dyDescent="0.35"/>
    <row r="875" spans="1:6" ht="33" customHeight="1" x14ac:dyDescent="0.3">
      <c r="A875" s="24" t="s">
        <v>80</v>
      </c>
      <c r="B875" s="26"/>
    </row>
    <row r="876" spans="1:6" ht="33.75" thickBot="1" x14ac:dyDescent="0.35">
      <c r="A876" s="13" t="s">
        <v>81</v>
      </c>
      <c r="B876" s="2" t="s">
        <v>82</v>
      </c>
    </row>
    <row r="877" spans="1:6" ht="25.5" x14ac:dyDescent="0.3">
      <c r="A877" s="14" t="s">
        <v>83</v>
      </c>
      <c r="B877" s="2" t="s">
        <v>84</v>
      </c>
    </row>
    <row r="878" spans="1:6" ht="17.25" thickBot="1" x14ac:dyDescent="0.35"/>
    <row r="879" spans="1:6" ht="16.5" customHeight="1" x14ac:dyDescent="0.3">
      <c r="A879" s="24" t="s">
        <v>130</v>
      </c>
      <c r="B879" s="26"/>
      <c r="C879" s="26"/>
      <c r="D879" s="26"/>
      <c r="E879" s="26"/>
      <c r="F879" s="26"/>
    </row>
    <row r="880" spans="1:6" x14ac:dyDescent="0.3">
      <c r="A880" s="25" t="s">
        <v>131</v>
      </c>
      <c r="B880" s="27" t="s">
        <v>46</v>
      </c>
      <c r="C880" s="27" t="s">
        <v>132</v>
      </c>
      <c r="D880" s="3" t="s">
        <v>133</v>
      </c>
      <c r="E880" s="27" t="s">
        <v>135</v>
      </c>
      <c r="F880" s="27"/>
    </row>
    <row r="881" spans="1:8" x14ac:dyDescent="0.3">
      <c r="A881" s="25"/>
      <c r="B881" s="27"/>
      <c r="C881" s="27"/>
      <c r="D881" s="3" t="s">
        <v>134</v>
      </c>
      <c r="E881" s="27"/>
      <c r="F881" s="27"/>
    </row>
    <row r="882" spans="1:8" ht="17.25" thickBot="1" x14ac:dyDescent="0.35">
      <c r="A882" s="13" t="s">
        <v>66</v>
      </c>
      <c r="B882" s="2">
        <v>67344</v>
      </c>
      <c r="C882" s="2">
        <v>8.5799140000000005</v>
      </c>
      <c r="D882" s="2">
        <v>3.4499999999999999E-3</v>
      </c>
      <c r="E882" s="2">
        <v>8.5731479999999998</v>
      </c>
      <c r="F882" s="2">
        <v>8.5866790999999996</v>
      </c>
      <c r="H882" s="8" t="str">
        <f t="shared" ref="H882:H885" si="36">TEXT(C882,"0.00")&amp;" ("&amp;TEXT(E882,"0.00")&amp;" to "&amp;TEXT(F882,"0.00")&amp;")"</f>
        <v>8.58 (8.57 to 8.59)</v>
      </c>
    </row>
    <row r="883" spans="1:8" ht="17.25" thickBot="1" x14ac:dyDescent="0.35">
      <c r="A883" s="13" t="s">
        <v>67</v>
      </c>
      <c r="B883" s="2">
        <v>67344</v>
      </c>
      <c r="C883" s="2">
        <v>0.66305899999999995</v>
      </c>
      <c r="D883" s="2">
        <v>4.4200000000000001E-4</v>
      </c>
      <c r="E883" s="2">
        <v>0.66219289999999997</v>
      </c>
      <c r="F883" s="2">
        <v>0.66392450000000003</v>
      </c>
      <c r="H883" s="8" t="str">
        <f t="shared" si="36"/>
        <v>0.66 (0.66 to 0.66)</v>
      </c>
    </row>
    <row r="884" spans="1:8" ht="17.25" thickBot="1" x14ac:dyDescent="0.35">
      <c r="A884" s="13" t="s">
        <v>68</v>
      </c>
      <c r="B884" s="2">
        <v>67344</v>
      </c>
      <c r="C884" s="2">
        <v>0.344053</v>
      </c>
      <c r="D884" s="2">
        <v>1.6620000000000001E-3</v>
      </c>
      <c r="E884" s="2">
        <v>0.34079409999999999</v>
      </c>
      <c r="F884" s="2">
        <v>0.34731269999999997</v>
      </c>
      <c r="H884" s="8" t="str">
        <f t="shared" si="36"/>
        <v>0.34 (0.34 to 0.35)</v>
      </c>
    </row>
    <row r="885" spans="1:8" x14ac:dyDescent="0.3">
      <c r="A885" s="14" t="s">
        <v>69</v>
      </c>
      <c r="B885" s="2">
        <v>67344</v>
      </c>
      <c r="C885" s="2">
        <v>35.567458000000002</v>
      </c>
      <c r="D885" s="2">
        <v>3.9211999999999997E-2</v>
      </c>
      <c r="E885" s="2">
        <v>35.490569800000003</v>
      </c>
      <c r="F885" s="2">
        <v>35.6443455</v>
      </c>
      <c r="H885" s="8" t="str">
        <f t="shared" si="36"/>
        <v>35.57 (35.49 to 35.64)</v>
      </c>
    </row>
    <row r="889" spans="1:8" x14ac:dyDescent="0.3">
      <c r="A889" s="1" t="s">
        <v>129</v>
      </c>
    </row>
    <row r="891" spans="1:8" x14ac:dyDescent="0.3">
      <c r="A891" s="1" t="s">
        <v>431</v>
      </c>
    </row>
    <row r="892" spans="1:8" ht="17.25" thickBot="1" x14ac:dyDescent="0.35"/>
    <row r="893" spans="1:8" ht="16.5" customHeight="1" x14ac:dyDescent="0.3">
      <c r="A893" s="24" t="s">
        <v>75</v>
      </c>
      <c r="B893" s="26"/>
    </row>
    <row r="894" spans="1:8" ht="26.25" thickBot="1" x14ac:dyDescent="0.35">
      <c r="A894" s="13" t="s">
        <v>76</v>
      </c>
      <c r="B894" s="2">
        <v>169</v>
      </c>
    </row>
    <row r="895" spans="1:8" ht="26.25" thickBot="1" x14ac:dyDescent="0.35">
      <c r="A895" s="13" t="s">
        <v>77</v>
      </c>
      <c r="B895" s="2">
        <v>981</v>
      </c>
    </row>
    <row r="896" spans="1:8" ht="39" thickBot="1" x14ac:dyDescent="0.35">
      <c r="A896" s="13" t="s">
        <v>78</v>
      </c>
      <c r="B896" s="2">
        <v>1291</v>
      </c>
    </row>
    <row r="897" spans="1:8" ht="25.5" x14ac:dyDescent="0.3">
      <c r="A897" s="14" t="s">
        <v>79</v>
      </c>
      <c r="B897" s="2">
        <v>412612.39299999998</v>
      </c>
    </row>
    <row r="898" spans="1:8" ht="17.25" thickBot="1" x14ac:dyDescent="0.35"/>
    <row r="899" spans="1:8" ht="33" customHeight="1" x14ac:dyDescent="0.3">
      <c r="A899" s="24" t="s">
        <v>80</v>
      </c>
      <c r="B899" s="26"/>
    </row>
    <row r="900" spans="1:8" ht="33.75" thickBot="1" x14ac:dyDescent="0.35">
      <c r="A900" s="13" t="s">
        <v>81</v>
      </c>
      <c r="B900" s="2" t="s">
        <v>82</v>
      </c>
    </row>
    <row r="901" spans="1:8" ht="25.5" x14ac:dyDescent="0.3">
      <c r="A901" s="14" t="s">
        <v>83</v>
      </c>
      <c r="B901" s="2" t="s">
        <v>84</v>
      </c>
    </row>
    <row r="902" spans="1:8" ht="17.25" thickBot="1" x14ac:dyDescent="0.35"/>
    <row r="903" spans="1:8" ht="16.5" customHeight="1" x14ac:dyDescent="0.3">
      <c r="A903" s="24" t="s">
        <v>130</v>
      </c>
      <c r="B903" s="26"/>
      <c r="C903" s="26"/>
      <c r="D903" s="26"/>
      <c r="E903" s="26"/>
      <c r="F903" s="26"/>
    </row>
    <row r="904" spans="1:8" x14ac:dyDescent="0.3">
      <c r="A904" s="25" t="s">
        <v>131</v>
      </c>
      <c r="B904" s="27" t="s">
        <v>46</v>
      </c>
      <c r="C904" s="27" t="s">
        <v>132</v>
      </c>
      <c r="D904" s="3" t="s">
        <v>133</v>
      </c>
      <c r="E904" s="27" t="s">
        <v>135</v>
      </c>
      <c r="F904" s="27"/>
    </row>
    <row r="905" spans="1:8" x14ac:dyDescent="0.3">
      <c r="A905" s="25"/>
      <c r="B905" s="27"/>
      <c r="C905" s="27"/>
      <c r="D905" s="3" t="s">
        <v>134</v>
      </c>
      <c r="E905" s="27"/>
      <c r="F905" s="27"/>
    </row>
    <row r="906" spans="1:8" ht="17.25" thickBot="1" x14ac:dyDescent="0.35">
      <c r="A906" s="13" t="s">
        <v>66</v>
      </c>
      <c r="B906" s="2">
        <v>1291</v>
      </c>
      <c r="C906" s="2">
        <v>8.7883659999999999</v>
      </c>
      <c r="D906" s="2">
        <v>2.0396999999999998E-2</v>
      </c>
      <c r="E906" s="2">
        <v>8.7483287000000001</v>
      </c>
      <c r="F906" s="2">
        <v>8.8284038999999996</v>
      </c>
      <c r="H906" s="8" t="str">
        <f t="shared" ref="H906:H909" si="37">TEXT(C906,"0.00")&amp;" ("&amp;TEXT(E906,"0.00")&amp;" to "&amp;TEXT(F906,"0.00")&amp;")"</f>
        <v>8.79 (8.75 to 8.83)</v>
      </c>
    </row>
    <row r="907" spans="1:8" ht="17.25" thickBot="1" x14ac:dyDescent="0.35">
      <c r="A907" s="13" t="s">
        <v>67</v>
      </c>
      <c r="B907" s="2">
        <v>1291</v>
      </c>
      <c r="C907" s="2">
        <v>0.71071499999999999</v>
      </c>
      <c r="D907" s="2">
        <v>2.258E-3</v>
      </c>
      <c r="E907" s="2">
        <v>0.70628389999999996</v>
      </c>
      <c r="F907" s="2">
        <v>0.71514679999999997</v>
      </c>
      <c r="H907" s="8" t="str">
        <f t="shared" si="37"/>
        <v>0.71 (0.71 to 0.72)</v>
      </c>
    </row>
    <row r="908" spans="1:8" ht="17.25" thickBot="1" x14ac:dyDescent="0.35">
      <c r="A908" s="13" t="s">
        <v>68</v>
      </c>
      <c r="B908" s="2">
        <v>1291</v>
      </c>
      <c r="C908" s="2">
        <v>0.43077599999999999</v>
      </c>
      <c r="D908" s="2">
        <v>9.5610000000000001E-3</v>
      </c>
      <c r="E908" s="2">
        <v>0.41200930000000002</v>
      </c>
      <c r="F908" s="2">
        <v>0.44954270000000002</v>
      </c>
      <c r="H908" s="8" t="str">
        <f t="shared" si="37"/>
        <v>0.43 (0.41 to 0.45)</v>
      </c>
    </row>
    <row r="909" spans="1:8" x14ac:dyDescent="0.3">
      <c r="A909" s="14" t="s">
        <v>69</v>
      </c>
      <c r="B909" s="2">
        <v>1291</v>
      </c>
      <c r="C909" s="2">
        <v>38.033833999999999</v>
      </c>
      <c r="D909" s="2">
        <v>0.22182399999999999</v>
      </c>
      <c r="E909" s="2">
        <v>37.598419300000003</v>
      </c>
      <c r="F909" s="2">
        <v>38.469249699999999</v>
      </c>
      <c r="H909" s="8" t="str">
        <f t="shared" si="37"/>
        <v>38.03 (37.60 to 38.47)</v>
      </c>
    </row>
    <row r="913" spans="1:6" x14ac:dyDescent="0.3">
      <c r="A913" s="1" t="s">
        <v>129</v>
      </c>
    </row>
    <row r="915" spans="1:6" x14ac:dyDescent="0.3">
      <c r="A915" s="1" t="s">
        <v>432</v>
      </c>
    </row>
    <row r="916" spans="1:6" ht="17.25" thickBot="1" x14ac:dyDescent="0.35"/>
    <row r="917" spans="1:6" ht="16.5" customHeight="1" x14ac:dyDescent="0.3">
      <c r="A917" s="24" t="s">
        <v>75</v>
      </c>
      <c r="B917" s="26"/>
    </row>
    <row r="918" spans="1:6" ht="26.25" thickBot="1" x14ac:dyDescent="0.35">
      <c r="A918" s="13" t="s">
        <v>76</v>
      </c>
      <c r="B918" s="2">
        <v>183</v>
      </c>
    </row>
    <row r="919" spans="1:6" ht="26.25" thickBot="1" x14ac:dyDescent="0.35">
      <c r="A919" s="13" t="s">
        <v>77</v>
      </c>
      <c r="B919" s="2">
        <v>2982</v>
      </c>
    </row>
    <row r="920" spans="1:6" ht="39" thickBot="1" x14ac:dyDescent="0.35">
      <c r="A920" s="13" t="s">
        <v>78</v>
      </c>
      <c r="B920" s="2">
        <v>67998</v>
      </c>
    </row>
    <row r="921" spans="1:6" ht="25.5" x14ac:dyDescent="0.3">
      <c r="A921" s="14" t="s">
        <v>79</v>
      </c>
      <c r="B921" s="2">
        <v>30047789.399999999</v>
      </c>
    </row>
    <row r="922" spans="1:6" ht="17.25" thickBot="1" x14ac:dyDescent="0.35"/>
    <row r="923" spans="1:6" ht="33" customHeight="1" x14ac:dyDescent="0.3">
      <c r="A923" s="24" t="s">
        <v>80</v>
      </c>
      <c r="B923" s="26"/>
    </row>
    <row r="924" spans="1:6" ht="33.75" thickBot="1" x14ac:dyDescent="0.35">
      <c r="A924" s="13" t="s">
        <v>81</v>
      </c>
      <c r="B924" s="2" t="s">
        <v>82</v>
      </c>
    </row>
    <row r="925" spans="1:6" ht="25.5" x14ac:dyDescent="0.3">
      <c r="A925" s="14" t="s">
        <v>83</v>
      </c>
      <c r="B925" s="2" t="s">
        <v>84</v>
      </c>
    </row>
    <row r="926" spans="1:6" ht="17.25" thickBot="1" x14ac:dyDescent="0.35"/>
    <row r="927" spans="1:6" ht="16.5" customHeight="1" x14ac:dyDescent="0.3">
      <c r="A927" s="24" t="s">
        <v>130</v>
      </c>
      <c r="B927" s="26"/>
      <c r="C927" s="26"/>
      <c r="D927" s="26"/>
      <c r="E927" s="26"/>
      <c r="F927" s="26"/>
    </row>
    <row r="928" spans="1:6" x14ac:dyDescent="0.3">
      <c r="A928" s="25" t="s">
        <v>131</v>
      </c>
      <c r="B928" s="27" t="s">
        <v>46</v>
      </c>
      <c r="C928" s="27" t="s">
        <v>132</v>
      </c>
      <c r="D928" s="3" t="s">
        <v>133</v>
      </c>
      <c r="E928" s="27" t="s">
        <v>135</v>
      </c>
      <c r="F928" s="27"/>
    </row>
    <row r="929" spans="1:8" x14ac:dyDescent="0.3">
      <c r="A929" s="25"/>
      <c r="B929" s="27"/>
      <c r="C929" s="27"/>
      <c r="D929" s="3" t="s">
        <v>134</v>
      </c>
      <c r="E929" s="27"/>
      <c r="F929" s="27"/>
    </row>
    <row r="930" spans="1:8" ht="17.25" thickBot="1" x14ac:dyDescent="0.35">
      <c r="A930" s="13" t="s">
        <v>66</v>
      </c>
      <c r="B930" s="2">
        <v>67998</v>
      </c>
      <c r="C930" s="2">
        <v>8.5813369999999995</v>
      </c>
      <c r="D930" s="2">
        <v>3.4429999999999999E-3</v>
      </c>
      <c r="E930" s="2">
        <v>8.5745853000000007</v>
      </c>
      <c r="F930" s="2">
        <v>8.5880890000000001</v>
      </c>
      <c r="H930" s="8" t="str">
        <f t="shared" ref="H930:H933" si="38">TEXT(C930,"0.00")&amp;" ("&amp;TEXT(E930,"0.00")&amp;" to "&amp;TEXT(F930,"0.00")&amp;")"</f>
        <v>8.58 (8.57 to 8.59)</v>
      </c>
    </row>
    <row r="931" spans="1:8" ht="17.25" thickBot="1" x14ac:dyDescent="0.35">
      <c r="A931" s="13" t="s">
        <v>67</v>
      </c>
      <c r="B931" s="2">
        <v>67998</v>
      </c>
      <c r="C931" s="2">
        <v>0.66335699999999997</v>
      </c>
      <c r="D931" s="2">
        <v>4.4099999999999999E-4</v>
      </c>
      <c r="E931" s="2">
        <v>0.66249100000000005</v>
      </c>
      <c r="F931" s="2">
        <v>0.66422230000000004</v>
      </c>
      <c r="H931" s="8" t="str">
        <f t="shared" si="38"/>
        <v>0.66 (0.66 to 0.66)</v>
      </c>
    </row>
    <row r="932" spans="1:8" ht="17.25" thickBot="1" x14ac:dyDescent="0.35">
      <c r="A932" s="13" t="s">
        <v>68</v>
      </c>
      <c r="B932" s="2">
        <v>67998</v>
      </c>
      <c r="C932" s="2">
        <v>0.344613</v>
      </c>
      <c r="D932" s="2">
        <v>1.6570000000000001E-3</v>
      </c>
      <c r="E932" s="2">
        <v>0.34136440000000001</v>
      </c>
      <c r="F932" s="2">
        <v>0.34786240000000002</v>
      </c>
      <c r="H932" s="8" t="str">
        <f t="shared" si="38"/>
        <v>0.34 (0.34 to 0.35)</v>
      </c>
    </row>
    <row r="933" spans="1:8" x14ac:dyDescent="0.3">
      <c r="A933" s="14" t="s">
        <v>69</v>
      </c>
      <c r="B933" s="2">
        <v>67998</v>
      </c>
      <c r="C933" s="2">
        <v>35.580286000000001</v>
      </c>
      <c r="D933" s="2">
        <v>3.9094999999999998E-2</v>
      </c>
      <c r="E933" s="2">
        <v>35.503627399999999</v>
      </c>
      <c r="F933" s="2">
        <v>35.656944899999999</v>
      </c>
      <c r="H933" s="8" t="str">
        <f t="shared" si="38"/>
        <v>35.58 (35.50 to 35.66)</v>
      </c>
    </row>
    <row r="937" spans="1:8" x14ac:dyDescent="0.3">
      <c r="A937" s="1" t="s">
        <v>129</v>
      </c>
    </row>
    <row r="939" spans="1:8" x14ac:dyDescent="0.3">
      <c r="A939" s="1" t="s">
        <v>433</v>
      </c>
    </row>
    <row r="940" spans="1:8" ht="17.25" thickBot="1" x14ac:dyDescent="0.35"/>
    <row r="941" spans="1:8" ht="16.5" customHeight="1" x14ac:dyDescent="0.3">
      <c r="A941" s="24" t="s">
        <v>75</v>
      </c>
      <c r="B941" s="26"/>
    </row>
    <row r="942" spans="1:8" ht="26.25" thickBot="1" x14ac:dyDescent="0.35">
      <c r="A942" s="13" t="s">
        <v>76</v>
      </c>
      <c r="B942" s="2">
        <v>160</v>
      </c>
    </row>
    <row r="943" spans="1:8" ht="26.25" thickBot="1" x14ac:dyDescent="0.35">
      <c r="A943" s="13" t="s">
        <v>77</v>
      </c>
      <c r="B943" s="2">
        <v>571</v>
      </c>
    </row>
    <row r="944" spans="1:8" ht="39" thickBot="1" x14ac:dyDescent="0.35">
      <c r="A944" s="13" t="s">
        <v>78</v>
      </c>
      <c r="B944" s="2">
        <v>637</v>
      </c>
    </row>
    <row r="945" spans="1:8" ht="25.5" x14ac:dyDescent="0.3">
      <c r="A945" s="14" t="s">
        <v>79</v>
      </c>
      <c r="B945" s="2">
        <v>204146.33</v>
      </c>
    </row>
    <row r="946" spans="1:8" ht="17.25" thickBot="1" x14ac:dyDescent="0.35"/>
    <row r="947" spans="1:8" ht="33" customHeight="1" x14ac:dyDescent="0.3">
      <c r="A947" s="24" t="s">
        <v>80</v>
      </c>
      <c r="B947" s="26"/>
    </row>
    <row r="948" spans="1:8" ht="33.75" thickBot="1" x14ac:dyDescent="0.35">
      <c r="A948" s="13" t="s">
        <v>81</v>
      </c>
      <c r="B948" s="2" t="s">
        <v>82</v>
      </c>
    </row>
    <row r="949" spans="1:8" ht="25.5" x14ac:dyDescent="0.3">
      <c r="A949" s="14" t="s">
        <v>83</v>
      </c>
      <c r="B949" s="2" t="s">
        <v>84</v>
      </c>
    </row>
    <row r="950" spans="1:8" ht="17.25" thickBot="1" x14ac:dyDescent="0.35"/>
    <row r="951" spans="1:8" ht="16.5" customHeight="1" x14ac:dyDescent="0.3">
      <c r="A951" s="24" t="s">
        <v>130</v>
      </c>
      <c r="B951" s="26"/>
      <c r="C951" s="26"/>
      <c r="D951" s="26"/>
      <c r="E951" s="26"/>
      <c r="F951" s="26"/>
    </row>
    <row r="952" spans="1:8" x14ac:dyDescent="0.3">
      <c r="A952" s="25" t="s">
        <v>131</v>
      </c>
      <c r="B952" s="27" t="s">
        <v>46</v>
      </c>
      <c r="C952" s="27" t="s">
        <v>132</v>
      </c>
      <c r="D952" s="3" t="s">
        <v>133</v>
      </c>
      <c r="E952" s="27" t="s">
        <v>135</v>
      </c>
      <c r="F952" s="27"/>
    </row>
    <row r="953" spans="1:8" x14ac:dyDescent="0.3">
      <c r="A953" s="25"/>
      <c r="B953" s="27"/>
      <c r="C953" s="27"/>
      <c r="D953" s="3" t="s">
        <v>134</v>
      </c>
      <c r="E953" s="27"/>
      <c r="F953" s="27"/>
    </row>
    <row r="954" spans="1:8" ht="17.25" thickBot="1" x14ac:dyDescent="0.35">
      <c r="A954" s="13" t="s">
        <v>66</v>
      </c>
      <c r="B954" s="2">
        <v>637</v>
      </c>
      <c r="C954" s="2">
        <v>8.7916919999999994</v>
      </c>
      <c r="D954" s="2">
        <v>2.8625000000000001E-2</v>
      </c>
      <c r="E954" s="2">
        <v>8.7354227000000009</v>
      </c>
      <c r="F954" s="2">
        <v>8.8479612999999997</v>
      </c>
      <c r="H954" s="8" t="str">
        <f t="shared" ref="H954:H957" si="39">TEXT(C954,"0.00")&amp;" ("&amp;TEXT(E954,"0.00")&amp;" to "&amp;TEXT(F954,"0.00")&amp;")"</f>
        <v>8.79 (8.74 to 8.85)</v>
      </c>
    </row>
    <row r="955" spans="1:8" ht="17.25" thickBot="1" x14ac:dyDescent="0.35">
      <c r="A955" s="13" t="s">
        <v>67</v>
      </c>
      <c r="B955" s="2">
        <v>637</v>
      </c>
      <c r="C955" s="2">
        <v>0.71553100000000003</v>
      </c>
      <c r="D955" s="2">
        <v>3.2079999999999999E-3</v>
      </c>
      <c r="E955" s="2">
        <v>0.70922510000000005</v>
      </c>
      <c r="F955" s="2">
        <v>0.72183699999999995</v>
      </c>
      <c r="H955" s="8" t="str">
        <f t="shared" si="39"/>
        <v>0.72 (0.71 to 0.72)</v>
      </c>
    </row>
    <row r="956" spans="1:8" ht="17.25" thickBot="1" x14ac:dyDescent="0.35">
      <c r="A956" s="13" t="s">
        <v>68</v>
      </c>
      <c r="B956" s="2">
        <v>637</v>
      </c>
      <c r="C956" s="2">
        <v>0.43690000000000001</v>
      </c>
      <c r="D956" s="2">
        <v>1.3058E-2</v>
      </c>
      <c r="E956" s="2">
        <v>0.41123140000000002</v>
      </c>
      <c r="F956" s="2">
        <v>0.46256930000000002</v>
      </c>
      <c r="H956" s="8" t="str">
        <f t="shared" si="39"/>
        <v>0.44 (0.41 to 0.46)</v>
      </c>
    </row>
    <row r="957" spans="1:8" x14ac:dyDescent="0.3">
      <c r="A957" s="14" t="s">
        <v>69</v>
      </c>
      <c r="B957" s="2">
        <v>637</v>
      </c>
      <c r="C957" s="2">
        <v>38.664203000000001</v>
      </c>
      <c r="D957" s="2">
        <v>0.33540199999999998</v>
      </c>
      <c r="E957" s="2">
        <v>38.004886499999998</v>
      </c>
      <c r="F957" s="2">
        <v>39.323520299999998</v>
      </c>
      <c r="H957" s="8" t="str">
        <f t="shared" si="39"/>
        <v>38.66 (38.00 to 39.32)</v>
      </c>
    </row>
    <row r="961" spans="1:6" x14ac:dyDescent="0.3">
      <c r="A961" s="1" t="s">
        <v>129</v>
      </c>
    </row>
    <row r="963" spans="1:6" x14ac:dyDescent="0.3">
      <c r="A963" s="1" t="s">
        <v>434</v>
      </c>
    </row>
    <row r="964" spans="1:6" ht="17.25" thickBot="1" x14ac:dyDescent="0.35"/>
    <row r="965" spans="1:6" ht="16.5" customHeight="1" x14ac:dyDescent="0.3">
      <c r="A965" s="24" t="s">
        <v>75</v>
      </c>
      <c r="B965" s="26"/>
    </row>
    <row r="966" spans="1:6" ht="26.25" thickBot="1" x14ac:dyDescent="0.35">
      <c r="A966" s="13" t="s">
        <v>76</v>
      </c>
      <c r="B966" s="2">
        <v>183</v>
      </c>
    </row>
    <row r="967" spans="1:6" ht="26.25" thickBot="1" x14ac:dyDescent="0.35">
      <c r="A967" s="13" t="s">
        <v>77</v>
      </c>
      <c r="B967" s="2">
        <v>2982</v>
      </c>
    </row>
    <row r="968" spans="1:6" ht="39" thickBot="1" x14ac:dyDescent="0.35">
      <c r="A968" s="13" t="s">
        <v>78</v>
      </c>
      <c r="B968" s="2">
        <v>67434</v>
      </c>
    </row>
    <row r="969" spans="1:6" ht="25.5" x14ac:dyDescent="0.3">
      <c r="A969" s="14" t="s">
        <v>79</v>
      </c>
      <c r="B969" s="2">
        <v>29874190.800000001</v>
      </c>
    </row>
    <row r="970" spans="1:6" ht="17.25" thickBot="1" x14ac:dyDescent="0.35"/>
    <row r="971" spans="1:6" ht="33" customHeight="1" x14ac:dyDescent="0.3">
      <c r="A971" s="24" t="s">
        <v>80</v>
      </c>
      <c r="B971" s="26"/>
    </row>
    <row r="972" spans="1:6" ht="33.75" thickBot="1" x14ac:dyDescent="0.35">
      <c r="A972" s="13" t="s">
        <v>81</v>
      </c>
      <c r="B972" s="2" t="s">
        <v>82</v>
      </c>
    </row>
    <row r="973" spans="1:6" ht="25.5" x14ac:dyDescent="0.3">
      <c r="A973" s="14" t="s">
        <v>83</v>
      </c>
      <c r="B973" s="2" t="s">
        <v>84</v>
      </c>
    </row>
    <row r="974" spans="1:6" ht="17.25" thickBot="1" x14ac:dyDescent="0.35"/>
    <row r="975" spans="1:6" ht="16.5" customHeight="1" x14ac:dyDescent="0.3">
      <c r="A975" s="24" t="s">
        <v>130</v>
      </c>
      <c r="B975" s="26"/>
      <c r="C975" s="26"/>
      <c r="D975" s="26"/>
      <c r="E975" s="26"/>
      <c r="F975" s="26"/>
    </row>
    <row r="976" spans="1:6" x14ac:dyDescent="0.3">
      <c r="A976" s="25" t="s">
        <v>131</v>
      </c>
      <c r="B976" s="27" t="s">
        <v>46</v>
      </c>
      <c r="C976" s="27" t="s">
        <v>132</v>
      </c>
      <c r="D976" s="3" t="s">
        <v>133</v>
      </c>
      <c r="E976" s="27" t="s">
        <v>135</v>
      </c>
      <c r="F976" s="27"/>
    </row>
    <row r="977" spans="1:8" x14ac:dyDescent="0.3">
      <c r="A977" s="25"/>
      <c r="B977" s="27"/>
      <c r="C977" s="27"/>
      <c r="D977" s="3" t="s">
        <v>134</v>
      </c>
      <c r="E977" s="27"/>
      <c r="F977" s="27"/>
    </row>
    <row r="978" spans="1:8" ht="17.25" thickBot="1" x14ac:dyDescent="0.35">
      <c r="A978" s="13" t="s">
        <v>66</v>
      </c>
      <c r="B978" s="2">
        <v>67434</v>
      </c>
      <c r="C978" s="2">
        <v>8.5804469999999995</v>
      </c>
      <c r="D978" s="2">
        <v>3.457E-3</v>
      </c>
      <c r="E978" s="2">
        <v>8.5736682999999996</v>
      </c>
      <c r="F978" s="2">
        <v>8.5872250999999995</v>
      </c>
      <c r="H978" s="8" t="str">
        <f t="shared" ref="H978:H981" si="40">TEXT(C978,"0.00")&amp;" ("&amp;TEXT(E978,"0.00")&amp;" to "&amp;TEXT(F978,"0.00")&amp;")"</f>
        <v>8.58 (8.57 to 8.59)</v>
      </c>
    </row>
    <row r="979" spans="1:8" ht="17.25" thickBot="1" x14ac:dyDescent="0.35">
      <c r="A979" s="13" t="s">
        <v>67</v>
      </c>
      <c r="B979" s="2">
        <v>67434</v>
      </c>
      <c r="C979" s="2">
        <v>0.66312700000000002</v>
      </c>
      <c r="D979" s="2">
        <v>4.4200000000000001E-4</v>
      </c>
      <c r="E979" s="2">
        <v>0.66225999999999996</v>
      </c>
      <c r="F979" s="2">
        <v>0.66399370000000002</v>
      </c>
      <c r="H979" s="8" t="str">
        <f t="shared" si="40"/>
        <v>0.66 (0.66 to 0.66)</v>
      </c>
    </row>
    <row r="980" spans="1:8" ht="17.25" thickBot="1" x14ac:dyDescent="0.35">
      <c r="A980" s="13" t="s">
        <v>68</v>
      </c>
      <c r="B980" s="2">
        <v>67434</v>
      </c>
      <c r="C980" s="2">
        <v>0.34434399999999998</v>
      </c>
      <c r="D980" s="2">
        <v>1.66E-3</v>
      </c>
      <c r="E980" s="2">
        <v>0.3410897</v>
      </c>
      <c r="F980" s="2">
        <v>0.3475992</v>
      </c>
      <c r="H980" s="8" t="str">
        <f t="shared" si="40"/>
        <v>0.34 (0.34 to 0.35)</v>
      </c>
    </row>
    <row r="981" spans="1:8" x14ac:dyDescent="0.3">
      <c r="A981" s="14" t="s">
        <v>69</v>
      </c>
      <c r="B981" s="2">
        <v>67434</v>
      </c>
      <c r="C981" s="2">
        <v>35.570810999999999</v>
      </c>
      <c r="D981" s="2">
        <v>3.9135000000000003E-2</v>
      </c>
      <c r="E981" s="2">
        <v>35.494074699999999</v>
      </c>
      <c r="F981" s="2">
        <v>35.647547099999997</v>
      </c>
      <c r="H981" s="8" t="str">
        <f t="shared" si="40"/>
        <v>35.57 (35.49 to 35.65)</v>
      </c>
    </row>
    <row r="985" spans="1:8" x14ac:dyDescent="0.3">
      <c r="A985" s="1" t="s">
        <v>129</v>
      </c>
    </row>
    <row r="987" spans="1:8" x14ac:dyDescent="0.3">
      <c r="A987" s="1" t="s">
        <v>435</v>
      </c>
    </row>
    <row r="988" spans="1:8" ht="17.25" thickBot="1" x14ac:dyDescent="0.35"/>
    <row r="989" spans="1:8" ht="16.5" customHeight="1" x14ac:dyDescent="0.3">
      <c r="A989" s="24" t="s">
        <v>75</v>
      </c>
      <c r="B989" s="26"/>
    </row>
    <row r="990" spans="1:8" ht="26.25" thickBot="1" x14ac:dyDescent="0.35">
      <c r="A990" s="13" t="s">
        <v>76</v>
      </c>
      <c r="B990" s="2">
        <v>176</v>
      </c>
    </row>
    <row r="991" spans="1:8" ht="26.25" thickBot="1" x14ac:dyDescent="0.35">
      <c r="A991" s="13" t="s">
        <v>77</v>
      </c>
      <c r="B991" s="2">
        <v>958</v>
      </c>
    </row>
    <row r="992" spans="1:8" ht="39" thickBot="1" x14ac:dyDescent="0.35">
      <c r="A992" s="13" t="s">
        <v>78</v>
      </c>
      <c r="B992" s="2">
        <v>1201</v>
      </c>
    </row>
    <row r="993" spans="1:8" ht="25.5" x14ac:dyDescent="0.3">
      <c r="A993" s="14" t="s">
        <v>79</v>
      </c>
      <c r="B993" s="2">
        <v>377744.859</v>
      </c>
    </row>
    <row r="994" spans="1:8" ht="17.25" thickBot="1" x14ac:dyDescent="0.35"/>
    <row r="995" spans="1:8" ht="33" customHeight="1" x14ac:dyDescent="0.3">
      <c r="A995" s="24" t="s">
        <v>80</v>
      </c>
      <c r="B995" s="26"/>
    </row>
    <row r="996" spans="1:8" ht="33.75" thickBot="1" x14ac:dyDescent="0.35">
      <c r="A996" s="13" t="s">
        <v>81</v>
      </c>
      <c r="B996" s="2" t="s">
        <v>82</v>
      </c>
    </row>
    <row r="997" spans="1:8" ht="25.5" x14ac:dyDescent="0.3">
      <c r="A997" s="14" t="s">
        <v>83</v>
      </c>
      <c r="B997" s="2" t="s">
        <v>84</v>
      </c>
    </row>
    <row r="998" spans="1:8" ht="17.25" thickBot="1" x14ac:dyDescent="0.35"/>
    <row r="999" spans="1:8" ht="16.5" customHeight="1" x14ac:dyDescent="0.3">
      <c r="A999" s="24" t="s">
        <v>130</v>
      </c>
      <c r="B999" s="26"/>
      <c r="C999" s="26"/>
      <c r="D999" s="26"/>
      <c r="E999" s="26"/>
      <c r="F999" s="26"/>
    </row>
    <row r="1000" spans="1:8" x14ac:dyDescent="0.3">
      <c r="A1000" s="25" t="s">
        <v>131</v>
      </c>
      <c r="B1000" s="27" t="s">
        <v>46</v>
      </c>
      <c r="C1000" s="27" t="s">
        <v>132</v>
      </c>
      <c r="D1000" s="3" t="s">
        <v>133</v>
      </c>
      <c r="E1000" s="27" t="s">
        <v>135</v>
      </c>
      <c r="F1000" s="27"/>
    </row>
    <row r="1001" spans="1:8" x14ac:dyDescent="0.3">
      <c r="A1001" s="25"/>
      <c r="B1001" s="27"/>
      <c r="C1001" s="27"/>
      <c r="D1001" s="3" t="s">
        <v>134</v>
      </c>
      <c r="E1001" s="27"/>
      <c r="F1001" s="27"/>
    </row>
    <row r="1002" spans="1:8" ht="17.25" thickBot="1" x14ac:dyDescent="0.35">
      <c r="A1002" s="13" t="s">
        <v>66</v>
      </c>
      <c r="B1002" s="2">
        <v>1201</v>
      </c>
      <c r="C1002" s="2">
        <v>8.7654429999999994</v>
      </c>
      <c r="D1002" s="2">
        <v>2.2922000000000001E-2</v>
      </c>
      <c r="E1002" s="2">
        <v>8.7204478000000005</v>
      </c>
      <c r="F1002" s="2">
        <v>8.8104379000000002</v>
      </c>
      <c r="H1002" s="8" t="str">
        <f t="shared" ref="H1002:H1005" si="41">TEXT(C1002,"0.00")&amp;" ("&amp;TEXT(E1002,"0.00")&amp;" to "&amp;TEXT(F1002,"0.00")&amp;")"</f>
        <v>8.77 (8.72 to 8.81)</v>
      </c>
    </row>
    <row r="1003" spans="1:8" ht="17.25" thickBot="1" x14ac:dyDescent="0.35">
      <c r="A1003" s="13" t="s">
        <v>67</v>
      </c>
      <c r="B1003" s="2">
        <v>1201</v>
      </c>
      <c r="C1003" s="2">
        <v>0.70972900000000005</v>
      </c>
      <c r="D1003" s="2">
        <v>2.4020000000000001E-3</v>
      </c>
      <c r="E1003" s="2">
        <v>0.70501290000000005</v>
      </c>
      <c r="F1003" s="2">
        <v>0.71444419999999997</v>
      </c>
      <c r="H1003" s="8" t="str">
        <f t="shared" si="41"/>
        <v>0.71 (0.71 to 0.71)</v>
      </c>
    </row>
    <row r="1004" spans="1:8" ht="17.25" thickBot="1" x14ac:dyDescent="0.35">
      <c r="A1004" s="13" t="s">
        <v>68</v>
      </c>
      <c r="B1004" s="2">
        <v>1201</v>
      </c>
      <c r="C1004" s="2">
        <v>0.41575699999999999</v>
      </c>
      <c r="D1004" s="2">
        <v>1.0971E-2</v>
      </c>
      <c r="E1004" s="2">
        <v>0.39422049999999997</v>
      </c>
      <c r="F1004" s="2">
        <v>0.4372936</v>
      </c>
      <c r="H1004" s="8" t="str">
        <f t="shared" si="41"/>
        <v>0.42 (0.39 to 0.44)</v>
      </c>
    </row>
    <row r="1005" spans="1:8" x14ac:dyDescent="0.3">
      <c r="A1005" s="14" t="s">
        <v>69</v>
      </c>
      <c r="B1005" s="2">
        <v>1201</v>
      </c>
      <c r="C1005" s="2">
        <v>37.996299</v>
      </c>
      <c r="D1005" s="2">
        <v>0.239179</v>
      </c>
      <c r="E1005" s="2">
        <v>37.526789299999997</v>
      </c>
      <c r="F1005" s="2">
        <v>38.465807900000001</v>
      </c>
      <c r="H1005" s="8" t="str">
        <f t="shared" si="41"/>
        <v>38.00 (37.53 to 38.47)</v>
      </c>
    </row>
  </sheetData>
  <autoFilter ref="A1:A1005" xr:uid="{AF54583B-8821-47CD-AC25-4E5815046222}"/>
  <mergeCells count="294">
    <mergeCell ref="A29:B29"/>
    <mergeCell ref="A35:B35"/>
    <mergeCell ref="A39:F39"/>
    <mergeCell ref="A40:A41"/>
    <mergeCell ref="B40:B41"/>
    <mergeCell ref="C40:C41"/>
    <mergeCell ref="E40:F41"/>
    <mergeCell ref="A5:B5"/>
    <mergeCell ref="A11:B11"/>
    <mergeCell ref="A15:F15"/>
    <mergeCell ref="A16:A17"/>
    <mergeCell ref="B16:B17"/>
    <mergeCell ref="C16:C17"/>
    <mergeCell ref="E16:F17"/>
    <mergeCell ref="A77:B77"/>
    <mergeCell ref="A83:B83"/>
    <mergeCell ref="A87:F87"/>
    <mergeCell ref="A88:A89"/>
    <mergeCell ref="B88:B89"/>
    <mergeCell ref="C88:C89"/>
    <mergeCell ref="E88:F89"/>
    <mergeCell ref="A53:B53"/>
    <mergeCell ref="A59:B59"/>
    <mergeCell ref="A63:F63"/>
    <mergeCell ref="A64:A65"/>
    <mergeCell ref="B64:B65"/>
    <mergeCell ref="C64:C65"/>
    <mergeCell ref="E64:F65"/>
    <mergeCell ref="A125:B125"/>
    <mergeCell ref="A131:B131"/>
    <mergeCell ref="A135:F135"/>
    <mergeCell ref="A136:A137"/>
    <mergeCell ref="B136:B137"/>
    <mergeCell ref="C136:C137"/>
    <mergeCell ref="E136:F137"/>
    <mergeCell ref="A101:B101"/>
    <mergeCell ref="A107:B107"/>
    <mergeCell ref="A111:F111"/>
    <mergeCell ref="A112:A113"/>
    <mergeCell ref="B112:B113"/>
    <mergeCell ref="C112:C113"/>
    <mergeCell ref="E112:F113"/>
    <mergeCell ref="A173:B173"/>
    <mergeCell ref="A179:B179"/>
    <mergeCell ref="A183:F183"/>
    <mergeCell ref="A184:A185"/>
    <mergeCell ref="B184:B185"/>
    <mergeCell ref="C184:C185"/>
    <mergeCell ref="E184:F185"/>
    <mergeCell ref="A149:B149"/>
    <mergeCell ref="A155:B155"/>
    <mergeCell ref="A159:F159"/>
    <mergeCell ref="A160:A161"/>
    <mergeCell ref="B160:B161"/>
    <mergeCell ref="C160:C161"/>
    <mergeCell ref="E160:F161"/>
    <mergeCell ref="A221:B221"/>
    <mergeCell ref="A227:B227"/>
    <mergeCell ref="A231:F231"/>
    <mergeCell ref="A232:A233"/>
    <mergeCell ref="B232:B233"/>
    <mergeCell ref="C232:C233"/>
    <mergeCell ref="E232:F233"/>
    <mergeCell ref="A197:B197"/>
    <mergeCell ref="A203:B203"/>
    <mergeCell ref="A207:F207"/>
    <mergeCell ref="A208:A209"/>
    <mergeCell ref="B208:B209"/>
    <mergeCell ref="C208:C209"/>
    <mergeCell ref="E208:F209"/>
    <mergeCell ref="A269:B269"/>
    <mergeCell ref="A275:B275"/>
    <mergeCell ref="A279:F279"/>
    <mergeCell ref="A280:A281"/>
    <mergeCell ref="B280:B281"/>
    <mergeCell ref="C280:C281"/>
    <mergeCell ref="E280:F281"/>
    <mergeCell ref="A245:B245"/>
    <mergeCell ref="A251:B251"/>
    <mergeCell ref="A255:F255"/>
    <mergeCell ref="A256:A257"/>
    <mergeCell ref="B256:B257"/>
    <mergeCell ref="C256:C257"/>
    <mergeCell ref="E256:F257"/>
    <mergeCell ref="A317:B317"/>
    <mergeCell ref="A323:B323"/>
    <mergeCell ref="A327:F327"/>
    <mergeCell ref="A328:A329"/>
    <mergeCell ref="B328:B329"/>
    <mergeCell ref="C328:C329"/>
    <mergeCell ref="E328:F329"/>
    <mergeCell ref="A293:B293"/>
    <mergeCell ref="A299:B299"/>
    <mergeCell ref="A303:F303"/>
    <mergeCell ref="A304:A305"/>
    <mergeCell ref="B304:B305"/>
    <mergeCell ref="C304:C305"/>
    <mergeCell ref="E304:F305"/>
    <mergeCell ref="A365:B365"/>
    <mergeCell ref="A371:B371"/>
    <mergeCell ref="A375:F375"/>
    <mergeCell ref="A376:A377"/>
    <mergeCell ref="B376:B377"/>
    <mergeCell ref="C376:C377"/>
    <mergeCell ref="E376:F377"/>
    <mergeCell ref="A341:B341"/>
    <mergeCell ref="A347:B347"/>
    <mergeCell ref="A351:F351"/>
    <mergeCell ref="A352:A353"/>
    <mergeCell ref="B352:B353"/>
    <mergeCell ref="C352:C353"/>
    <mergeCell ref="E352:F353"/>
    <mergeCell ref="A413:B413"/>
    <mergeCell ref="A419:B419"/>
    <mergeCell ref="A423:F423"/>
    <mergeCell ref="A424:A425"/>
    <mergeCell ref="B424:B425"/>
    <mergeCell ref="C424:C425"/>
    <mergeCell ref="E424:F425"/>
    <mergeCell ref="A389:B389"/>
    <mergeCell ref="A395:B395"/>
    <mergeCell ref="A399:F399"/>
    <mergeCell ref="A400:A401"/>
    <mergeCell ref="B400:B401"/>
    <mergeCell ref="C400:C401"/>
    <mergeCell ref="E400:F401"/>
    <mergeCell ref="A461:B461"/>
    <mergeCell ref="A467:B467"/>
    <mergeCell ref="A471:F471"/>
    <mergeCell ref="A472:A473"/>
    <mergeCell ref="B472:B473"/>
    <mergeCell ref="C472:C473"/>
    <mergeCell ref="E472:F473"/>
    <mergeCell ref="A437:B437"/>
    <mergeCell ref="A443:B443"/>
    <mergeCell ref="A447:F447"/>
    <mergeCell ref="A448:A449"/>
    <mergeCell ref="B448:B449"/>
    <mergeCell ref="C448:C449"/>
    <mergeCell ref="E448:F449"/>
    <mergeCell ref="A509:B509"/>
    <mergeCell ref="A515:B515"/>
    <mergeCell ref="A519:F519"/>
    <mergeCell ref="A520:A521"/>
    <mergeCell ref="B520:B521"/>
    <mergeCell ref="C520:C521"/>
    <mergeCell ref="E520:F521"/>
    <mergeCell ref="A485:B485"/>
    <mergeCell ref="A491:B491"/>
    <mergeCell ref="A495:F495"/>
    <mergeCell ref="A496:A497"/>
    <mergeCell ref="B496:B497"/>
    <mergeCell ref="C496:C497"/>
    <mergeCell ref="E496:F497"/>
    <mergeCell ref="A557:B557"/>
    <mergeCell ref="A563:B563"/>
    <mergeCell ref="A567:F567"/>
    <mergeCell ref="A568:A569"/>
    <mergeCell ref="B568:B569"/>
    <mergeCell ref="C568:C569"/>
    <mergeCell ref="E568:F569"/>
    <mergeCell ref="A533:B533"/>
    <mergeCell ref="A539:B539"/>
    <mergeCell ref="A543:F543"/>
    <mergeCell ref="A544:A545"/>
    <mergeCell ref="B544:B545"/>
    <mergeCell ref="C544:C545"/>
    <mergeCell ref="E544:F545"/>
    <mergeCell ref="A605:B605"/>
    <mergeCell ref="A611:B611"/>
    <mergeCell ref="A615:F615"/>
    <mergeCell ref="A616:A617"/>
    <mergeCell ref="B616:B617"/>
    <mergeCell ref="C616:C617"/>
    <mergeCell ref="E616:F617"/>
    <mergeCell ref="A581:B581"/>
    <mergeCell ref="A587:B587"/>
    <mergeCell ref="A591:F591"/>
    <mergeCell ref="A592:A593"/>
    <mergeCell ref="B592:B593"/>
    <mergeCell ref="C592:C593"/>
    <mergeCell ref="E592:F593"/>
    <mergeCell ref="A653:B653"/>
    <mergeCell ref="A659:B659"/>
    <mergeCell ref="A663:F663"/>
    <mergeCell ref="A664:A665"/>
    <mergeCell ref="B664:B665"/>
    <mergeCell ref="C664:C665"/>
    <mergeCell ref="E664:F665"/>
    <mergeCell ref="A629:B629"/>
    <mergeCell ref="A635:B635"/>
    <mergeCell ref="A639:F639"/>
    <mergeCell ref="A640:A641"/>
    <mergeCell ref="B640:B641"/>
    <mergeCell ref="C640:C641"/>
    <mergeCell ref="E640:F641"/>
    <mergeCell ref="A701:B701"/>
    <mergeCell ref="A707:B707"/>
    <mergeCell ref="A711:F711"/>
    <mergeCell ref="A712:A713"/>
    <mergeCell ref="B712:B713"/>
    <mergeCell ref="C712:C713"/>
    <mergeCell ref="E712:F713"/>
    <mergeCell ref="A677:B677"/>
    <mergeCell ref="A683:B683"/>
    <mergeCell ref="A687:F687"/>
    <mergeCell ref="A688:A689"/>
    <mergeCell ref="B688:B689"/>
    <mergeCell ref="C688:C689"/>
    <mergeCell ref="E688:F689"/>
    <mergeCell ref="A749:B749"/>
    <mergeCell ref="A755:B755"/>
    <mergeCell ref="A759:F759"/>
    <mergeCell ref="A760:A761"/>
    <mergeCell ref="B760:B761"/>
    <mergeCell ref="C760:C761"/>
    <mergeCell ref="E760:F761"/>
    <mergeCell ref="A725:B725"/>
    <mergeCell ref="A731:B731"/>
    <mergeCell ref="A735:F735"/>
    <mergeCell ref="A736:A737"/>
    <mergeCell ref="B736:B737"/>
    <mergeCell ref="C736:C737"/>
    <mergeCell ref="E736:F737"/>
    <mergeCell ref="A797:B797"/>
    <mergeCell ref="A803:B803"/>
    <mergeCell ref="A807:F807"/>
    <mergeCell ref="A808:A809"/>
    <mergeCell ref="B808:B809"/>
    <mergeCell ref="C808:C809"/>
    <mergeCell ref="E808:F809"/>
    <mergeCell ref="A773:B773"/>
    <mergeCell ref="A779:B779"/>
    <mergeCell ref="A783:F783"/>
    <mergeCell ref="A784:A785"/>
    <mergeCell ref="B784:B785"/>
    <mergeCell ref="C784:C785"/>
    <mergeCell ref="E784:F785"/>
    <mergeCell ref="A845:B845"/>
    <mergeCell ref="A851:B851"/>
    <mergeCell ref="A855:F855"/>
    <mergeCell ref="A856:A857"/>
    <mergeCell ref="B856:B857"/>
    <mergeCell ref="C856:C857"/>
    <mergeCell ref="E856:F857"/>
    <mergeCell ref="A821:B821"/>
    <mergeCell ref="A827:B827"/>
    <mergeCell ref="A831:F831"/>
    <mergeCell ref="A832:A833"/>
    <mergeCell ref="B832:B833"/>
    <mergeCell ref="C832:C833"/>
    <mergeCell ref="E832:F833"/>
    <mergeCell ref="A893:B893"/>
    <mergeCell ref="A899:B899"/>
    <mergeCell ref="A903:F903"/>
    <mergeCell ref="A904:A905"/>
    <mergeCell ref="B904:B905"/>
    <mergeCell ref="C904:C905"/>
    <mergeCell ref="E904:F905"/>
    <mergeCell ref="A869:B869"/>
    <mergeCell ref="A875:B875"/>
    <mergeCell ref="A879:F879"/>
    <mergeCell ref="A880:A881"/>
    <mergeCell ref="B880:B881"/>
    <mergeCell ref="C880:C881"/>
    <mergeCell ref="E880:F881"/>
    <mergeCell ref="A941:B941"/>
    <mergeCell ref="A947:B947"/>
    <mergeCell ref="A951:F951"/>
    <mergeCell ref="A952:A953"/>
    <mergeCell ref="B952:B953"/>
    <mergeCell ref="C952:C953"/>
    <mergeCell ref="E952:F953"/>
    <mergeCell ref="A917:B917"/>
    <mergeCell ref="A923:B923"/>
    <mergeCell ref="A927:F927"/>
    <mergeCell ref="A928:A929"/>
    <mergeCell ref="B928:B929"/>
    <mergeCell ref="C928:C929"/>
    <mergeCell ref="E928:F929"/>
    <mergeCell ref="A989:B989"/>
    <mergeCell ref="A995:B995"/>
    <mergeCell ref="A999:F999"/>
    <mergeCell ref="A1000:A1001"/>
    <mergeCell ref="B1000:B1001"/>
    <mergeCell ref="C1000:C1001"/>
    <mergeCell ref="E1000:F1001"/>
    <mergeCell ref="A965:B965"/>
    <mergeCell ref="A971:B971"/>
    <mergeCell ref="A975:F975"/>
    <mergeCell ref="A976:A977"/>
    <mergeCell ref="B976:B977"/>
    <mergeCell ref="C976:C977"/>
    <mergeCell ref="E976:F97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08C7-C1AD-44B4-86A7-09E1315F9F58}">
  <dimension ref="A1:H6045"/>
  <sheetViews>
    <sheetView topLeftCell="A6033" workbookViewId="0">
      <selection activeCell="H6042" sqref="H6042"/>
    </sheetView>
  </sheetViews>
  <sheetFormatPr defaultRowHeight="16.5" x14ac:dyDescent="0.3"/>
  <cols>
    <col min="8" max="8" width="20.5" bestFit="1" customWidth="1"/>
  </cols>
  <sheetData>
    <row r="1" spans="1:6" x14ac:dyDescent="0.3">
      <c r="A1" s="1" t="s">
        <v>129</v>
      </c>
    </row>
    <row r="3" spans="1:6" x14ac:dyDescent="0.3">
      <c r="A3" s="1" t="s">
        <v>142</v>
      </c>
    </row>
    <row r="4" spans="1:6" ht="17.25" thickBot="1" x14ac:dyDescent="0.35"/>
    <row r="5" spans="1:6" ht="16.5" customHeight="1" x14ac:dyDescent="0.3">
      <c r="A5" s="24" t="s">
        <v>75</v>
      </c>
      <c r="B5" s="26"/>
    </row>
    <row r="6" spans="1:6" ht="26.25" thickBot="1" x14ac:dyDescent="0.35">
      <c r="A6" s="13" t="s">
        <v>76</v>
      </c>
      <c r="B6" s="2">
        <v>25</v>
      </c>
    </row>
    <row r="7" spans="1:6" ht="26.25" thickBot="1" x14ac:dyDescent="0.35">
      <c r="A7" s="13" t="s">
        <v>77</v>
      </c>
      <c r="B7" s="2">
        <v>493</v>
      </c>
    </row>
    <row r="8" spans="1:6" ht="39" thickBot="1" x14ac:dyDescent="0.35">
      <c r="A8" s="13" t="s">
        <v>78</v>
      </c>
      <c r="B8" s="2">
        <v>4203</v>
      </c>
    </row>
    <row r="9" spans="1:6" ht="25.5" x14ac:dyDescent="0.3">
      <c r="A9" s="14" t="s">
        <v>79</v>
      </c>
      <c r="B9" s="2">
        <v>1941610</v>
      </c>
    </row>
    <row r="10" spans="1:6" ht="17.25" thickBot="1" x14ac:dyDescent="0.35"/>
    <row r="11" spans="1:6" ht="33" customHeight="1" x14ac:dyDescent="0.3">
      <c r="A11" s="24" t="s">
        <v>80</v>
      </c>
      <c r="B11" s="26"/>
    </row>
    <row r="12" spans="1:6" ht="33.75" thickBot="1" x14ac:dyDescent="0.35">
      <c r="A12" s="13" t="s">
        <v>81</v>
      </c>
      <c r="B12" s="2" t="s">
        <v>82</v>
      </c>
    </row>
    <row r="13" spans="1:6" ht="25.5" x14ac:dyDescent="0.3">
      <c r="A13" s="14" t="s">
        <v>83</v>
      </c>
      <c r="B13" s="2" t="s">
        <v>84</v>
      </c>
    </row>
    <row r="14" spans="1:6" ht="17.25" thickBot="1" x14ac:dyDescent="0.35"/>
    <row r="15" spans="1:6" ht="16.5" customHeight="1" x14ac:dyDescent="0.3">
      <c r="A15" s="24" t="s">
        <v>130</v>
      </c>
      <c r="B15" s="26"/>
      <c r="C15" s="26"/>
      <c r="D15" s="26"/>
      <c r="E15" s="26"/>
      <c r="F15" s="26"/>
    </row>
    <row r="16" spans="1:6" x14ac:dyDescent="0.3">
      <c r="A16" s="25" t="s">
        <v>131</v>
      </c>
      <c r="B16" s="27" t="s">
        <v>46</v>
      </c>
      <c r="C16" s="27" t="s">
        <v>132</v>
      </c>
      <c r="D16" s="3" t="s">
        <v>133</v>
      </c>
      <c r="E16" s="27" t="s">
        <v>135</v>
      </c>
      <c r="F16" s="27"/>
    </row>
    <row r="17" spans="1:8" x14ac:dyDescent="0.3">
      <c r="A17" s="25"/>
      <c r="B17" s="27"/>
      <c r="C17" s="27"/>
      <c r="D17" s="3" t="s">
        <v>134</v>
      </c>
      <c r="E17" s="27"/>
      <c r="F17" s="27"/>
    </row>
    <row r="18" spans="1:8" ht="17.25" thickBot="1" x14ac:dyDescent="0.35">
      <c r="A18" s="13" t="s">
        <v>66</v>
      </c>
      <c r="B18" s="2">
        <v>4203</v>
      </c>
      <c r="C18" s="2">
        <v>8.3564520000000009</v>
      </c>
      <c r="D18" s="2">
        <v>1.1247E-2</v>
      </c>
      <c r="E18" s="2">
        <v>8.3343516999999991</v>
      </c>
      <c r="F18" s="2">
        <v>8.3785518000000003</v>
      </c>
      <c r="H18" s="8" t="str">
        <f>TEXT(C18,"0.00")&amp;" ("&amp;TEXT(E18,"0.00")&amp;" to "&amp;TEXT(F18,"0.00")&amp;")"</f>
        <v>8.36 (8.33 to 8.38)</v>
      </c>
    </row>
    <row r="19" spans="1:8" ht="17.25" thickBot="1" x14ac:dyDescent="0.35">
      <c r="A19" s="13" t="s">
        <v>67</v>
      </c>
      <c r="B19" s="2">
        <v>4203</v>
      </c>
      <c r="C19" s="2">
        <v>0.62809499999999996</v>
      </c>
      <c r="D19" s="2">
        <v>1.3669999999999999E-3</v>
      </c>
      <c r="E19" s="2">
        <v>0.62540870000000004</v>
      </c>
      <c r="F19" s="2">
        <v>0.63078040000000002</v>
      </c>
      <c r="H19" s="8" t="str">
        <f t="shared" ref="H19:H21" si="0">TEXT(C19,"0.00")&amp;" ("&amp;TEXT(E19,"0.00")&amp;" to "&amp;TEXT(F19,"0.00")&amp;")"</f>
        <v>0.63 (0.63 to 0.63)</v>
      </c>
    </row>
    <row r="20" spans="1:8" ht="17.25" thickBot="1" x14ac:dyDescent="0.35">
      <c r="A20" s="13" t="s">
        <v>68</v>
      </c>
      <c r="B20" s="2">
        <v>4203</v>
      </c>
      <c r="C20" s="2">
        <v>0.29400399999999999</v>
      </c>
      <c r="D20" s="2">
        <v>5.5799999999999999E-3</v>
      </c>
      <c r="E20" s="2">
        <v>0.28303899999999999</v>
      </c>
      <c r="F20" s="2">
        <v>0.30496839999999997</v>
      </c>
      <c r="H20" s="8" t="str">
        <f t="shared" si="0"/>
        <v>0.29 (0.28 to 0.30)</v>
      </c>
    </row>
    <row r="21" spans="1:8" x14ac:dyDescent="0.3">
      <c r="A21" s="14" t="s">
        <v>69</v>
      </c>
      <c r="B21" s="2">
        <v>4203</v>
      </c>
      <c r="C21" s="2">
        <v>34.044775000000001</v>
      </c>
      <c r="D21" s="2">
        <v>0.12573999999999999</v>
      </c>
      <c r="E21" s="2">
        <v>33.797689200000001</v>
      </c>
      <c r="F21" s="2">
        <v>34.291860499999999</v>
      </c>
      <c r="H21" s="8" t="str">
        <f t="shared" si="0"/>
        <v>34.04 (33.80 to 34.29)</v>
      </c>
    </row>
    <row r="25" spans="1:8" x14ac:dyDescent="0.3">
      <c r="A25" s="1" t="s">
        <v>129</v>
      </c>
    </row>
    <row r="27" spans="1:8" x14ac:dyDescent="0.3">
      <c r="A27" s="1" t="s">
        <v>143</v>
      </c>
    </row>
    <row r="28" spans="1:8" ht="17.25" thickBot="1" x14ac:dyDescent="0.35"/>
    <row r="29" spans="1:8" ht="16.5" customHeight="1" x14ac:dyDescent="0.3">
      <c r="A29" s="24" t="s">
        <v>75</v>
      </c>
      <c r="B29" s="26"/>
    </row>
    <row r="30" spans="1:8" ht="26.25" thickBot="1" x14ac:dyDescent="0.35">
      <c r="A30" s="13" t="s">
        <v>76</v>
      </c>
      <c r="B30" s="2">
        <v>25</v>
      </c>
    </row>
    <row r="31" spans="1:8" ht="26.25" thickBot="1" x14ac:dyDescent="0.35">
      <c r="A31" s="13" t="s">
        <v>77</v>
      </c>
      <c r="B31" s="2">
        <v>498</v>
      </c>
    </row>
    <row r="32" spans="1:8" ht="39" thickBot="1" x14ac:dyDescent="0.35">
      <c r="A32" s="13" t="s">
        <v>78</v>
      </c>
      <c r="B32" s="2">
        <v>5539</v>
      </c>
    </row>
    <row r="33" spans="1:8" ht="25.5" x14ac:dyDescent="0.3">
      <c r="A33" s="14" t="s">
        <v>79</v>
      </c>
      <c r="B33" s="2">
        <v>1977754.71</v>
      </c>
    </row>
    <row r="34" spans="1:8" ht="17.25" thickBot="1" x14ac:dyDescent="0.35"/>
    <row r="35" spans="1:8" ht="33" customHeight="1" x14ac:dyDescent="0.3">
      <c r="A35" s="24" t="s">
        <v>80</v>
      </c>
      <c r="B35" s="26"/>
    </row>
    <row r="36" spans="1:8" ht="33.75" thickBot="1" x14ac:dyDescent="0.35">
      <c r="A36" s="13" t="s">
        <v>81</v>
      </c>
      <c r="B36" s="2" t="s">
        <v>82</v>
      </c>
    </row>
    <row r="37" spans="1:8" ht="25.5" x14ac:dyDescent="0.3">
      <c r="A37" s="14" t="s">
        <v>83</v>
      </c>
      <c r="B37" s="2" t="s">
        <v>84</v>
      </c>
    </row>
    <row r="38" spans="1:8" ht="17.25" thickBot="1" x14ac:dyDescent="0.35"/>
    <row r="39" spans="1:8" ht="16.5" customHeight="1" x14ac:dyDescent="0.3">
      <c r="A39" s="24" t="s">
        <v>130</v>
      </c>
      <c r="B39" s="26"/>
      <c r="C39" s="26"/>
      <c r="D39" s="26"/>
      <c r="E39" s="26"/>
      <c r="F39" s="26"/>
    </row>
    <row r="40" spans="1:8" x14ac:dyDescent="0.3">
      <c r="A40" s="25" t="s">
        <v>131</v>
      </c>
      <c r="B40" s="27" t="s">
        <v>46</v>
      </c>
      <c r="C40" s="27" t="s">
        <v>132</v>
      </c>
      <c r="D40" s="3" t="s">
        <v>133</v>
      </c>
      <c r="E40" s="27" t="s">
        <v>135</v>
      </c>
      <c r="F40" s="27"/>
    </row>
    <row r="41" spans="1:8" x14ac:dyDescent="0.3">
      <c r="A41" s="25"/>
      <c r="B41" s="27"/>
      <c r="C41" s="27"/>
      <c r="D41" s="3" t="s">
        <v>134</v>
      </c>
      <c r="E41" s="27"/>
      <c r="F41" s="27"/>
    </row>
    <row r="42" spans="1:8" ht="17.25" thickBot="1" x14ac:dyDescent="0.35">
      <c r="A42" s="13" t="s">
        <v>66</v>
      </c>
      <c r="B42" s="2">
        <v>5539</v>
      </c>
      <c r="C42" s="2">
        <v>8.7051049999999996</v>
      </c>
      <c r="D42" s="2">
        <v>1.1077E-2</v>
      </c>
      <c r="E42" s="2">
        <v>8.6833395000000007</v>
      </c>
      <c r="F42" s="2">
        <v>8.7268702000000005</v>
      </c>
      <c r="H42" s="8" t="str">
        <f t="shared" ref="H42:H45" si="1">TEXT(C42,"0.00")&amp;" ("&amp;TEXT(E42,"0.00")&amp;" to "&amp;TEXT(F42,"0.00")&amp;")"</f>
        <v>8.71 (8.68 to 8.73)</v>
      </c>
    </row>
    <row r="43" spans="1:8" ht="17.25" thickBot="1" x14ac:dyDescent="0.35">
      <c r="A43" s="13" t="s">
        <v>67</v>
      </c>
      <c r="B43" s="2">
        <v>5539</v>
      </c>
      <c r="C43" s="2">
        <v>0.67984999999999995</v>
      </c>
      <c r="D43" s="2">
        <v>1.3760000000000001E-3</v>
      </c>
      <c r="E43" s="2">
        <v>0.67714580000000002</v>
      </c>
      <c r="F43" s="2">
        <v>0.68255319999999997</v>
      </c>
      <c r="H43" s="8" t="str">
        <f t="shared" si="1"/>
        <v>0.68 (0.68 to 0.68)</v>
      </c>
    </row>
    <row r="44" spans="1:8" ht="17.25" thickBot="1" x14ac:dyDescent="0.35">
      <c r="A44" s="13" t="s">
        <v>68</v>
      </c>
      <c r="B44" s="2">
        <v>5539</v>
      </c>
      <c r="C44" s="2">
        <v>0.42211100000000001</v>
      </c>
      <c r="D44" s="2">
        <v>5.2160000000000002E-3</v>
      </c>
      <c r="E44" s="2">
        <v>0.4118617</v>
      </c>
      <c r="F44" s="2">
        <v>0.432361</v>
      </c>
      <c r="H44" s="8" t="str">
        <f t="shared" si="1"/>
        <v>0.42 (0.41 to 0.43)</v>
      </c>
    </row>
    <row r="45" spans="1:8" x14ac:dyDescent="0.3">
      <c r="A45" s="14" t="s">
        <v>69</v>
      </c>
      <c r="B45" s="2">
        <v>5539</v>
      </c>
      <c r="C45" s="2">
        <v>36.845284999999997</v>
      </c>
      <c r="D45" s="2">
        <v>0.11014400000000001</v>
      </c>
      <c r="E45" s="2">
        <v>36.628853599999999</v>
      </c>
      <c r="F45" s="2">
        <v>37.061716599999997</v>
      </c>
      <c r="H45" s="8" t="str">
        <f t="shared" si="1"/>
        <v>36.85 (36.63 to 37.06)</v>
      </c>
    </row>
    <row r="49" spans="1:6" x14ac:dyDescent="0.3">
      <c r="A49" s="1" t="s">
        <v>129</v>
      </c>
    </row>
    <row r="51" spans="1:6" x14ac:dyDescent="0.3">
      <c r="A51" s="1" t="s">
        <v>144</v>
      </c>
    </row>
    <row r="52" spans="1:6" ht="17.25" thickBot="1" x14ac:dyDescent="0.35"/>
    <row r="53" spans="1:6" ht="16.5" customHeight="1" x14ac:dyDescent="0.3">
      <c r="A53" s="24" t="s">
        <v>75</v>
      </c>
      <c r="B53" s="26"/>
    </row>
    <row r="54" spans="1:6" ht="26.25" thickBot="1" x14ac:dyDescent="0.35">
      <c r="A54" s="13" t="s">
        <v>76</v>
      </c>
      <c r="B54" s="2">
        <v>25</v>
      </c>
    </row>
    <row r="55" spans="1:6" ht="26.25" thickBot="1" x14ac:dyDescent="0.35">
      <c r="A55" s="13" t="s">
        <v>77</v>
      </c>
      <c r="B55" s="2">
        <v>448</v>
      </c>
    </row>
    <row r="56" spans="1:6" ht="39" thickBot="1" x14ac:dyDescent="0.35">
      <c r="A56" s="13" t="s">
        <v>78</v>
      </c>
      <c r="B56" s="2">
        <v>2173</v>
      </c>
    </row>
    <row r="57" spans="1:6" ht="25.5" x14ac:dyDescent="0.3">
      <c r="A57" s="14" t="s">
        <v>79</v>
      </c>
      <c r="B57" s="2">
        <v>450804.00300000003</v>
      </c>
    </row>
    <row r="58" spans="1:6" ht="17.25" thickBot="1" x14ac:dyDescent="0.35"/>
    <row r="59" spans="1:6" ht="33" customHeight="1" x14ac:dyDescent="0.3">
      <c r="A59" s="24" t="s">
        <v>80</v>
      </c>
      <c r="B59" s="26"/>
    </row>
    <row r="60" spans="1:6" ht="33.75" thickBot="1" x14ac:dyDescent="0.35">
      <c r="A60" s="13" t="s">
        <v>81</v>
      </c>
      <c r="B60" s="2" t="s">
        <v>82</v>
      </c>
    </row>
    <row r="61" spans="1:6" ht="25.5" x14ac:dyDescent="0.3">
      <c r="A61" s="14" t="s">
        <v>83</v>
      </c>
      <c r="B61" s="2" t="s">
        <v>84</v>
      </c>
    </row>
    <row r="62" spans="1:6" ht="17.25" thickBot="1" x14ac:dyDescent="0.35"/>
    <row r="63" spans="1:6" ht="16.5" customHeight="1" x14ac:dyDescent="0.3">
      <c r="A63" s="24" t="s">
        <v>130</v>
      </c>
      <c r="B63" s="26"/>
      <c r="C63" s="26"/>
      <c r="D63" s="26"/>
      <c r="E63" s="26"/>
      <c r="F63" s="26"/>
    </row>
    <row r="64" spans="1:6" x14ac:dyDescent="0.3">
      <c r="A64" s="25" t="s">
        <v>131</v>
      </c>
      <c r="B64" s="27" t="s">
        <v>46</v>
      </c>
      <c r="C64" s="27" t="s">
        <v>132</v>
      </c>
      <c r="D64" s="3" t="s">
        <v>133</v>
      </c>
      <c r="E64" s="27" t="s">
        <v>135</v>
      </c>
      <c r="F64" s="27"/>
    </row>
    <row r="65" spans="1:8" x14ac:dyDescent="0.3">
      <c r="A65" s="25"/>
      <c r="B65" s="27"/>
      <c r="C65" s="27"/>
      <c r="D65" s="3" t="s">
        <v>134</v>
      </c>
      <c r="E65" s="27"/>
      <c r="F65" s="27"/>
    </row>
    <row r="66" spans="1:8" ht="17.25" thickBot="1" x14ac:dyDescent="0.35">
      <c r="A66" s="13" t="s">
        <v>66</v>
      </c>
      <c r="B66" s="2">
        <v>2173</v>
      </c>
      <c r="C66" s="2">
        <v>8.7517119999999995</v>
      </c>
      <c r="D66" s="2">
        <v>1.6459000000000001E-2</v>
      </c>
      <c r="E66" s="2">
        <v>8.7193614999999998</v>
      </c>
      <c r="F66" s="2">
        <v>8.7840629000000003</v>
      </c>
      <c r="H66" s="8" t="str">
        <f t="shared" ref="H66:H69" si="2">TEXT(C66,"0.00")&amp;" ("&amp;TEXT(E66,"0.00")&amp;" to "&amp;TEXT(F66,"0.00")&amp;")"</f>
        <v>8.75 (8.72 to 8.78)</v>
      </c>
    </row>
    <row r="67" spans="1:8" ht="17.25" thickBot="1" x14ac:dyDescent="0.35">
      <c r="A67" s="13" t="s">
        <v>67</v>
      </c>
      <c r="B67" s="2">
        <v>2173</v>
      </c>
      <c r="C67" s="2">
        <v>0.71480900000000003</v>
      </c>
      <c r="D67" s="2">
        <v>1.964E-3</v>
      </c>
      <c r="E67" s="2">
        <v>0.71094970000000002</v>
      </c>
      <c r="F67" s="2">
        <v>0.718669</v>
      </c>
      <c r="H67" s="8" t="str">
        <f t="shared" si="2"/>
        <v>0.71 (0.71 to 0.72)</v>
      </c>
    </row>
    <row r="68" spans="1:8" ht="17.25" thickBot="1" x14ac:dyDescent="0.35">
      <c r="A68" s="13" t="s">
        <v>68</v>
      </c>
      <c r="B68" s="2">
        <v>2173</v>
      </c>
      <c r="C68" s="2">
        <v>0.44832499999999997</v>
      </c>
      <c r="D68" s="2">
        <v>7.5290000000000001E-3</v>
      </c>
      <c r="E68" s="2">
        <v>0.43352669999999999</v>
      </c>
      <c r="F68" s="2">
        <v>0.46312389999999998</v>
      </c>
      <c r="H68" s="8" t="str">
        <f t="shared" si="2"/>
        <v>0.45 (0.43 to 0.46)</v>
      </c>
    </row>
    <row r="69" spans="1:8" x14ac:dyDescent="0.3">
      <c r="A69" s="14" t="s">
        <v>69</v>
      </c>
      <c r="B69" s="2">
        <v>2173</v>
      </c>
      <c r="C69" s="2">
        <v>36.610571</v>
      </c>
      <c r="D69" s="2">
        <v>0.16491500000000001</v>
      </c>
      <c r="E69" s="2">
        <v>36.286416799999998</v>
      </c>
      <c r="F69" s="2">
        <v>36.9347256</v>
      </c>
      <c r="H69" s="8" t="str">
        <f t="shared" si="2"/>
        <v>36.61 (36.29 to 36.93)</v>
      </c>
    </row>
    <row r="73" spans="1:8" x14ac:dyDescent="0.3">
      <c r="A73" s="1" t="s">
        <v>129</v>
      </c>
    </row>
    <row r="75" spans="1:8" x14ac:dyDescent="0.3">
      <c r="A75" s="1" t="s">
        <v>145</v>
      </c>
    </row>
    <row r="76" spans="1:8" ht="17.25" thickBot="1" x14ac:dyDescent="0.35"/>
    <row r="77" spans="1:8" ht="16.5" customHeight="1" x14ac:dyDescent="0.3">
      <c r="A77" s="24" t="s">
        <v>75</v>
      </c>
      <c r="B77" s="26"/>
    </row>
    <row r="78" spans="1:8" ht="26.25" thickBot="1" x14ac:dyDescent="0.35">
      <c r="A78" s="13" t="s">
        <v>76</v>
      </c>
      <c r="B78" s="2">
        <v>25</v>
      </c>
    </row>
    <row r="79" spans="1:8" ht="26.25" thickBot="1" x14ac:dyDescent="0.35">
      <c r="A79" s="13" t="s">
        <v>77</v>
      </c>
      <c r="B79" s="2">
        <v>554</v>
      </c>
    </row>
    <row r="80" spans="1:8" ht="39" thickBot="1" x14ac:dyDescent="0.35">
      <c r="A80" s="13" t="s">
        <v>78</v>
      </c>
      <c r="B80" s="2">
        <v>4179</v>
      </c>
    </row>
    <row r="81" spans="1:8" ht="25.5" x14ac:dyDescent="0.3">
      <c r="A81" s="14" t="s">
        <v>79</v>
      </c>
      <c r="B81" s="2">
        <v>2268403.2000000002</v>
      </c>
    </row>
    <row r="82" spans="1:8" ht="17.25" thickBot="1" x14ac:dyDescent="0.35"/>
    <row r="83" spans="1:8" ht="33" customHeight="1" x14ac:dyDescent="0.3">
      <c r="A83" s="24" t="s">
        <v>80</v>
      </c>
      <c r="B83" s="26"/>
    </row>
    <row r="84" spans="1:8" ht="33.75" thickBot="1" x14ac:dyDescent="0.35">
      <c r="A84" s="13" t="s">
        <v>81</v>
      </c>
      <c r="B84" s="2" t="s">
        <v>82</v>
      </c>
    </row>
    <row r="85" spans="1:8" ht="25.5" x14ac:dyDescent="0.3">
      <c r="A85" s="14" t="s">
        <v>83</v>
      </c>
      <c r="B85" s="2" t="s">
        <v>84</v>
      </c>
    </row>
    <row r="86" spans="1:8" ht="17.25" thickBot="1" x14ac:dyDescent="0.35"/>
    <row r="87" spans="1:8" ht="16.5" customHeight="1" x14ac:dyDescent="0.3">
      <c r="A87" s="24" t="s">
        <v>130</v>
      </c>
      <c r="B87" s="26"/>
      <c r="C87" s="26"/>
      <c r="D87" s="26"/>
      <c r="E87" s="26"/>
      <c r="F87" s="26"/>
    </row>
    <row r="88" spans="1:8" x14ac:dyDescent="0.3">
      <c r="A88" s="25" t="s">
        <v>131</v>
      </c>
      <c r="B88" s="27" t="s">
        <v>46</v>
      </c>
      <c r="C88" s="27" t="s">
        <v>132</v>
      </c>
      <c r="D88" s="3" t="s">
        <v>133</v>
      </c>
      <c r="E88" s="27" t="s">
        <v>135</v>
      </c>
      <c r="F88" s="27"/>
    </row>
    <row r="89" spans="1:8" x14ac:dyDescent="0.3">
      <c r="A89" s="25"/>
      <c r="B89" s="27"/>
      <c r="C89" s="27"/>
      <c r="D89" s="3" t="s">
        <v>134</v>
      </c>
      <c r="E89" s="27"/>
      <c r="F89" s="27"/>
    </row>
    <row r="90" spans="1:8" ht="17.25" thickBot="1" x14ac:dyDescent="0.35">
      <c r="A90" s="13" t="s">
        <v>66</v>
      </c>
      <c r="B90" s="2">
        <v>4179</v>
      </c>
      <c r="C90" s="2">
        <v>8.3522890000000007</v>
      </c>
      <c r="D90" s="2">
        <v>1.2222E-2</v>
      </c>
      <c r="E90" s="2">
        <v>8.3282799999999995</v>
      </c>
      <c r="F90" s="2">
        <v>8.3762977999999997</v>
      </c>
      <c r="H90" s="8" t="str">
        <f t="shared" ref="H90:H93" si="3">TEXT(C90,"0.00")&amp;" ("&amp;TEXT(E90,"0.00")&amp;" to "&amp;TEXT(F90,"0.00")&amp;")"</f>
        <v>8.35 (8.33 to 8.38)</v>
      </c>
    </row>
    <row r="91" spans="1:8" ht="17.25" thickBot="1" x14ac:dyDescent="0.35">
      <c r="A91" s="13" t="s">
        <v>67</v>
      </c>
      <c r="B91" s="2">
        <v>4179</v>
      </c>
      <c r="C91" s="2">
        <v>0.62369200000000002</v>
      </c>
      <c r="D91" s="2">
        <v>1.256E-3</v>
      </c>
      <c r="E91" s="2">
        <v>0.62122390000000005</v>
      </c>
      <c r="F91" s="2">
        <v>0.6261603</v>
      </c>
      <c r="H91" s="8" t="str">
        <f t="shared" si="3"/>
        <v>0.62 (0.62 to 0.63)</v>
      </c>
    </row>
    <row r="92" spans="1:8" ht="17.25" thickBot="1" x14ac:dyDescent="0.35">
      <c r="A92" s="13" t="s">
        <v>68</v>
      </c>
      <c r="B92" s="2">
        <v>4179</v>
      </c>
      <c r="C92" s="2">
        <v>0.27782400000000002</v>
      </c>
      <c r="D92" s="2">
        <v>5.914E-3</v>
      </c>
      <c r="E92" s="2">
        <v>0.26620680000000002</v>
      </c>
      <c r="F92" s="2">
        <v>0.28944150000000002</v>
      </c>
      <c r="H92" s="8" t="str">
        <f t="shared" si="3"/>
        <v>0.28 (0.27 to 0.29)</v>
      </c>
    </row>
    <row r="93" spans="1:8" x14ac:dyDescent="0.3">
      <c r="A93" s="14" t="s">
        <v>69</v>
      </c>
      <c r="B93" s="2">
        <v>4179</v>
      </c>
      <c r="C93" s="2">
        <v>34.073214999999998</v>
      </c>
      <c r="D93" s="2">
        <v>0.163881</v>
      </c>
      <c r="E93" s="2">
        <v>33.751277700000003</v>
      </c>
      <c r="F93" s="2">
        <v>34.395153000000001</v>
      </c>
      <c r="H93" s="8" t="str">
        <f t="shared" si="3"/>
        <v>34.07 (33.75 to 34.40)</v>
      </c>
    </row>
    <row r="97" spans="1:6" x14ac:dyDescent="0.3">
      <c r="A97" s="1" t="s">
        <v>129</v>
      </c>
    </row>
    <row r="99" spans="1:6" x14ac:dyDescent="0.3">
      <c r="A99" s="1" t="s">
        <v>146</v>
      </c>
    </row>
    <row r="100" spans="1:6" ht="17.25" thickBot="1" x14ac:dyDescent="0.35"/>
    <row r="101" spans="1:6" ht="16.5" customHeight="1" x14ac:dyDescent="0.3">
      <c r="A101" s="24" t="s">
        <v>75</v>
      </c>
      <c r="B101" s="26"/>
    </row>
    <row r="102" spans="1:6" ht="26.25" thickBot="1" x14ac:dyDescent="0.35">
      <c r="A102" s="13" t="s">
        <v>76</v>
      </c>
      <c r="B102" s="2">
        <v>25</v>
      </c>
    </row>
    <row r="103" spans="1:6" ht="26.25" thickBot="1" x14ac:dyDescent="0.35">
      <c r="A103" s="13" t="s">
        <v>77</v>
      </c>
      <c r="B103" s="2">
        <v>576</v>
      </c>
    </row>
    <row r="104" spans="1:6" ht="39" thickBot="1" x14ac:dyDescent="0.35">
      <c r="A104" s="13" t="s">
        <v>78</v>
      </c>
      <c r="B104" s="2">
        <v>6402</v>
      </c>
    </row>
    <row r="105" spans="1:6" ht="25.5" x14ac:dyDescent="0.3">
      <c r="A105" s="14" t="s">
        <v>79</v>
      </c>
      <c r="B105" s="2">
        <v>2612826.29</v>
      </c>
    </row>
    <row r="106" spans="1:6" ht="17.25" thickBot="1" x14ac:dyDescent="0.35"/>
    <row r="107" spans="1:6" ht="33" customHeight="1" x14ac:dyDescent="0.3">
      <c r="A107" s="24" t="s">
        <v>80</v>
      </c>
      <c r="B107" s="26"/>
    </row>
    <row r="108" spans="1:6" ht="33.75" thickBot="1" x14ac:dyDescent="0.35">
      <c r="A108" s="13" t="s">
        <v>81</v>
      </c>
      <c r="B108" s="2" t="s">
        <v>82</v>
      </c>
    </row>
    <row r="109" spans="1:6" ht="25.5" x14ac:dyDescent="0.3">
      <c r="A109" s="14" t="s">
        <v>83</v>
      </c>
      <c r="B109" s="2" t="s">
        <v>84</v>
      </c>
    </row>
    <row r="110" spans="1:6" ht="17.25" thickBot="1" x14ac:dyDescent="0.35"/>
    <row r="111" spans="1:6" ht="16.5" customHeight="1" x14ac:dyDescent="0.3">
      <c r="A111" s="24" t="s">
        <v>130</v>
      </c>
      <c r="B111" s="26"/>
      <c r="C111" s="26"/>
      <c r="D111" s="26"/>
      <c r="E111" s="26"/>
      <c r="F111" s="26"/>
    </row>
    <row r="112" spans="1:6" x14ac:dyDescent="0.3">
      <c r="A112" s="25" t="s">
        <v>131</v>
      </c>
      <c r="B112" s="27" t="s">
        <v>46</v>
      </c>
      <c r="C112" s="27" t="s">
        <v>132</v>
      </c>
      <c r="D112" s="3" t="s">
        <v>133</v>
      </c>
      <c r="E112" s="27" t="s">
        <v>135</v>
      </c>
      <c r="F112" s="27"/>
    </row>
    <row r="113" spans="1:8" x14ac:dyDescent="0.3">
      <c r="A113" s="25"/>
      <c r="B113" s="27"/>
      <c r="C113" s="27"/>
      <c r="D113" s="3" t="s">
        <v>134</v>
      </c>
      <c r="E113" s="27"/>
      <c r="F113" s="27"/>
    </row>
    <row r="114" spans="1:8" ht="17.25" thickBot="1" x14ac:dyDescent="0.35">
      <c r="A114" s="13" t="s">
        <v>66</v>
      </c>
      <c r="B114" s="2">
        <v>6402</v>
      </c>
      <c r="C114" s="2">
        <v>8.7080520000000003</v>
      </c>
      <c r="D114" s="2">
        <v>1.0848E-2</v>
      </c>
      <c r="E114" s="2">
        <v>8.6867443000000009</v>
      </c>
      <c r="F114" s="2">
        <v>8.7293600999999992</v>
      </c>
      <c r="H114" s="8" t="str">
        <f t="shared" ref="H114:H117" si="4">TEXT(C114,"0.00")&amp;" ("&amp;TEXT(E114,"0.00")&amp;" to "&amp;TEXT(F114,"0.00")&amp;")"</f>
        <v>8.71 (8.69 to 8.73)</v>
      </c>
    </row>
    <row r="115" spans="1:8" ht="17.25" thickBot="1" x14ac:dyDescent="0.35">
      <c r="A115" s="13" t="s">
        <v>67</v>
      </c>
      <c r="B115" s="2">
        <v>6402</v>
      </c>
      <c r="C115" s="2">
        <v>0.67595300000000003</v>
      </c>
      <c r="D115" s="2">
        <v>1.256E-3</v>
      </c>
      <c r="E115" s="2">
        <v>0.67348640000000004</v>
      </c>
      <c r="F115" s="2">
        <v>0.67842009999999997</v>
      </c>
      <c r="H115" s="8" t="str">
        <f t="shared" si="4"/>
        <v>0.68 (0.67 to 0.68)</v>
      </c>
    </row>
    <row r="116" spans="1:8" ht="17.25" thickBot="1" x14ac:dyDescent="0.35">
      <c r="A116" s="13" t="s">
        <v>68</v>
      </c>
      <c r="B116" s="2">
        <v>6402</v>
      </c>
      <c r="C116" s="2">
        <v>0.41297099999999998</v>
      </c>
      <c r="D116" s="2">
        <v>5.1529999999999996E-3</v>
      </c>
      <c r="E116" s="2">
        <v>0.4028484</v>
      </c>
      <c r="F116" s="2">
        <v>0.42309390000000002</v>
      </c>
      <c r="H116" s="8" t="str">
        <f t="shared" si="4"/>
        <v>0.41 (0.40 to 0.42)</v>
      </c>
    </row>
    <row r="117" spans="1:8" x14ac:dyDescent="0.3">
      <c r="A117" s="14" t="s">
        <v>69</v>
      </c>
      <c r="B117" s="2">
        <v>6402</v>
      </c>
      <c r="C117" s="2">
        <v>36.65081</v>
      </c>
      <c r="D117" s="2">
        <v>0.10101300000000001</v>
      </c>
      <c r="E117" s="2">
        <v>36.452392799999998</v>
      </c>
      <c r="F117" s="2">
        <v>36.849227499999998</v>
      </c>
      <c r="H117" s="8" t="str">
        <f t="shared" si="4"/>
        <v>36.65 (36.45 to 36.85)</v>
      </c>
    </row>
    <row r="121" spans="1:8" x14ac:dyDescent="0.3">
      <c r="A121" s="1" t="s">
        <v>129</v>
      </c>
    </row>
    <row r="123" spans="1:8" x14ac:dyDescent="0.3">
      <c r="A123" s="1" t="s">
        <v>147</v>
      </c>
    </row>
    <row r="124" spans="1:8" ht="17.25" thickBot="1" x14ac:dyDescent="0.35"/>
    <row r="125" spans="1:8" ht="16.5" customHeight="1" x14ac:dyDescent="0.3">
      <c r="A125" s="24" t="s">
        <v>75</v>
      </c>
      <c r="B125" s="26"/>
    </row>
    <row r="126" spans="1:8" ht="26.25" thickBot="1" x14ac:dyDescent="0.35">
      <c r="A126" s="13" t="s">
        <v>76</v>
      </c>
      <c r="B126" s="2">
        <v>25</v>
      </c>
    </row>
    <row r="127" spans="1:8" ht="26.25" thickBot="1" x14ac:dyDescent="0.35">
      <c r="A127" s="13" t="s">
        <v>77</v>
      </c>
      <c r="B127" s="2">
        <v>535</v>
      </c>
    </row>
    <row r="128" spans="1:8" ht="39" thickBot="1" x14ac:dyDescent="0.35">
      <c r="A128" s="13" t="s">
        <v>78</v>
      </c>
      <c r="B128" s="2">
        <v>2535</v>
      </c>
    </row>
    <row r="129" spans="1:8" ht="25.5" x14ac:dyDescent="0.3">
      <c r="A129" s="14" t="s">
        <v>79</v>
      </c>
      <c r="B129" s="2">
        <v>579435.46200000006</v>
      </c>
    </row>
    <row r="130" spans="1:8" ht="17.25" thickBot="1" x14ac:dyDescent="0.35"/>
    <row r="131" spans="1:8" ht="33" customHeight="1" x14ac:dyDescent="0.3">
      <c r="A131" s="24" t="s">
        <v>80</v>
      </c>
      <c r="B131" s="26"/>
    </row>
    <row r="132" spans="1:8" ht="33.75" thickBot="1" x14ac:dyDescent="0.35">
      <c r="A132" s="13" t="s">
        <v>81</v>
      </c>
      <c r="B132" s="2" t="s">
        <v>82</v>
      </c>
    </row>
    <row r="133" spans="1:8" ht="25.5" x14ac:dyDescent="0.3">
      <c r="A133" s="14" t="s">
        <v>83</v>
      </c>
      <c r="B133" s="2" t="s">
        <v>84</v>
      </c>
    </row>
    <row r="134" spans="1:8" ht="17.25" thickBot="1" x14ac:dyDescent="0.35"/>
    <row r="135" spans="1:8" ht="16.5" customHeight="1" x14ac:dyDescent="0.3">
      <c r="A135" s="24" t="s">
        <v>130</v>
      </c>
      <c r="B135" s="26"/>
      <c r="C135" s="26"/>
      <c r="D135" s="26"/>
      <c r="E135" s="26"/>
      <c r="F135" s="26"/>
    </row>
    <row r="136" spans="1:8" x14ac:dyDescent="0.3">
      <c r="A136" s="25" t="s">
        <v>131</v>
      </c>
      <c r="B136" s="27" t="s">
        <v>46</v>
      </c>
      <c r="C136" s="27" t="s">
        <v>132</v>
      </c>
      <c r="D136" s="3" t="s">
        <v>133</v>
      </c>
      <c r="E136" s="27" t="s">
        <v>135</v>
      </c>
      <c r="F136" s="27"/>
    </row>
    <row r="137" spans="1:8" x14ac:dyDescent="0.3">
      <c r="A137" s="25"/>
      <c r="B137" s="27"/>
      <c r="C137" s="27"/>
      <c r="D137" s="3" t="s">
        <v>134</v>
      </c>
      <c r="E137" s="27"/>
      <c r="F137" s="27"/>
    </row>
    <row r="138" spans="1:8" ht="17.25" thickBot="1" x14ac:dyDescent="0.35">
      <c r="A138" s="13" t="s">
        <v>66</v>
      </c>
      <c r="B138" s="2">
        <v>2535</v>
      </c>
      <c r="C138" s="2">
        <v>8.7011660000000006</v>
      </c>
      <c r="D138" s="2">
        <v>1.4833000000000001E-2</v>
      </c>
      <c r="E138" s="2">
        <v>8.6720249000000003</v>
      </c>
      <c r="F138" s="2">
        <v>8.7303070999999992</v>
      </c>
      <c r="H138" s="8" t="str">
        <f t="shared" ref="H138:H141" si="5">TEXT(C138,"0.00")&amp;" ("&amp;TEXT(E138,"0.00")&amp;" to "&amp;TEXT(F138,"0.00")&amp;")"</f>
        <v>8.70 (8.67 to 8.73)</v>
      </c>
    </row>
    <row r="139" spans="1:8" ht="17.25" thickBot="1" x14ac:dyDescent="0.35">
      <c r="A139" s="13" t="s">
        <v>67</v>
      </c>
      <c r="B139" s="2">
        <v>2535</v>
      </c>
      <c r="C139" s="2">
        <v>0.70816999999999997</v>
      </c>
      <c r="D139" s="2">
        <v>1.846E-3</v>
      </c>
      <c r="E139" s="2">
        <v>0.70454260000000002</v>
      </c>
      <c r="F139" s="2">
        <v>0.71179650000000005</v>
      </c>
      <c r="H139" s="8" t="str">
        <f t="shared" si="5"/>
        <v>0.71 (0.70 to 0.71)</v>
      </c>
    </row>
    <row r="140" spans="1:8" ht="17.25" thickBot="1" x14ac:dyDescent="0.35">
      <c r="A140" s="13" t="s">
        <v>68</v>
      </c>
      <c r="B140" s="2">
        <v>2535</v>
      </c>
      <c r="C140" s="2">
        <v>0.41205799999999998</v>
      </c>
      <c r="D140" s="2">
        <v>7.6559999999999996E-3</v>
      </c>
      <c r="E140" s="2">
        <v>0.39701730000000002</v>
      </c>
      <c r="F140" s="2">
        <v>0.42709920000000001</v>
      </c>
      <c r="H140" s="8" t="str">
        <f t="shared" si="5"/>
        <v>0.41 (0.40 to 0.43)</v>
      </c>
    </row>
    <row r="141" spans="1:8" x14ac:dyDescent="0.3">
      <c r="A141" s="14" t="s">
        <v>69</v>
      </c>
      <c r="B141" s="2">
        <v>2535</v>
      </c>
      <c r="C141" s="2">
        <v>36.347197999999999</v>
      </c>
      <c r="D141" s="2">
        <v>0.164302</v>
      </c>
      <c r="E141" s="2">
        <v>36.0244061</v>
      </c>
      <c r="F141" s="2">
        <v>36.669989200000003</v>
      </c>
      <c r="H141" s="8" t="str">
        <f t="shared" si="5"/>
        <v>36.35 (36.02 to 36.67)</v>
      </c>
    </row>
    <row r="145" spans="1:6" x14ac:dyDescent="0.3">
      <c r="A145" s="1" t="s">
        <v>129</v>
      </c>
    </row>
    <row r="147" spans="1:6" x14ac:dyDescent="0.3">
      <c r="A147" s="1" t="s">
        <v>148</v>
      </c>
    </row>
    <row r="148" spans="1:6" ht="17.25" thickBot="1" x14ac:dyDescent="0.35"/>
    <row r="149" spans="1:6" ht="16.5" customHeight="1" x14ac:dyDescent="0.3">
      <c r="A149" s="24" t="s">
        <v>75</v>
      </c>
      <c r="B149" s="26"/>
    </row>
    <row r="150" spans="1:6" ht="26.25" thickBot="1" x14ac:dyDescent="0.35">
      <c r="A150" s="13" t="s">
        <v>76</v>
      </c>
      <c r="B150" s="2">
        <v>25</v>
      </c>
    </row>
    <row r="151" spans="1:6" ht="26.25" thickBot="1" x14ac:dyDescent="0.35">
      <c r="A151" s="13" t="s">
        <v>77</v>
      </c>
      <c r="B151" s="2">
        <v>546</v>
      </c>
    </row>
    <row r="152" spans="1:6" ht="39" thickBot="1" x14ac:dyDescent="0.35">
      <c r="A152" s="13" t="s">
        <v>78</v>
      </c>
      <c r="B152" s="2">
        <v>3520</v>
      </c>
    </row>
    <row r="153" spans="1:6" ht="25.5" x14ac:dyDescent="0.3">
      <c r="A153" s="14" t="s">
        <v>79</v>
      </c>
      <c r="B153" s="2">
        <v>2157453.0299999998</v>
      </c>
    </row>
    <row r="154" spans="1:6" ht="17.25" thickBot="1" x14ac:dyDescent="0.35"/>
    <row r="155" spans="1:6" ht="33" customHeight="1" x14ac:dyDescent="0.3">
      <c r="A155" s="24" t="s">
        <v>80</v>
      </c>
      <c r="B155" s="26"/>
    </row>
    <row r="156" spans="1:6" ht="33.75" thickBot="1" x14ac:dyDescent="0.35">
      <c r="A156" s="13" t="s">
        <v>81</v>
      </c>
      <c r="B156" s="2" t="s">
        <v>82</v>
      </c>
    </row>
    <row r="157" spans="1:6" ht="25.5" x14ac:dyDescent="0.3">
      <c r="A157" s="14" t="s">
        <v>83</v>
      </c>
      <c r="B157" s="2" t="s">
        <v>84</v>
      </c>
    </row>
    <row r="158" spans="1:6" ht="17.25" thickBot="1" x14ac:dyDescent="0.35"/>
    <row r="159" spans="1:6" ht="16.5" customHeight="1" x14ac:dyDescent="0.3">
      <c r="A159" s="24" t="s">
        <v>130</v>
      </c>
      <c r="B159" s="26"/>
      <c r="C159" s="26"/>
      <c r="D159" s="26"/>
      <c r="E159" s="26"/>
      <c r="F159" s="26"/>
    </row>
    <row r="160" spans="1:6" x14ac:dyDescent="0.3">
      <c r="A160" s="25" t="s">
        <v>131</v>
      </c>
      <c r="B160" s="27" t="s">
        <v>46</v>
      </c>
      <c r="C160" s="27" t="s">
        <v>132</v>
      </c>
      <c r="D160" s="3" t="s">
        <v>133</v>
      </c>
      <c r="E160" s="27" t="s">
        <v>135</v>
      </c>
      <c r="F160" s="27"/>
    </row>
    <row r="161" spans="1:8" x14ac:dyDescent="0.3">
      <c r="A161" s="25"/>
      <c r="B161" s="27"/>
      <c r="C161" s="27"/>
      <c r="D161" s="3" t="s">
        <v>134</v>
      </c>
      <c r="E161" s="27"/>
      <c r="F161" s="27"/>
    </row>
    <row r="162" spans="1:8" ht="17.25" thickBot="1" x14ac:dyDescent="0.35">
      <c r="A162" s="13" t="s">
        <v>66</v>
      </c>
      <c r="B162" s="2">
        <v>3520</v>
      </c>
      <c r="C162" s="2">
        <v>8.3777980000000003</v>
      </c>
      <c r="D162" s="2">
        <v>1.2741000000000001E-2</v>
      </c>
      <c r="E162" s="2">
        <v>8.3527666000000007</v>
      </c>
      <c r="F162" s="2">
        <v>8.4028285</v>
      </c>
      <c r="H162" s="8" t="str">
        <f t="shared" ref="H162:H165" si="6">TEXT(C162,"0.00")&amp;" ("&amp;TEXT(E162,"0.00")&amp;" to "&amp;TEXT(F162,"0.00")&amp;")"</f>
        <v>8.38 (8.35 to 8.40)</v>
      </c>
    </row>
    <row r="163" spans="1:8" ht="17.25" thickBot="1" x14ac:dyDescent="0.35">
      <c r="A163" s="13" t="s">
        <v>67</v>
      </c>
      <c r="B163" s="2">
        <v>3520</v>
      </c>
      <c r="C163" s="2">
        <v>0.62796200000000002</v>
      </c>
      <c r="D163" s="2">
        <v>1.3990000000000001E-3</v>
      </c>
      <c r="E163" s="2">
        <v>0.62521369999999998</v>
      </c>
      <c r="F163" s="2">
        <v>0.63071069999999996</v>
      </c>
      <c r="H163" s="8" t="str">
        <f t="shared" si="6"/>
        <v>0.63 (0.63 to 0.63)</v>
      </c>
    </row>
    <row r="164" spans="1:8" ht="17.25" thickBot="1" x14ac:dyDescent="0.35">
      <c r="A164" s="13" t="s">
        <v>68</v>
      </c>
      <c r="B164" s="2">
        <v>3520</v>
      </c>
      <c r="C164" s="2">
        <v>0.26769300000000001</v>
      </c>
      <c r="D164" s="2">
        <v>6.3720000000000001E-3</v>
      </c>
      <c r="E164" s="2">
        <v>0.2551755</v>
      </c>
      <c r="F164" s="2">
        <v>0.2802095</v>
      </c>
      <c r="H164" s="8" t="str">
        <f t="shared" si="6"/>
        <v>0.27 (0.26 to 0.28)</v>
      </c>
    </row>
    <row r="165" spans="1:8" x14ac:dyDescent="0.3">
      <c r="A165" s="14" t="s">
        <v>69</v>
      </c>
      <c r="B165" s="2">
        <v>3520</v>
      </c>
      <c r="C165" s="2">
        <v>33.803696000000002</v>
      </c>
      <c r="D165" s="2">
        <v>0.15182999999999999</v>
      </c>
      <c r="E165" s="2">
        <v>33.505422099999997</v>
      </c>
      <c r="F165" s="2">
        <v>34.101969500000003</v>
      </c>
      <c r="H165" s="8" t="str">
        <f t="shared" si="6"/>
        <v>33.80 (33.51 to 34.10)</v>
      </c>
    </row>
    <row r="169" spans="1:8" x14ac:dyDescent="0.3">
      <c r="A169" s="1" t="s">
        <v>129</v>
      </c>
    </row>
    <row r="171" spans="1:8" x14ac:dyDescent="0.3">
      <c r="A171" s="1" t="s">
        <v>149</v>
      </c>
    </row>
    <row r="172" spans="1:8" ht="17.25" thickBot="1" x14ac:dyDescent="0.35"/>
    <row r="173" spans="1:8" ht="16.5" customHeight="1" x14ac:dyDescent="0.3">
      <c r="A173" s="24" t="s">
        <v>75</v>
      </c>
      <c r="B173" s="26"/>
    </row>
    <row r="174" spans="1:8" ht="26.25" thickBot="1" x14ac:dyDescent="0.35">
      <c r="A174" s="13" t="s">
        <v>76</v>
      </c>
      <c r="B174" s="2">
        <v>25</v>
      </c>
    </row>
    <row r="175" spans="1:8" ht="26.25" thickBot="1" x14ac:dyDescent="0.35">
      <c r="A175" s="13" t="s">
        <v>77</v>
      </c>
      <c r="B175" s="2">
        <v>574</v>
      </c>
    </row>
    <row r="176" spans="1:8" ht="39" thickBot="1" x14ac:dyDescent="0.35">
      <c r="A176" s="13" t="s">
        <v>78</v>
      </c>
      <c r="B176" s="2">
        <v>5743</v>
      </c>
    </row>
    <row r="177" spans="1:8" ht="25.5" x14ac:dyDescent="0.3">
      <c r="A177" s="14" t="s">
        <v>79</v>
      </c>
      <c r="B177" s="2">
        <v>2637371.4900000002</v>
      </c>
    </row>
    <row r="178" spans="1:8" ht="17.25" thickBot="1" x14ac:dyDescent="0.35"/>
    <row r="179" spans="1:8" ht="33" customHeight="1" x14ac:dyDescent="0.3">
      <c r="A179" s="24" t="s">
        <v>80</v>
      </c>
      <c r="B179" s="26"/>
    </row>
    <row r="180" spans="1:8" ht="33.75" thickBot="1" x14ac:dyDescent="0.35">
      <c r="A180" s="13" t="s">
        <v>81</v>
      </c>
      <c r="B180" s="2" t="s">
        <v>82</v>
      </c>
    </row>
    <row r="181" spans="1:8" ht="25.5" x14ac:dyDescent="0.3">
      <c r="A181" s="14" t="s">
        <v>83</v>
      </c>
      <c r="B181" s="2" t="s">
        <v>84</v>
      </c>
    </row>
    <row r="182" spans="1:8" ht="17.25" thickBot="1" x14ac:dyDescent="0.35"/>
    <row r="183" spans="1:8" ht="16.5" customHeight="1" x14ac:dyDescent="0.3">
      <c r="A183" s="24" t="s">
        <v>130</v>
      </c>
      <c r="B183" s="26"/>
      <c r="C183" s="26"/>
      <c r="D183" s="26"/>
      <c r="E183" s="26"/>
      <c r="F183" s="26"/>
    </row>
    <row r="184" spans="1:8" x14ac:dyDescent="0.3">
      <c r="A184" s="25" t="s">
        <v>131</v>
      </c>
      <c r="B184" s="27" t="s">
        <v>46</v>
      </c>
      <c r="C184" s="27" t="s">
        <v>132</v>
      </c>
      <c r="D184" s="3" t="s">
        <v>133</v>
      </c>
      <c r="E184" s="27" t="s">
        <v>135</v>
      </c>
      <c r="F184" s="27"/>
    </row>
    <row r="185" spans="1:8" x14ac:dyDescent="0.3">
      <c r="A185" s="25"/>
      <c r="B185" s="27"/>
      <c r="C185" s="27"/>
      <c r="D185" s="3" t="s">
        <v>134</v>
      </c>
      <c r="E185" s="27"/>
      <c r="F185" s="27"/>
    </row>
    <row r="186" spans="1:8" ht="17.25" thickBot="1" x14ac:dyDescent="0.35">
      <c r="A186" s="13" t="s">
        <v>66</v>
      </c>
      <c r="B186" s="2">
        <v>5743</v>
      </c>
      <c r="C186" s="2">
        <v>8.7276279999999993</v>
      </c>
      <c r="D186" s="2">
        <v>1.0952999999999999E-2</v>
      </c>
      <c r="E186" s="2">
        <v>8.7061127000000003</v>
      </c>
      <c r="F186" s="2">
        <v>8.7491430999999995</v>
      </c>
      <c r="H186" s="8" t="str">
        <f t="shared" ref="H186:H189" si="7">TEXT(C186,"0.00")&amp;" ("&amp;TEXT(E186,"0.00")&amp;" to "&amp;TEXT(F186,"0.00")&amp;")"</f>
        <v>8.73 (8.71 to 8.75)</v>
      </c>
    </row>
    <row r="187" spans="1:8" ht="17.25" thickBot="1" x14ac:dyDescent="0.35">
      <c r="A187" s="13" t="s">
        <v>67</v>
      </c>
      <c r="B187" s="2">
        <v>5743</v>
      </c>
      <c r="C187" s="2">
        <v>0.67347500000000005</v>
      </c>
      <c r="D187" s="2">
        <v>1.25E-3</v>
      </c>
      <c r="E187" s="2">
        <v>0.67101960000000005</v>
      </c>
      <c r="F187" s="2">
        <v>0.67593029999999998</v>
      </c>
      <c r="H187" s="8" t="str">
        <f t="shared" si="7"/>
        <v>0.67 (0.67 to 0.68)</v>
      </c>
    </row>
    <row r="188" spans="1:8" ht="17.25" thickBot="1" x14ac:dyDescent="0.35">
      <c r="A188" s="13" t="s">
        <v>68</v>
      </c>
      <c r="B188" s="2">
        <v>5743</v>
      </c>
      <c r="C188" s="2">
        <v>0.400391</v>
      </c>
      <c r="D188" s="2">
        <v>5.0489999999999997E-3</v>
      </c>
      <c r="E188" s="2">
        <v>0.39047359999999998</v>
      </c>
      <c r="F188" s="2">
        <v>0.41030860000000002</v>
      </c>
      <c r="H188" s="8" t="str">
        <f t="shared" si="7"/>
        <v>0.40 (0.39 to 0.41)</v>
      </c>
    </row>
    <row r="189" spans="1:8" x14ac:dyDescent="0.3">
      <c r="A189" s="14" t="s">
        <v>69</v>
      </c>
      <c r="B189" s="2">
        <v>5743</v>
      </c>
      <c r="C189" s="2">
        <v>36.395465999999999</v>
      </c>
      <c r="D189" s="2">
        <v>0.103771</v>
      </c>
      <c r="E189" s="2">
        <v>36.191629200000001</v>
      </c>
      <c r="F189" s="2">
        <v>36.599303300000003</v>
      </c>
      <c r="H189" s="8" t="str">
        <f t="shared" si="7"/>
        <v>36.40 (36.19 to 36.60)</v>
      </c>
    </row>
    <row r="193" spans="1:6" x14ac:dyDescent="0.3">
      <c r="A193" s="1" t="s">
        <v>129</v>
      </c>
    </row>
    <row r="195" spans="1:6" x14ac:dyDescent="0.3">
      <c r="A195" s="1" t="s">
        <v>150</v>
      </c>
    </row>
    <row r="196" spans="1:6" ht="17.25" thickBot="1" x14ac:dyDescent="0.35"/>
    <row r="197" spans="1:6" ht="16.5" customHeight="1" x14ac:dyDescent="0.3">
      <c r="A197" s="24" t="s">
        <v>75</v>
      </c>
      <c r="B197" s="26"/>
    </row>
    <row r="198" spans="1:6" ht="26.25" thickBot="1" x14ac:dyDescent="0.35">
      <c r="A198" s="13" t="s">
        <v>76</v>
      </c>
      <c r="B198" s="2">
        <v>25</v>
      </c>
    </row>
    <row r="199" spans="1:6" ht="26.25" thickBot="1" x14ac:dyDescent="0.35">
      <c r="A199" s="13" t="s">
        <v>77</v>
      </c>
      <c r="B199" s="2">
        <v>511</v>
      </c>
    </row>
    <row r="200" spans="1:6" ht="39" thickBot="1" x14ac:dyDescent="0.35">
      <c r="A200" s="13" t="s">
        <v>78</v>
      </c>
      <c r="B200" s="2">
        <v>2212</v>
      </c>
    </row>
    <row r="201" spans="1:6" ht="25.5" x14ac:dyDescent="0.3">
      <c r="A201" s="14" t="s">
        <v>79</v>
      </c>
      <c r="B201" s="2">
        <v>599704.5</v>
      </c>
    </row>
    <row r="202" spans="1:6" ht="17.25" thickBot="1" x14ac:dyDescent="0.35"/>
    <row r="203" spans="1:6" ht="33" customHeight="1" x14ac:dyDescent="0.3">
      <c r="A203" s="24" t="s">
        <v>80</v>
      </c>
      <c r="B203" s="26"/>
    </row>
    <row r="204" spans="1:6" ht="33.75" thickBot="1" x14ac:dyDescent="0.35">
      <c r="A204" s="13" t="s">
        <v>81</v>
      </c>
      <c r="B204" s="2" t="s">
        <v>82</v>
      </c>
    </row>
    <row r="205" spans="1:6" ht="25.5" x14ac:dyDescent="0.3">
      <c r="A205" s="14" t="s">
        <v>83</v>
      </c>
      <c r="B205" s="2" t="s">
        <v>84</v>
      </c>
    </row>
    <row r="206" spans="1:6" ht="17.25" thickBot="1" x14ac:dyDescent="0.35"/>
    <row r="207" spans="1:6" ht="16.5" customHeight="1" x14ac:dyDescent="0.3">
      <c r="A207" s="24" t="s">
        <v>130</v>
      </c>
      <c r="B207" s="26"/>
      <c r="C207" s="26"/>
      <c r="D207" s="26"/>
      <c r="E207" s="26"/>
      <c r="F207" s="26"/>
    </row>
    <row r="208" spans="1:6" x14ac:dyDescent="0.3">
      <c r="A208" s="25" t="s">
        <v>131</v>
      </c>
      <c r="B208" s="27" t="s">
        <v>46</v>
      </c>
      <c r="C208" s="27" t="s">
        <v>132</v>
      </c>
      <c r="D208" s="3" t="s">
        <v>133</v>
      </c>
      <c r="E208" s="27" t="s">
        <v>135</v>
      </c>
      <c r="F208" s="27"/>
    </row>
    <row r="209" spans="1:8" x14ac:dyDescent="0.3">
      <c r="A209" s="25"/>
      <c r="B209" s="27"/>
      <c r="C209" s="27"/>
      <c r="D209" s="3" t="s">
        <v>134</v>
      </c>
      <c r="E209" s="27"/>
      <c r="F209" s="27"/>
    </row>
    <row r="210" spans="1:8" ht="17.25" thickBot="1" x14ac:dyDescent="0.35">
      <c r="A210" s="13" t="s">
        <v>66</v>
      </c>
      <c r="B210" s="2">
        <v>2212</v>
      </c>
      <c r="C210" s="2">
        <v>8.7396220000000007</v>
      </c>
      <c r="D210" s="2">
        <v>1.4670000000000001E-2</v>
      </c>
      <c r="E210" s="2">
        <v>8.7107966000000001</v>
      </c>
      <c r="F210" s="2">
        <v>8.7684470000000001</v>
      </c>
      <c r="H210" s="8" t="str">
        <f t="shared" ref="H210:H213" si="8">TEXT(C210,"0.00")&amp;" ("&amp;TEXT(E210,"0.00")&amp;" to "&amp;TEXT(F210,"0.00")&amp;")"</f>
        <v>8.74 (8.71 to 8.77)</v>
      </c>
    </row>
    <row r="211" spans="1:8" ht="17.25" thickBot="1" x14ac:dyDescent="0.35">
      <c r="A211" s="13" t="s">
        <v>67</v>
      </c>
      <c r="B211" s="2">
        <v>2212</v>
      </c>
      <c r="C211" s="2">
        <v>0.70647499999999996</v>
      </c>
      <c r="D211" s="2">
        <v>1.761E-3</v>
      </c>
      <c r="E211" s="2">
        <v>0.70301389999999997</v>
      </c>
      <c r="F211" s="2">
        <v>0.70993589999999995</v>
      </c>
      <c r="H211" s="8" t="str">
        <f t="shared" si="8"/>
        <v>0.71 (0.70 to 0.71)</v>
      </c>
    </row>
    <row r="212" spans="1:8" ht="17.25" thickBot="1" x14ac:dyDescent="0.35">
      <c r="A212" s="13" t="s">
        <v>68</v>
      </c>
      <c r="B212" s="2">
        <v>2212</v>
      </c>
      <c r="C212" s="2">
        <v>0.410188</v>
      </c>
      <c r="D212" s="2">
        <v>7.228E-3</v>
      </c>
      <c r="E212" s="2">
        <v>0.39598620000000001</v>
      </c>
      <c r="F212" s="2">
        <v>0.42438979999999998</v>
      </c>
      <c r="H212" s="8" t="str">
        <f t="shared" si="8"/>
        <v>0.41 (0.40 to 0.42)</v>
      </c>
    </row>
    <row r="213" spans="1:8" x14ac:dyDescent="0.3">
      <c r="A213" s="14" t="s">
        <v>69</v>
      </c>
      <c r="B213" s="2">
        <v>2212</v>
      </c>
      <c r="C213" s="2">
        <v>36.670704999999998</v>
      </c>
      <c r="D213" s="2">
        <v>0.161972</v>
      </c>
      <c r="E213" s="2">
        <v>36.352454299999998</v>
      </c>
      <c r="F213" s="2">
        <v>36.988956299999998</v>
      </c>
      <c r="H213" s="8" t="str">
        <f t="shared" si="8"/>
        <v>36.67 (36.35 to 36.99)</v>
      </c>
    </row>
    <row r="217" spans="1:8" x14ac:dyDescent="0.3">
      <c r="A217" s="1" t="s">
        <v>129</v>
      </c>
    </row>
    <row r="219" spans="1:8" x14ac:dyDescent="0.3">
      <c r="A219" s="1" t="s">
        <v>151</v>
      </c>
    </row>
    <row r="220" spans="1:8" ht="17.25" thickBot="1" x14ac:dyDescent="0.35"/>
    <row r="221" spans="1:8" ht="16.5" customHeight="1" x14ac:dyDescent="0.3">
      <c r="A221" s="24" t="s">
        <v>75</v>
      </c>
      <c r="B221" s="26"/>
    </row>
    <row r="222" spans="1:8" ht="26.25" thickBot="1" x14ac:dyDescent="0.35">
      <c r="A222" s="13" t="s">
        <v>76</v>
      </c>
      <c r="B222" s="2">
        <v>54</v>
      </c>
    </row>
    <row r="223" spans="1:8" ht="26.25" thickBot="1" x14ac:dyDescent="0.35">
      <c r="A223" s="13" t="s">
        <v>77</v>
      </c>
      <c r="B223" s="2">
        <v>553</v>
      </c>
    </row>
    <row r="224" spans="1:8" ht="39" thickBot="1" x14ac:dyDescent="0.35">
      <c r="A224" s="13" t="s">
        <v>78</v>
      </c>
      <c r="B224" s="2">
        <v>4230</v>
      </c>
    </row>
    <row r="225" spans="1:8" ht="25.5" x14ac:dyDescent="0.3">
      <c r="A225" s="14" t="s">
        <v>79</v>
      </c>
      <c r="B225" s="2">
        <v>2384233.4300000002</v>
      </c>
    </row>
    <row r="226" spans="1:8" ht="17.25" thickBot="1" x14ac:dyDescent="0.35"/>
    <row r="227" spans="1:8" ht="33" customHeight="1" x14ac:dyDescent="0.3">
      <c r="A227" s="24" t="s">
        <v>80</v>
      </c>
      <c r="B227" s="26"/>
    </row>
    <row r="228" spans="1:8" ht="33.75" thickBot="1" x14ac:dyDescent="0.35">
      <c r="A228" s="13" t="s">
        <v>81</v>
      </c>
      <c r="B228" s="2" t="s">
        <v>82</v>
      </c>
    </row>
    <row r="229" spans="1:8" ht="25.5" x14ac:dyDescent="0.3">
      <c r="A229" s="14" t="s">
        <v>83</v>
      </c>
      <c r="B229" s="2" t="s">
        <v>84</v>
      </c>
    </row>
    <row r="230" spans="1:8" ht="17.25" thickBot="1" x14ac:dyDescent="0.35"/>
    <row r="231" spans="1:8" ht="16.5" customHeight="1" x14ac:dyDescent="0.3">
      <c r="A231" s="24" t="s">
        <v>130</v>
      </c>
      <c r="B231" s="26"/>
      <c r="C231" s="26"/>
      <c r="D231" s="26"/>
      <c r="E231" s="26"/>
      <c r="F231" s="26"/>
    </row>
    <row r="232" spans="1:8" x14ac:dyDescent="0.3">
      <c r="A232" s="25" t="s">
        <v>131</v>
      </c>
      <c r="B232" s="27" t="s">
        <v>46</v>
      </c>
      <c r="C232" s="27" t="s">
        <v>132</v>
      </c>
      <c r="D232" s="3" t="s">
        <v>133</v>
      </c>
      <c r="E232" s="27" t="s">
        <v>135</v>
      </c>
      <c r="F232" s="27"/>
    </row>
    <row r="233" spans="1:8" x14ac:dyDescent="0.3">
      <c r="A233" s="25"/>
      <c r="B233" s="27"/>
      <c r="C233" s="27"/>
      <c r="D233" s="3" t="s">
        <v>134</v>
      </c>
      <c r="E233" s="27"/>
      <c r="F233" s="27"/>
    </row>
    <row r="234" spans="1:8" ht="17.25" thickBot="1" x14ac:dyDescent="0.35">
      <c r="A234" s="13" t="s">
        <v>66</v>
      </c>
      <c r="B234" s="2">
        <v>4230</v>
      </c>
      <c r="C234" s="2">
        <v>8.4065779999999997</v>
      </c>
      <c r="D234" s="2">
        <v>1.1351E-2</v>
      </c>
      <c r="E234" s="2">
        <v>8.3842754999999993</v>
      </c>
      <c r="F234" s="2">
        <v>8.4288801000000007</v>
      </c>
      <c r="H234" s="8" t="str">
        <f t="shared" ref="H234:H237" si="9">TEXT(C234,"0.00")&amp;" ("&amp;TEXT(E234,"0.00")&amp;" to "&amp;TEXT(F234,"0.00")&amp;")"</f>
        <v>8.41 (8.38 to 8.43)</v>
      </c>
    </row>
    <row r="235" spans="1:8" ht="17.25" thickBot="1" x14ac:dyDescent="0.35">
      <c r="A235" s="13" t="s">
        <v>67</v>
      </c>
      <c r="B235" s="2">
        <v>4230</v>
      </c>
      <c r="C235" s="2">
        <v>0.63054699999999997</v>
      </c>
      <c r="D235" s="2">
        <v>1.2719999999999999E-3</v>
      </c>
      <c r="E235" s="2">
        <v>0.62804839999999995</v>
      </c>
      <c r="F235" s="2">
        <v>0.63304490000000002</v>
      </c>
      <c r="H235" s="8" t="str">
        <f t="shared" si="9"/>
        <v>0.63 (0.63 to 0.63)</v>
      </c>
    </row>
    <row r="236" spans="1:8" ht="17.25" thickBot="1" x14ac:dyDescent="0.35">
      <c r="A236" s="13" t="s">
        <v>68</v>
      </c>
      <c r="B236" s="2">
        <v>4230</v>
      </c>
      <c r="C236" s="2">
        <v>0.27789799999999998</v>
      </c>
      <c r="D236" s="2">
        <v>5.5859999999999998E-3</v>
      </c>
      <c r="E236" s="2">
        <v>0.26692369999999999</v>
      </c>
      <c r="F236" s="2">
        <v>0.28887210000000002</v>
      </c>
      <c r="H236" s="8" t="str">
        <f t="shared" si="9"/>
        <v>0.28 (0.27 to 0.29)</v>
      </c>
    </row>
    <row r="237" spans="1:8" x14ac:dyDescent="0.3">
      <c r="A237" s="14" t="s">
        <v>69</v>
      </c>
      <c r="B237" s="2">
        <v>4230</v>
      </c>
      <c r="C237" s="2">
        <v>34.376815000000001</v>
      </c>
      <c r="D237" s="2">
        <v>0.15137200000000001</v>
      </c>
      <c r="E237" s="2">
        <v>34.079410500000002</v>
      </c>
      <c r="F237" s="2">
        <v>34.674219399999998</v>
      </c>
      <c r="H237" s="8" t="str">
        <f t="shared" si="9"/>
        <v>34.38 (34.08 to 34.67)</v>
      </c>
    </row>
    <row r="241" spans="1:6" x14ac:dyDescent="0.3">
      <c r="A241" s="1" t="s">
        <v>129</v>
      </c>
    </row>
    <row r="243" spans="1:6" x14ac:dyDescent="0.3">
      <c r="A243" s="1" t="s">
        <v>152</v>
      </c>
    </row>
    <row r="244" spans="1:6" ht="17.25" thickBot="1" x14ac:dyDescent="0.35"/>
    <row r="245" spans="1:6" ht="16.5" customHeight="1" x14ac:dyDescent="0.3">
      <c r="A245" s="24" t="s">
        <v>75</v>
      </c>
      <c r="B245" s="26"/>
    </row>
    <row r="246" spans="1:6" ht="26.25" thickBot="1" x14ac:dyDescent="0.35">
      <c r="A246" s="13" t="s">
        <v>76</v>
      </c>
      <c r="B246" s="2">
        <v>54</v>
      </c>
    </row>
    <row r="247" spans="1:6" ht="26.25" thickBot="1" x14ac:dyDescent="0.35">
      <c r="A247" s="13" t="s">
        <v>77</v>
      </c>
      <c r="B247" s="2">
        <v>573</v>
      </c>
    </row>
    <row r="248" spans="1:6" ht="39" thickBot="1" x14ac:dyDescent="0.35">
      <c r="A248" s="13" t="s">
        <v>78</v>
      </c>
      <c r="B248" s="2">
        <v>6950</v>
      </c>
    </row>
    <row r="249" spans="1:6" ht="25.5" x14ac:dyDescent="0.3">
      <c r="A249" s="14" t="s">
        <v>79</v>
      </c>
      <c r="B249" s="2">
        <v>3112927.35</v>
      </c>
    </row>
    <row r="250" spans="1:6" ht="17.25" thickBot="1" x14ac:dyDescent="0.35"/>
    <row r="251" spans="1:6" ht="33" customHeight="1" x14ac:dyDescent="0.3">
      <c r="A251" s="24" t="s">
        <v>80</v>
      </c>
      <c r="B251" s="26"/>
    </row>
    <row r="252" spans="1:6" ht="33.75" thickBot="1" x14ac:dyDescent="0.35">
      <c r="A252" s="13" t="s">
        <v>81</v>
      </c>
      <c r="B252" s="2" t="s">
        <v>82</v>
      </c>
    </row>
    <row r="253" spans="1:6" ht="25.5" x14ac:dyDescent="0.3">
      <c r="A253" s="14" t="s">
        <v>83</v>
      </c>
      <c r="B253" s="2" t="s">
        <v>84</v>
      </c>
    </row>
    <row r="254" spans="1:6" ht="17.25" thickBot="1" x14ac:dyDescent="0.35"/>
    <row r="255" spans="1:6" ht="16.5" customHeight="1" x14ac:dyDescent="0.3">
      <c r="A255" s="24" t="s">
        <v>130</v>
      </c>
      <c r="B255" s="26"/>
      <c r="C255" s="26"/>
      <c r="D255" s="26"/>
      <c r="E255" s="26"/>
      <c r="F255" s="26"/>
    </row>
    <row r="256" spans="1:6" x14ac:dyDescent="0.3">
      <c r="A256" s="25" t="s">
        <v>131</v>
      </c>
      <c r="B256" s="27" t="s">
        <v>46</v>
      </c>
      <c r="C256" s="27" t="s">
        <v>132</v>
      </c>
      <c r="D256" s="3" t="s">
        <v>133</v>
      </c>
      <c r="E256" s="27" t="s">
        <v>135</v>
      </c>
      <c r="F256" s="27"/>
    </row>
    <row r="257" spans="1:8" x14ac:dyDescent="0.3">
      <c r="A257" s="25"/>
      <c r="B257" s="27"/>
      <c r="C257" s="27"/>
      <c r="D257" s="3" t="s">
        <v>134</v>
      </c>
      <c r="E257" s="27"/>
      <c r="F257" s="27"/>
    </row>
    <row r="258" spans="1:8" ht="17.25" thickBot="1" x14ac:dyDescent="0.35">
      <c r="A258" s="13" t="s">
        <v>66</v>
      </c>
      <c r="B258" s="2">
        <v>6950</v>
      </c>
      <c r="C258" s="2">
        <v>8.7359969999999993</v>
      </c>
      <c r="D258" s="2">
        <v>1.043E-2</v>
      </c>
      <c r="E258" s="2">
        <v>8.7155064000000007</v>
      </c>
      <c r="F258" s="2">
        <v>8.7564878000000004</v>
      </c>
      <c r="H258" s="8" t="str">
        <f t="shared" ref="H258:H261" si="10">TEXT(C258,"0.00")&amp;" ("&amp;TEXT(E258,"0.00")&amp;" to "&amp;TEXT(F258,"0.00")&amp;")"</f>
        <v>8.74 (8.72 to 8.76)</v>
      </c>
    </row>
    <row r="259" spans="1:8" ht="17.25" thickBot="1" x14ac:dyDescent="0.35">
      <c r="A259" s="13" t="s">
        <v>67</v>
      </c>
      <c r="B259" s="2">
        <v>6950</v>
      </c>
      <c r="C259" s="2">
        <v>0.678647</v>
      </c>
      <c r="D259" s="2">
        <v>1.1609999999999999E-3</v>
      </c>
      <c r="E259" s="2">
        <v>0.67636629999999998</v>
      </c>
      <c r="F259" s="2">
        <v>0.6809269</v>
      </c>
      <c r="H259" s="8" t="str">
        <f t="shared" si="10"/>
        <v>0.68 (0.68 to 0.68)</v>
      </c>
    </row>
    <row r="260" spans="1:8" ht="17.25" thickBot="1" x14ac:dyDescent="0.35">
      <c r="A260" s="13" t="s">
        <v>68</v>
      </c>
      <c r="B260" s="2">
        <v>6950</v>
      </c>
      <c r="C260" s="2">
        <v>0.39880700000000002</v>
      </c>
      <c r="D260" s="2">
        <v>5.0489999999999997E-3</v>
      </c>
      <c r="E260" s="2">
        <v>0.38888729999999999</v>
      </c>
      <c r="F260" s="2">
        <v>0.4087268</v>
      </c>
      <c r="H260" s="8" t="str">
        <f t="shared" si="10"/>
        <v>0.40 (0.39 to 0.41)</v>
      </c>
    </row>
    <row r="261" spans="1:8" x14ac:dyDescent="0.3">
      <c r="A261" s="14" t="s">
        <v>69</v>
      </c>
      <c r="B261" s="2">
        <v>6950</v>
      </c>
      <c r="C261" s="2">
        <v>36.503124999999997</v>
      </c>
      <c r="D261" s="2">
        <v>0.108372</v>
      </c>
      <c r="E261" s="2">
        <v>36.290223500000003</v>
      </c>
      <c r="F261" s="2">
        <v>36.716025899999998</v>
      </c>
      <c r="H261" s="8" t="str">
        <f t="shared" si="10"/>
        <v>36.50 (36.29 to 36.72)</v>
      </c>
    </row>
    <row r="265" spans="1:8" x14ac:dyDescent="0.3">
      <c r="A265" s="1" t="s">
        <v>129</v>
      </c>
    </row>
    <row r="267" spans="1:8" x14ac:dyDescent="0.3">
      <c r="A267" s="1" t="s">
        <v>153</v>
      </c>
    </row>
    <row r="268" spans="1:8" ht="17.25" thickBot="1" x14ac:dyDescent="0.35"/>
    <row r="269" spans="1:8" ht="16.5" customHeight="1" x14ac:dyDescent="0.3">
      <c r="A269" s="24" t="s">
        <v>75</v>
      </c>
      <c r="B269" s="26"/>
    </row>
    <row r="270" spans="1:8" ht="26.25" thickBot="1" x14ac:dyDescent="0.35">
      <c r="A270" s="13" t="s">
        <v>76</v>
      </c>
      <c r="B270" s="2">
        <v>54</v>
      </c>
    </row>
    <row r="271" spans="1:8" ht="26.25" thickBot="1" x14ac:dyDescent="0.35">
      <c r="A271" s="13" t="s">
        <v>77</v>
      </c>
      <c r="B271" s="2">
        <v>547</v>
      </c>
    </row>
    <row r="272" spans="1:8" ht="39" thickBot="1" x14ac:dyDescent="0.35">
      <c r="A272" s="13" t="s">
        <v>78</v>
      </c>
      <c r="B272" s="2">
        <v>2978</v>
      </c>
    </row>
    <row r="273" spans="1:8" ht="25.5" x14ac:dyDescent="0.3">
      <c r="A273" s="14" t="s">
        <v>79</v>
      </c>
      <c r="B273" s="2">
        <v>823799.73600000003</v>
      </c>
    </row>
    <row r="274" spans="1:8" ht="17.25" thickBot="1" x14ac:dyDescent="0.35"/>
    <row r="275" spans="1:8" ht="33" customHeight="1" x14ac:dyDescent="0.3">
      <c r="A275" s="24" t="s">
        <v>80</v>
      </c>
      <c r="B275" s="26"/>
    </row>
    <row r="276" spans="1:8" ht="33.75" thickBot="1" x14ac:dyDescent="0.35">
      <c r="A276" s="13" t="s">
        <v>81</v>
      </c>
      <c r="B276" s="2" t="s">
        <v>82</v>
      </c>
    </row>
    <row r="277" spans="1:8" ht="25.5" x14ac:dyDescent="0.3">
      <c r="A277" s="14" t="s">
        <v>83</v>
      </c>
      <c r="B277" s="2" t="s">
        <v>84</v>
      </c>
    </row>
    <row r="278" spans="1:8" ht="17.25" thickBot="1" x14ac:dyDescent="0.35"/>
    <row r="279" spans="1:8" ht="16.5" customHeight="1" x14ac:dyDescent="0.3">
      <c r="A279" s="24" t="s">
        <v>130</v>
      </c>
      <c r="B279" s="26"/>
      <c r="C279" s="26"/>
      <c r="D279" s="26"/>
      <c r="E279" s="26"/>
      <c r="F279" s="26"/>
    </row>
    <row r="280" spans="1:8" x14ac:dyDescent="0.3">
      <c r="A280" s="25" t="s">
        <v>131</v>
      </c>
      <c r="B280" s="27" t="s">
        <v>46</v>
      </c>
      <c r="C280" s="27" t="s">
        <v>132</v>
      </c>
      <c r="D280" s="3" t="s">
        <v>133</v>
      </c>
      <c r="E280" s="27" t="s">
        <v>135</v>
      </c>
      <c r="F280" s="27"/>
    </row>
    <row r="281" spans="1:8" x14ac:dyDescent="0.3">
      <c r="A281" s="25"/>
      <c r="B281" s="27"/>
      <c r="C281" s="27"/>
      <c r="D281" s="3" t="s">
        <v>134</v>
      </c>
      <c r="E281" s="27"/>
      <c r="F281" s="27"/>
    </row>
    <row r="282" spans="1:8" ht="17.25" thickBot="1" x14ac:dyDescent="0.35">
      <c r="A282" s="13" t="s">
        <v>66</v>
      </c>
      <c r="B282" s="2">
        <v>2978</v>
      </c>
      <c r="C282" s="2">
        <v>8.720288</v>
      </c>
      <c r="D282" s="2">
        <v>1.3299E-2</v>
      </c>
      <c r="E282" s="2">
        <v>8.6941593000000008</v>
      </c>
      <c r="F282" s="2">
        <v>8.7464177000000003</v>
      </c>
      <c r="H282" s="8" t="str">
        <f t="shared" ref="H282:H285" si="11">TEXT(C282,"0.00")&amp;" ("&amp;TEXT(E282,"0.00")&amp;" to "&amp;TEXT(F282,"0.00")&amp;")"</f>
        <v>8.72 (8.69 to 8.75)</v>
      </c>
    </row>
    <row r="283" spans="1:8" ht="17.25" thickBot="1" x14ac:dyDescent="0.35">
      <c r="A283" s="13" t="s">
        <v>67</v>
      </c>
      <c r="B283" s="2">
        <v>2978</v>
      </c>
      <c r="C283" s="2">
        <v>0.70965999999999996</v>
      </c>
      <c r="D283" s="2">
        <v>1.5560000000000001E-3</v>
      </c>
      <c r="E283" s="2">
        <v>0.7066017</v>
      </c>
      <c r="F283" s="2">
        <v>0.7127175</v>
      </c>
      <c r="H283" s="8" t="str">
        <f t="shared" si="11"/>
        <v>0.71 (0.71 to 0.71)</v>
      </c>
    </row>
    <row r="284" spans="1:8" ht="17.25" thickBot="1" x14ac:dyDescent="0.35">
      <c r="A284" s="13" t="s">
        <v>68</v>
      </c>
      <c r="B284" s="2">
        <v>2978</v>
      </c>
      <c r="C284" s="2">
        <v>0.39705699999999999</v>
      </c>
      <c r="D284" s="2">
        <v>6.5120000000000004E-3</v>
      </c>
      <c r="E284" s="2">
        <v>0.38426179999999999</v>
      </c>
      <c r="F284" s="2">
        <v>0.40985270000000001</v>
      </c>
      <c r="H284" s="8" t="str">
        <f t="shared" si="11"/>
        <v>0.40 (0.38 to 0.41)</v>
      </c>
    </row>
    <row r="285" spans="1:8" x14ac:dyDescent="0.3">
      <c r="A285" s="14" t="s">
        <v>69</v>
      </c>
      <c r="B285" s="2">
        <v>2978</v>
      </c>
      <c r="C285" s="2">
        <v>36.802934</v>
      </c>
      <c r="D285" s="2">
        <v>0.14485200000000001</v>
      </c>
      <c r="E285" s="2">
        <v>36.5183301</v>
      </c>
      <c r="F285" s="2">
        <v>37.087537599999997</v>
      </c>
      <c r="H285" s="8" t="str">
        <f t="shared" si="11"/>
        <v>36.80 (36.52 to 37.09)</v>
      </c>
    </row>
    <row r="289" spans="1:6" x14ac:dyDescent="0.3">
      <c r="A289" s="1" t="s">
        <v>129</v>
      </c>
    </row>
    <row r="291" spans="1:6" x14ac:dyDescent="0.3">
      <c r="A291" s="1" t="s">
        <v>154</v>
      </c>
    </row>
    <row r="292" spans="1:6" ht="17.25" thickBot="1" x14ac:dyDescent="0.35"/>
    <row r="293" spans="1:6" ht="16.5" customHeight="1" x14ac:dyDescent="0.3">
      <c r="A293" s="24" t="s">
        <v>75</v>
      </c>
      <c r="B293" s="26"/>
    </row>
    <row r="294" spans="1:6" ht="26.25" thickBot="1" x14ac:dyDescent="0.35">
      <c r="A294" s="13" t="s">
        <v>76</v>
      </c>
      <c r="B294" s="2">
        <v>27</v>
      </c>
    </row>
    <row r="295" spans="1:6" ht="26.25" thickBot="1" x14ac:dyDescent="0.35">
      <c r="A295" s="13" t="s">
        <v>77</v>
      </c>
      <c r="B295" s="2">
        <v>533</v>
      </c>
    </row>
    <row r="296" spans="1:6" ht="39" thickBot="1" x14ac:dyDescent="0.35">
      <c r="A296" s="13" t="s">
        <v>78</v>
      </c>
      <c r="B296" s="2">
        <v>3857</v>
      </c>
    </row>
    <row r="297" spans="1:6" ht="25.5" x14ac:dyDescent="0.3">
      <c r="A297" s="14" t="s">
        <v>79</v>
      </c>
      <c r="B297" s="2">
        <v>2375780.88</v>
      </c>
    </row>
    <row r="298" spans="1:6" ht="17.25" thickBot="1" x14ac:dyDescent="0.35"/>
    <row r="299" spans="1:6" ht="33" customHeight="1" x14ac:dyDescent="0.3">
      <c r="A299" s="24" t="s">
        <v>80</v>
      </c>
      <c r="B299" s="26"/>
    </row>
    <row r="300" spans="1:6" ht="33.75" thickBot="1" x14ac:dyDescent="0.35">
      <c r="A300" s="13" t="s">
        <v>81</v>
      </c>
      <c r="B300" s="2" t="s">
        <v>82</v>
      </c>
    </row>
    <row r="301" spans="1:6" ht="25.5" x14ac:dyDescent="0.3">
      <c r="A301" s="14" t="s">
        <v>83</v>
      </c>
      <c r="B301" s="2" t="s">
        <v>84</v>
      </c>
    </row>
    <row r="302" spans="1:6" ht="17.25" thickBot="1" x14ac:dyDescent="0.35"/>
    <row r="303" spans="1:6" ht="16.5" customHeight="1" x14ac:dyDescent="0.3">
      <c r="A303" s="24" t="s">
        <v>130</v>
      </c>
      <c r="B303" s="26"/>
      <c r="C303" s="26"/>
      <c r="D303" s="26"/>
      <c r="E303" s="26"/>
      <c r="F303" s="26"/>
    </row>
    <row r="304" spans="1:6" x14ac:dyDescent="0.3">
      <c r="A304" s="25" t="s">
        <v>131</v>
      </c>
      <c r="B304" s="27" t="s">
        <v>46</v>
      </c>
      <c r="C304" s="27" t="s">
        <v>132</v>
      </c>
      <c r="D304" s="3" t="s">
        <v>133</v>
      </c>
      <c r="E304" s="27" t="s">
        <v>135</v>
      </c>
      <c r="F304" s="27"/>
    </row>
    <row r="305" spans="1:8" x14ac:dyDescent="0.3">
      <c r="A305" s="25"/>
      <c r="B305" s="27"/>
      <c r="C305" s="27"/>
      <c r="D305" s="3" t="s">
        <v>134</v>
      </c>
      <c r="E305" s="27"/>
      <c r="F305" s="27"/>
    </row>
    <row r="306" spans="1:8" ht="17.25" thickBot="1" x14ac:dyDescent="0.35">
      <c r="A306" s="13" t="s">
        <v>66</v>
      </c>
      <c r="B306" s="2">
        <v>3857</v>
      </c>
      <c r="C306" s="2">
        <v>8.384525</v>
      </c>
      <c r="D306" s="2">
        <v>1.2229E-2</v>
      </c>
      <c r="E306" s="2">
        <v>8.3604979000000004</v>
      </c>
      <c r="F306" s="2">
        <v>8.4085511999999998</v>
      </c>
      <c r="H306" s="8" t="str">
        <f t="shared" ref="H306:H309" si="12">TEXT(C306,"0.00")&amp;" ("&amp;TEXT(E306,"0.00")&amp;" to "&amp;TEXT(F306,"0.00")&amp;")"</f>
        <v>8.38 (8.36 to 8.41)</v>
      </c>
    </row>
    <row r="307" spans="1:8" ht="17.25" thickBot="1" x14ac:dyDescent="0.35">
      <c r="A307" s="13" t="s">
        <v>67</v>
      </c>
      <c r="B307" s="2">
        <v>3857</v>
      </c>
      <c r="C307" s="2">
        <v>0.63506099999999999</v>
      </c>
      <c r="D307" s="2">
        <v>1.307E-3</v>
      </c>
      <c r="E307" s="2">
        <v>0.63249350000000004</v>
      </c>
      <c r="F307" s="2">
        <v>0.63762810000000003</v>
      </c>
      <c r="H307" s="8" t="str">
        <f t="shared" si="12"/>
        <v>0.64 (0.63 to 0.64)</v>
      </c>
    </row>
    <row r="308" spans="1:8" ht="17.25" thickBot="1" x14ac:dyDescent="0.35">
      <c r="A308" s="13" t="s">
        <v>68</v>
      </c>
      <c r="B308" s="2">
        <v>3857</v>
      </c>
      <c r="C308" s="2">
        <v>0.25465199999999999</v>
      </c>
      <c r="D308" s="2">
        <v>6.0569999999999999E-3</v>
      </c>
      <c r="E308" s="2">
        <v>0.2427512</v>
      </c>
      <c r="F308" s="2">
        <v>0.26655259999999997</v>
      </c>
      <c r="H308" s="8" t="str">
        <f t="shared" si="12"/>
        <v>0.25 (0.24 to 0.27)</v>
      </c>
    </row>
    <row r="309" spans="1:8" x14ac:dyDescent="0.3">
      <c r="A309" s="14" t="s">
        <v>69</v>
      </c>
      <c r="B309" s="2">
        <v>3857</v>
      </c>
      <c r="C309" s="2">
        <v>34.605814000000002</v>
      </c>
      <c r="D309" s="2">
        <v>0.163024</v>
      </c>
      <c r="E309" s="2">
        <v>34.2855262</v>
      </c>
      <c r="F309" s="2">
        <v>34.926101099999997</v>
      </c>
      <c r="H309" s="8" t="str">
        <f t="shared" si="12"/>
        <v>34.61 (34.29 to 34.93)</v>
      </c>
    </row>
    <row r="313" spans="1:8" x14ac:dyDescent="0.3">
      <c r="A313" s="1" t="s">
        <v>129</v>
      </c>
    </row>
    <row r="315" spans="1:8" x14ac:dyDescent="0.3">
      <c r="A315" s="1" t="s">
        <v>155</v>
      </c>
    </row>
    <row r="316" spans="1:8" ht="17.25" thickBot="1" x14ac:dyDescent="0.35"/>
    <row r="317" spans="1:8" ht="16.5" customHeight="1" x14ac:dyDescent="0.3">
      <c r="A317" s="24" t="s">
        <v>75</v>
      </c>
      <c r="B317" s="26"/>
    </row>
    <row r="318" spans="1:8" ht="26.25" thickBot="1" x14ac:dyDescent="0.35">
      <c r="A318" s="13" t="s">
        <v>76</v>
      </c>
      <c r="B318" s="2">
        <v>27</v>
      </c>
    </row>
    <row r="319" spans="1:8" ht="26.25" thickBot="1" x14ac:dyDescent="0.35">
      <c r="A319" s="13" t="s">
        <v>77</v>
      </c>
      <c r="B319" s="2">
        <v>563</v>
      </c>
    </row>
    <row r="320" spans="1:8" ht="39" thickBot="1" x14ac:dyDescent="0.35">
      <c r="A320" s="13" t="s">
        <v>78</v>
      </c>
      <c r="B320" s="2">
        <v>6693</v>
      </c>
    </row>
    <row r="321" spans="1:8" ht="25.5" x14ac:dyDescent="0.3">
      <c r="A321" s="14" t="s">
        <v>79</v>
      </c>
      <c r="B321" s="2">
        <v>3273718.05</v>
      </c>
    </row>
    <row r="322" spans="1:8" ht="17.25" thickBot="1" x14ac:dyDescent="0.35"/>
    <row r="323" spans="1:8" ht="33" customHeight="1" x14ac:dyDescent="0.3">
      <c r="A323" s="24" t="s">
        <v>80</v>
      </c>
      <c r="B323" s="26"/>
    </row>
    <row r="324" spans="1:8" ht="33.75" thickBot="1" x14ac:dyDescent="0.35">
      <c r="A324" s="13" t="s">
        <v>81</v>
      </c>
      <c r="B324" s="2" t="s">
        <v>82</v>
      </c>
    </row>
    <row r="325" spans="1:8" ht="25.5" x14ac:dyDescent="0.3">
      <c r="A325" s="14" t="s">
        <v>83</v>
      </c>
      <c r="B325" s="2" t="s">
        <v>84</v>
      </c>
    </row>
    <row r="326" spans="1:8" ht="17.25" thickBot="1" x14ac:dyDescent="0.35"/>
    <row r="327" spans="1:8" ht="16.5" customHeight="1" x14ac:dyDescent="0.3">
      <c r="A327" s="24" t="s">
        <v>130</v>
      </c>
      <c r="B327" s="26"/>
      <c r="C327" s="26"/>
      <c r="D327" s="26"/>
      <c r="E327" s="26"/>
      <c r="F327" s="26"/>
    </row>
    <row r="328" spans="1:8" x14ac:dyDescent="0.3">
      <c r="A328" s="25" t="s">
        <v>131</v>
      </c>
      <c r="B328" s="27" t="s">
        <v>46</v>
      </c>
      <c r="C328" s="27" t="s">
        <v>132</v>
      </c>
      <c r="D328" s="3" t="s">
        <v>133</v>
      </c>
      <c r="E328" s="27" t="s">
        <v>135</v>
      </c>
      <c r="F328" s="27"/>
    </row>
    <row r="329" spans="1:8" x14ac:dyDescent="0.3">
      <c r="A329" s="25"/>
      <c r="B329" s="27"/>
      <c r="C329" s="27"/>
      <c r="D329" s="3" t="s">
        <v>134</v>
      </c>
      <c r="E329" s="27"/>
      <c r="F329" s="27"/>
    </row>
    <row r="330" spans="1:8" ht="17.25" thickBot="1" x14ac:dyDescent="0.35">
      <c r="A330" s="13" t="s">
        <v>66</v>
      </c>
      <c r="B330" s="2">
        <v>6693</v>
      </c>
      <c r="C330" s="2">
        <v>8.7041439999999994</v>
      </c>
      <c r="D330" s="2">
        <v>1.0224E-2</v>
      </c>
      <c r="E330" s="2">
        <v>8.6840600999999999</v>
      </c>
      <c r="F330" s="2">
        <v>8.7242282000000007</v>
      </c>
      <c r="H330" s="8" t="str">
        <f t="shared" ref="H330:H333" si="13">TEXT(C330,"0.00")&amp;" ("&amp;TEXT(E330,"0.00")&amp;" to "&amp;TEXT(F330,"0.00")&amp;")"</f>
        <v>8.70 (8.68 to 8.72)</v>
      </c>
    </row>
    <row r="331" spans="1:8" ht="17.25" thickBot="1" x14ac:dyDescent="0.35">
      <c r="A331" s="13" t="s">
        <v>67</v>
      </c>
      <c r="B331" s="2">
        <v>6693</v>
      </c>
      <c r="C331" s="2">
        <v>0.68593700000000002</v>
      </c>
      <c r="D331" s="2">
        <v>1.062E-3</v>
      </c>
      <c r="E331" s="2">
        <v>0.68385070000000003</v>
      </c>
      <c r="F331" s="2">
        <v>0.68802350000000001</v>
      </c>
      <c r="H331" s="8" t="str">
        <f t="shared" si="13"/>
        <v>0.69 (0.68 to 0.69)</v>
      </c>
    </row>
    <row r="332" spans="1:8" ht="17.25" thickBot="1" x14ac:dyDescent="0.35">
      <c r="A332" s="13" t="s">
        <v>68</v>
      </c>
      <c r="B332" s="2">
        <v>6693</v>
      </c>
      <c r="C332" s="2">
        <v>0.37060300000000002</v>
      </c>
      <c r="D332" s="2">
        <v>5.0359999999999997E-3</v>
      </c>
      <c r="E332" s="2">
        <v>0.36070999999999998</v>
      </c>
      <c r="F332" s="2">
        <v>0.38049569999999999</v>
      </c>
      <c r="H332" s="8" t="str">
        <f t="shared" si="13"/>
        <v>0.37 (0.36 to 0.38)</v>
      </c>
    </row>
    <row r="333" spans="1:8" x14ac:dyDescent="0.3">
      <c r="A333" s="14" t="s">
        <v>69</v>
      </c>
      <c r="B333" s="2">
        <v>6693</v>
      </c>
      <c r="C333" s="2">
        <v>36.440572000000003</v>
      </c>
      <c r="D333" s="2">
        <v>0.114305</v>
      </c>
      <c r="E333" s="2">
        <v>36.216031000000001</v>
      </c>
      <c r="F333" s="2">
        <v>36.665112899999997</v>
      </c>
      <c r="H333" s="8" t="str">
        <f t="shared" si="13"/>
        <v>36.44 (36.22 to 36.67)</v>
      </c>
    </row>
    <row r="337" spans="1:6" x14ac:dyDescent="0.3">
      <c r="A337" s="1" t="s">
        <v>129</v>
      </c>
    </row>
    <row r="339" spans="1:6" x14ac:dyDescent="0.3">
      <c r="A339" s="1" t="s">
        <v>156</v>
      </c>
    </row>
    <row r="340" spans="1:6" ht="17.25" thickBot="1" x14ac:dyDescent="0.35"/>
    <row r="341" spans="1:6" ht="16.5" customHeight="1" x14ac:dyDescent="0.3">
      <c r="A341" s="24" t="s">
        <v>75</v>
      </c>
      <c r="B341" s="26"/>
    </row>
    <row r="342" spans="1:6" ht="26.25" thickBot="1" x14ac:dyDescent="0.35">
      <c r="A342" s="13" t="s">
        <v>76</v>
      </c>
      <c r="B342" s="2">
        <v>27</v>
      </c>
    </row>
    <row r="343" spans="1:6" ht="26.25" thickBot="1" x14ac:dyDescent="0.35">
      <c r="A343" s="13" t="s">
        <v>77</v>
      </c>
      <c r="B343" s="2">
        <v>524</v>
      </c>
    </row>
    <row r="344" spans="1:6" ht="39" thickBot="1" x14ac:dyDescent="0.35">
      <c r="A344" s="13" t="s">
        <v>78</v>
      </c>
      <c r="B344" s="2">
        <v>3005</v>
      </c>
    </row>
    <row r="345" spans="1:6" ht="25.5" x14ac:dyDescent="0.3">
      <c r="A345" s="14" t="s">
        <v>79</v>
      </c>
      <c r="B345" s="2">
        <v>905199.89</v>
      </c>
    </row>
    <row r="346" spans="1:6" ht="17.25" thickBot="1" x14ac:dyDescent="0.35"/>
    <row r="347" spans="1:6" ht="33" customHeight="1" x14ac:dyDescent="0.3">
      <c r="A347" s="24" t="s">
        <v>80</v>
      </c>
      <c r="B347" s="26"/>
    </row>
    <row r="348" spans="1:6" ht="33.75" thickBot="1" x14ac:dyDescent="0.35">
      <c r="A348" s="13" t="s">
        <v>81</v>
      </c>
      <c r="B348" s="2" t="s">
        <v>82</v>
      </c>
    </row>
    <row r="349" spans="1:6" ht="25.5" x14ac:dyDescent="0.3">
      <c r="A349" s="14" t="s">
        <v>83</v>
      </c>
      <c r="B349" s="2" t="s">
        <v>84</v>
      </c>
    </row>
    <row r="350" spans="1:6" ht="17.25" thickBot="1" x14ac:dyDescent="0.35"/>
    <row r="351" spans="1:6" ht="16.5" customHeight="1" x14ac:dyDescent="0.3">
      <c r="A351" s="24" t="s">
        <v>130</v>
      </c>
      <c r="B351" s="26"/>
      <c r="C351" s="26"/>
      <c r="D351" s="26"/>
      <c r="E351" s="26"/>
      <c r="F351" s="26"/>
    </row>
    <row r="352" spans="1:6" x14ac:dyDescent="0.3">
      <c r="A352" s="25" t="s">
        <v>131</v>
      </c>
      <c r="B352" s="27" t="s">
        <v>46</v>
      </c>
      <c r="C352" s="27" t="s">
        <v>132</v>
      </c>
      <c r="D352" s="3" t="s">
        <v>133</v>
      </c>
      <c r="E352" s="27" t="s">
        <v>135</v>
      </c>
      <c r="F352" s="27"/>
    </row>
    <row r="353" spans="1:8" x14ac:dyDescent="0.3">
      <c r="A353" s="25"/>
      <c r="B353" s="27"/>
      <c r="C353" s="27"/>
      <c r="D353" s="3" t="s">
        <v>134</v>
      </c>
      <c r="E353" s="27"/>
      <c r="F353" s="27"/>
    </row>
    <row r="354" spans="1:8" ht="17.25" thickBot="1" x14ac:dyDescent="0.35">
      <c r="A354" s="13" t="s">
        <v>66</v>
      </c>
      <c r="B354" s="2">
        <v>3005</v>
      </c>
      <c r="C354" s="2">
        <v>8.6868560000000006</v>
      </c>
      <c r="D354" s="2">
        <v>1.2362E-2</v>
      </c>
      <c r="E354" s="2">
        <v>8.6625672999999992</v>
      </c>
      <c r="F354" s="2">
        <v>8.7111436999999992</v>
      </c>
      <c r="H354" s="8" t="str">
        <f t="shared" ref="H354:H357" si="14">TEXT(C354,"0.00")&amp;" ("&amp;TEXT(E354,"0.00")&amp;" to "&amp;TEXT(F354,"0.00")&amp;")"</f>
        <v>8.69 (8.66 to 8.71)</v>
      </c>
    </row>
    <row r="355" spans="1:8" ht="17.25" thickBot="1" x14ac:dyDescent="0.35">
      <c r="A355" s="13" t="s">
        <v>67</v>
      </c>
      <c r="B355" s="2">
        <v>3005</v>
      </c>
      <c r="C355" s="2">
        <v>0.72082999999999997</v>
      </c>
      <c r="D355" s="2">
        <v>1.361E-3</v>
      </c>
      <c r="E355" s="2">
        <v>0.71815519999999999</v>
      </c>
      <c r="F355" s="2">
        <v>0.7235047</v>
      </c>
      <c r="H355" s="8" t="str">
        <f t="shared" si="14"/>
        <v>0.72 (0.72 to 0.72)</v>
      </c>
    </row>
    <row r="356" spans="1:8" ht="17.25" thickBot="1" x14ac:dyDescent="0.35">
      <c r="A356" s="13" t="s">
        <v>68</v>
      </c>
      <c r="B356" s="2">
        <v>3005</v>
      </c>
      <c r="C356" s="2">
        <v>0.36879600000000001</v>
      </c>
      <c r="D356" s="2">
        <v>6.1260000000000004E-3</v>
      </c>
      <c r="E356" s="2">
        <v>0.35675879999999999</v>
      </c>
      <c r="F356" s="2">
        <v>0.38083230000000001</v>
      </c>
      <c r="H356" s="8" t="str">
        <f t="shared" si="14"/>
        <v>0.37 (0.36 to 0.38)</v>
      </c>
    </row>
    <row r="357" spans="1:8" x14ac:dyDescent="0.3">
      <c r="A357" s="14" t="s">
        <v>69</v>
      </c>
      <c r="B357" s="2">
        <v>3005</v>
      </c>
      <c r="C357" s="2">
        <v>36.658189</v>
      </c>
      <c r="D357" s="2">
        <v>0.13400599999999999</v>
      </c>
      <c r="E357" s="2">
        <v>36.394901599999997</v>
      </c>
      <c r="F357" s="2">
        <v>36.9214761</v>
      </c>
      <c r="H357" s="8" t="str">
        <f t="shared" si="14"/>
        <v>36.66 (36.39 to 36.92)</v>
      </c>
    </row>
    <row r="361" spans="1:8" x14ac:dyDescent="0.3">
      <c r="A361" s="1" t="s">
        <v>129</v>
      </c>
    </row>
    <row r="363" spans="1:8" x14ac:dyDescent="0.3">
      <c r="A363" s="1" t="s">
        <v>157</v>
      </c>
    </row>
    <row r="364" spans="1:8" ht="17.25" thickBot="1" x14ac:dyDescent="0.35"/>
    <row r="365" spans="1:8" ht="16.5" customHeight="1" x14ac:dyDescent="0.3">
      <c r="A365" s="24" t="s">
        <v>75</v>
      </c>
      <c r="B365" s="26"/>
    </row>
    <row r="366" spans="1:8" ht="26.25" thickBot="1" x14ac:dyDescent="0.35">
      <c r="A366" s="13" t="s">
        <v>76</v>
      </c>
      <c r="B366" s="2">
        <v>27</v>
      </c>
    </row>
    <row r="367" spans="1:8" ht="26.25" thickBot="1" x14ac:dyDescent="0.35">
      <c r="A367" s="13" t="s">
        <v>77</v>
      </c>
      <c r="B367" s="2">
        <v>176</v>
      </c>
    </row>
    <row r="368" spans="1:8" ht="39" thickBot="1" x14ac:dyDescent="0.35">
      <c r="A368" s="13" t="s">
        <v>78</v>
      </c>
      <c r="B368" s="2">
        <v>1090</v>
      </c>
    </row>
    <row r="369" spans="1:8" ht="25.5" x14ac:dyDescent="0.3">
      <c r="A369" s="14" t="s">
        <v>79</v>
      </c>
      <c r="B369" s="2">
        <v>707032.58600000001</v>
      </c>
    </row>
    <row r="370" spans="1:8" ht="17.25" thickBot="1" x14ac:dyDescent="0.35"/>
    <row r="371" spans="1:8" ht="33" customHeight="1" x14ac:dyDescent="0.3">
      <c r="A371" s="24" t="s">
        <v>80</v>
      </c>
      <c r="B371" s="26"/>
    </row>
    <row r="372" spans="1:8" ht="33.75" thickBot="1" x14ac:dyDescent="0.35">
      <c r="A372" s="13" t="s">
        <v>81</v>
      </c>
      <c r="B372" s="2" t="s">
        <v>82</v>
      </c>
    </row>
    <row r="373" spans="1:8" ht="25.5" x14ac:dyDescent="0.3">
      <c r="A373" s="14" t="s">
        <v>83</v>
      </c>
      <c r="B373" s="2" t="s">
        <v>84</v>
      </c>
    </row>
    <row r="374" spans="1:8" ht="17.25" thickBot="1" x14ac:dyDescent="0.35"/>
    <row r="375" spans="1:8" ht="16.5" customHeight="1" x14ac:dyDescent="0.3">
      <c r="A375" s="24" t="s">
        <v>130</v>
      </c>
      <c r="B375" s="26"/>
      <c r="C375" s="26"/>
      <c r="D375" s="26"/>
      <c r="E375" s="26"/>
      <c r="F375" s="26"/>
    </row>
    <row r="376" spans="1:8" x14ac:dyDescent="0.3">
      <c r="A376" s="25" t="s">
        <v>131</v>
      </c>
      <c r="B376" s="27" t="s">
        <v>46</v>
      </c>
      <c r="C376" s="27" t="s">
        <v>132</v>
      </c>
      <c r="D376" s="3" t="s">
        <v>133</v>
      </c>
      <c r="E376" s="27" t="s">
        <v>135</v>
      </c>
      <c r="F376" s="27"/>
    </row>
    <row r="377" spans="1:8" x14ac:dyDescent="0.3">
      <c r="A377" s="25"/>
      <c r="B377" s="27"/>
      <c r="C377" s="27"/>
      <c r="D377" s="3" t="s">
        <v>134</v>
      </c>
      <c r="E377" s="27"/>
      <c r="F377" s="27"/>
    </row>
    <row r="378" spans="1:8" ht="17.25" thickBot="1" x14ac:dyDescent="0.35">
      <c r="A378" s="13" t="s">
        <v>66</v>
      </c>
      <c r="B378" s="2">
        <v>1090</v>
      </c>
      <c r="C378" s="2">
        <v>8.4264309999999991</v>
      </c>
      <c r="D378" s="2">
        <v>2.2792E-2</v>
      </c>
      <c r="E378" s="2">
        <v>8.3813932999999992</v>
      </c>
      <c r="F378" s="2">
        <v>8.4714677999999992</v>
      </c>
      <c r="H378" s="8" t="str">
        <f t="shared" ref="H378:H381" si="15">TEXT(C378,"0.00")&amp;" ("&amp;TEXT(E378,"0.00")&amp;" to "&amp;TEXT(F378,"0.00")&amp;")"</f>
        <v>8.43 (8.38 to 8.47)</v>
      </c>
    </row>
    <row r="379" spans="1:8" ht="17.25" thickBot="1" x14ac:dyDescent="0.35">
      <c r="A379" s="13" t="s">
        <v>67</v>
      </c>
      <c r="B379" s="2">
        <v>1090</v>
      </c>
      <c r="C379" s="2">
        <v>0.63285100000000005</v>
      </c>
      <c r="D379" s="2">
        <v>2.4529999999999999E-3</v>
      </c>
      <c r="E379" s="2">
        <v>0.62800389999999995</v>
      </c>
      <c r="F379" s="2">
        <v>0.63769719999999996</v>
      </c>
      <c r="H379" s="8" t="str">
        <f t="shared" si="15"/>
        <v>0.63 (0.63 to 0.64)</v>
      </c>
    </row>
    <row r="380" spans="1:8" ht="17.25" thickBot="1" x14ac:dyDescent="0.35">
      <c r="A380" s="13" t="s">
        <v>68</v>
      </c>
      <c r="B380" s="2">
        <v>1090</v>
      </c>
      <c r="C380" s="2">
        <v>0.24275099999999999</v>
      </c>
      <c r="D380" s="2">
        <v>1.1821E-2</v>
      </c>
      <c r="E380" s="2">
        <v>0.21939210000000001</v>
      </c>
      <c r="F380" s="2">
        <v>0.26611000000000001</v>
      </c>
      <c r="H380" s="8" t="str">
        <f t="shared" si="15"/>
        <v>0.24 (0.22 to 0.27)</v>
      </c>
    </row>
    <row r="381" spans="1:8" x14ac:dyDescent="0.3">
      <c r="A381" s="14" t="s">
        <v>69</v>
      </c>
      <c r="B381" s="2">
        <v>1090</v>
      </c>
      <c r="C381" s="2">
        <v>34.725560999999999</v>
      </c>
      <c r="D381" s="2">
        <v>0.35474</v>
      </c>
      <c r="E381" s="2">
        <v>34.0245903</v>
      </c>
      <c r="F381" s="2">
        <v>35.426531900000001</v>
      </c>
      <c r="H381" s="8" t="str">
        <f t="shared" si="15"/>
        <v>34.73 (34.02 to 35.43)</v>
      </c>
    </row>
    <row r="385" spans="1:6" x14ac:dyDescent="0.3">
      <c r="A385" s="1" t="s">
        <v>129</v>
      </c>
    </row>
    <row r="387" spans="1:6" x14ac:dyDescent="0.3">
      <c r="A387" s="1" t="s">
        <v>158</v>
      </c>
    </row>
    <row r="388" spans="1:6" ht="17.25" thickBot="1" x14ac:dyDescent="0.35"/>
    <row r="389" spans="1:6" ht="16.5" customHeight="1" x14ac:dyDescent="0.3">
      <c r="A389" s="24" t="s">
        <v>75</v>
      </c>
      <c r="B389" s="26"/>
    </row>
    <row r="390" spans="1:6" ht="26.25" thickBot="1" x14ac:dyDescent="0.35">
      <c r="A390" s="13" t="s">
        <v>76</v>
      </c>
      <c r="B390" s="2">
        <v>27</v>
      </c>
    </row>
    <row r="391" spans="1:6" ht="26.25" thickBot="1" x14ac:dyDescent="0.35">
      <c r="A391" s="13" t="s">
        <v>77</v>
      </c>
      <c r="B391" s="2">
        <v>185</v>
      </c>
    </row>
    <row r="392" spans="1:6" ht="39" thickBot="1" x14ac:dyDescent="0.35">
      <c r="A392" s="13" t="s">
        <v>78</v>
      </c>
      <c r="B392" s="2">
        <v>2143</v>
      </c>
    </row>
    <row r="393" spans="1:6" ht="25.5" x14ac:dyDescent="0.3">
      <c r="A393" s="14" t="s">
        <v>79</v>
      </c>
      <c r="B393" s="2">
        <v>1052792.3400000001</v>
      </c>
    </row>
    <row r="394" spans="1:6" ht="17.25" thickBot="1" x14ac:dyDescent="0.35"/>
    <row r="395" spans="1:6" ht="33" customHeight="1" x14ac:dyDescent="0.3">
      <c r="A395" s="24" t="s">
        <v>80</v>
      </c>
      <c r="B395" s="26"/>
    </row>
    <row r="396" spans="1:6" ht="33.75" thickBot="1" x14ac:dyDescent="0.35">
      <c r="A396" s="13" t="s">
        <v>81</v>
      </c>
      <c r="B396" s="2" t="s">
        <v>82</v>
      </c>
    </row>
    <row r="397" spans="1:6" ht="25.5" x14ac:dyDescent="0.3">
      <c r="A397" s="14" t="s">
        <v>83</v>
      </c>
      <c r="B397" s="2" t="s">
        <v>84</v>
      </c>
    </row>
    <row r="398" spans="1:6" ht="17.25" thickBot="1" x14ac:dyDescent="0.35"/>
    <row r="399" spans="1:6" ht="16.5" customHeight="1" x14ac:dyDescent="0.3">
      <c r="A399" s="24" t="s">
        <v>130</v>
      </c>
      <c r="B399" s="26"/>
      <c r="C399" s="26"/>
      <c r="D399" s="26"/>
      <c r="E399" s="26"/>
      <c r="F399" s="26"/>
    </row>
    <row r="400" spans="1:6" x14ac:dyDescent="0.3">
      <c r="A400" s="25" t="s">
        <v>131</v>
      </c>
      <c r="B400" s="27" t="s">
        <v>46</v>
      </c>
      <c r="C400" s="27" t="s">
        <v>132</v>
      </c>
      <c r="D400" s="3" t="s">
        <v>133</v>
      </c>
      <c r="E400" s="27" t="s">
        <v>135</v>
      </c>
      <c r="F400" s="27"/>
    </row>
    <row r="401" spans="1:8" x14ac:dyDescent="0.3">
      <c r="A401" s="25"/>
      <c r="B401" s="27"/>
      <c r="C401" s="27"/>
      <c r="D401" s="3" t="s">
        <v>134</v>
      </c>
      <c r="E401" s="27"/>
      <c r="F401" s="27"/>
    </row>
    <row r="402" spans="1:8" ht="17.25" thickBot="1" x14ac:dyDescent="0.35">
      <c r="A402" s="13" t="s">
        <v>66</v>
      </c>
      <c r="B402" s="2">
        <v>2143</v>
      </c>
      <c r="C402" s="2">
        <v>8.6827629999999996</v>
      </c>
      <c r="D402" s="2">
        <v>1.3745E-2</v>
      </c>
      <c r="E402" s="2">
        <v>8.6556157000000002</v>
      </c>
      <c r="F402" s="2">
        <v>8.7099107999999994</v>
      </c>
      <c r="H402" s="8" t="str">
        <f t="shared" ref="H402:H405" si="16">TEXT(C402,"0.00")&amp;" ("&amp;TEXT(E402,"0.00")&amp;" to "&amp;TEXT(F402,"0.00")&amp;")"</f>
        <v>8.68 (8.66 to 8.71)</v>
      </c>
    </row>
    <row r="403" spans="1:8" ht="17.25" thickBot="1" x14ac:dyDescent="0.35">
      <c r="A403" s="13" t="s">
        <v>67</v>
      </c>
      <c r="B403" s="2">
        <v>2143</v>
      </c>
      <c r="C403" s="2">
        <v>0.67817400000000005</v>
      </c>
      <c r="D403" s="2">
        <v>1.7049999999999999E-3</v>
      </c>
      <c r="E403" s="2">
        <v>0.67480600000000002</v>
      </c>
      <c r="F403" s="2">
        <v>0.68154170000000003</v>
      </c>
      <c r="H403" s="8" t="str">
        <f t="shared" si="16"/>
        <v>0.68 (0.67 to 0.68)</v>
      </c>
    </row>
    <row r="404" spans="1:8" ht="17.25" thickBot="1" x14ac:dyDescent="0.35">
      <c r="A404" s="13" t="s">
        <v>68</v>
      </c>
      <c r="B404" s="2">
        <v>2143</v>
      </c>
      <c r="C404" s="2">
        <v>0.32075500000000001</v>
      </c>
      <c r="D404" s="2">
        <v>7.3509999999999999E-3</v>
      </c>
      <c r="E404" s="2">
        <v>0.30623650000000002</v>
      </c>
      <c r="F404" s="2">
        <v>0.3352733</v>
      </c>
      <c r="H404" s="8" t="str">
        <f t="shared" si="16"/>
        <v>0.32 (0.31 to 0.34)</v>
      </c>
    </row>
    <row r="405" spans="1:8" x14ac:dyDescent="0.3">
      <c r="A405" s="14" t="s">
        <v>69</v>
      </c>
      <c r="B405" s="2">
        <v>2143</v>
      </c>
      <c r="C405" s="2">
        <v>35.626905000000001</v>
      </c>
      <c r="D405" s="2">
        <v>0.17694099999999999</v>
      </c>
      <c r="E405" s="2">
        <v>35.277430199999998</v>
      </c>
      <c r="F405" s="2">
        <v>35.9763801</v>
      </c>
      <c r="H405" s="8" t="str">
        <f t="shared" si="16"/>
        <v>35.63 (35.28 to 35.98)</v>
      </c>
    </row>
    <row r="409" spans="1:8" x14ac:dyDescent="0.3">
      <c r="A409" s="1" t="s">
        <v>129</v>
      </c>
    </row>
    <row r="411" spans="1:8" x14ac:dyDescent="0.3">
      <c r="A411" s="1" t="s">
        <v>159</v>
      </c>
    </row>
    <row r="412" spans="1:8" ht="17.25" thickBot="1" x14ac:dyDescent="0.35"/>
    <row r="413" spans="1:8" ht="16.5" customHeight="1" x14ac:dyDescent="0.3">
      <c r="A413" s="24" t="s">
        <v>75</v>
      </c>
      <c r="B413" s="26"/>
    </row>
    <row r="414" spans="1:8" ht="26.25" thickBot="1" x14ac:dyDescent="0.35">
      <c r="A414" s="13" t="s">
        <v>76</v>
      </c>
      <c r="B414" s="2">
        <v>27</v>
      </c>
    </row>
    <row r="415" spans="1:8" ht="26.25" thickBot="1" x14ac:dyDescent="0.35">
      <c r="A415" s="13" t="s">
        <v>77</v>
      </c>
      <c r="B415" s="2">
        <v>182</v>
      </c>
    </row>
    <row r="416" spans="1:8" ht="39" thickBot="1" x14ac:dyDescent="0.35">
      <c r="A416" s="13" t="s">
        <v>78</v>
      </c>
      <c r="B416" s="2">
        <v>1183</v>
      </c>
    </row>
    <row r="417" spans="1:8" ht="25.5" x14ac:dyDescent="0.3">
      <c r="A417" s="14" t="s">
        <v>79</v>
      </c>
      <c r="B417" s="2">
        <v>391088.745</v>
      </c>
    </row>
    <row r="418" spans="1:8" ht="17.25" thickBot="1" x14ac:dyDescent="0.35"/>
    <row r="419" spans="1:8" ht="33" customHeight="1" x14ac:dyDescent="0.3">
      <c r="A419" s="24" t="s">
        <v>80</v>
      </c>
      <c r="B419" s="26"/>
    </row>
    <row r="420" spans="1:8" ht="33.75" thickBot="1" x14ac:dyDescent="0.35">
      <c r="A420" s="13" t="s">
        <v>81</v>
      </c>
      <c r="B420" s="2" t="s">
        <v>82</v>
      </c>
    </row>
    <row r="421" spans="1:8" ht="25.5" x14ac:dyDescent="0.3">
      <c r="A421" s="14" t="s">
        <v>83</v>
      </c>
      <c r="B421" s="2" t="s">
        <v>84</v>
      </c>
    </row>
    <row r="422" spans="1:8" ht="17.25" thickBot="1" x14ac:dyDescent="0.35"/>
    <row r="423" spans="1:8" ht="16.5" customHeight="1" x14ac:dyDescent="0.3">
      <c r="A423" s="24" t="s">
        <v>130</v>
      </c>
      <c r="B423" s="26"/>
      <c r="C423" s="26"/>
      <c r="D423" s="26"/>
      <c r="E423" s="26"/>
      <c r="F423" s="26"/>
    </row>
    <row r="424" spans="1:8" x14ac:dyDescent="0.3">
      <c r="A424" s="25" t="s">
        <v>131</v>
      </c>
      <c r="B424" s="27" t="s">
        <v>46</v>
      </c>
      <c r="C424" s="27" t="s">
        <v>132</v>
      </c>
      <c r="D424" s="3" t="s">
        <v>133</v>
      </c>
      <c r="E424" s="27" t="s">
        <v>135</v>
      </c>
      <c r="F424" s="27"/>
    </row>
    <row r="425" spans="1:8" x14ac:dyDescent="0.3">
      <c r="A425" s="25"/>
      <c r="B425" s="27"/>
      <c r="C425" s="27"/>
      <c r="D425" s="3" t="s">
        <v>134</v>
      </c>
      <c r="E425" s="27"/>
      <c r="F425" s="27"/>
    </row>
    <row r="426" spans="1:8" ht="17.25" thickBot="1" x14ac:dyDescent="0.35">
      <c r="A426" s="13" t="s">
        <v>66</v>
      </c>
      <c r="B426" s="2">
        <v>1183</v>
      </c>
      <c r="C426" s="2">
        <v>8.6553920000000009</v>
      </c>
      <c r="D426" s="2">
        <v>1.6420000000000001E-2</v>
      </c>
      <c r="E426" s="2">
        <v>8.6229551999999998</v>
      </c>
      <c r="F426" s="2">
        <v>8.6878285000000002</v>
      </c>
      <c r="H426" s="8" t="str">
        <f t="shared" ref="H426:H429" si="17">TEXT(C426,"0.00")&amp;" ("&amp;TEXT(E426,"0.00")&amp;" to "&amp;TEXT(F426,"0.00")&amp;")"</f>
        <v>8.66 (8.62 to 8.69)</v>
      </c>
    </row>
    <row r="427" spans="1:8" ht="17.25" thickBot="1" x14ac:dyDescent="0.35">
      <c r="A427" s="13" t="s">
        <v>67</v>
      </c>
      <c r="B427" s="2">
        <v>1183</v>
      </c>
      <c r="C427" s="2">
        <v>0.70925199999999999</v>
      </c>
      <c r="D427" s="2">
        <v>2.026E-3</v>
      </c>
      <c r="E427" s="2">
        <v>0.70525070000000001</v>
      </c>
      <c r="F427" s="2">
        <v>0.7132541</v>
      </c>
      <c r="H427" s="8" t="str">
        <f t="shared" si="17"/>
        <v>0.71 (0.71 to 0.71)</v>
      </c>
    </row>
    <row r="428" spans="1:8" ht="17.25" thickBot="1" x14ac:dyDescent="0.35">
      <c r="A428" s="13" t="s">
        <v>68</v>
      </c>
      <c r="B428" s="2">
        <v>1183</v>
      </c>
      <c r="C428" s="2">
        <v>0.29724499999999998</v>
      </c>
      <c r="D428" s="2">
        <v>9.3159999999999996E-3</v>
      </c>
      <c r="E428" s="2">
        <v>0.27884219999999998</v>
      </c>
      <c r="F428" s="2">
        <v>0.3156487</v>
      </c>
      <c r="H428" s="8" t="str">
        <f t="shared" si="17"/>
        <v>0.30 (0.28 to 0.32)</v>
      </c>
    </row>
    <row r="429" spans="1:8" x14ac:dyDescent="0.3">
      <c r="A429" s="14" t="s">
        <v>69</v>
      </c>
      <c r="B429" s="2">
        <v>1183</v>
      </c>
      <c r="C429" s="2">
        <v>35.372086000000003</v>
      </c>
      <c r="D429" s="2">
        <v>0.215923</v>
      </c>
      <c r="E429" s="2">
        <v>34.9455545</v>
      </c>
      <c r="F429" s="2">
        <v>35.798617999999998</v>
      </c>
      <c r="H429" s="8" t="str">
        <f t="shared" si="17"/>
        <v>35.37 (34.95 to 35.80)</v>
      </c>
    </row>
    <row r="433" spans="1:6" x14ac:dyDescent="0.3">
      <c r="A433" s="1" t="s">
        <v>129</v>
      </c>
    </row>
    <row r="435" spans="1:6" x14ac:dyDescent="0.3">
      <c r="A435" s="1" t="s">
        <v>160</v>
      </c>
    </row>
    <row r="436" spans="1:6" ht="17.25" thickBot="1" x14ac:dyDescent="0.35"/>
    <row r="437" spans="1:6" ht="16.5" customHeight="1" x14ac:dyDescent="0.3">
      <c r="A437" s="24" t="s">
        <v>75</v>
      </c>
      <c r="B437" s="26"/>
    </row>
    <row r="438" spans="1:6" ht="26.25" thickBot="1" x14ac:dyDescent="0.35">
      <c r="A438" s="13" t="s">
        <v>76</v>
      </c>
      <c r="B438" s="2">
        <v>25</v>
      </c>
    </row>
    <row r="439" spans="1:6" ht="26.25" thickBot="1" x14ac:dyDescent="0.35">
      <c r="A439" s="13" t="s">
        <v>77</v>
      </c>
      <c r="B439" s="2">
        <v>499</v>
      </c>
    </row>
    <row r="440" spans="1:6" ht="39" thickBot="1" x14ac:dyDescent="0.35">
      <c r="A440" s="13" t="s">
        <v>78</v>
      </c>
      <c r="B440" s="2">
        <v>5831</v>
      </c>
    </row>
    <row r="441" spans="1:6" ht="25.5" x14ac:dyDescent="0.3">
      <c r="A441" s="14" t="s">
        <v>79</v>
      </c>
      <c r="B441" s="2">
        <v>2433012.9300000002</v>
      </c>
    </row>
    <row r="442" spans="1:6" ht="17.25" thickBot="1" x14ac:dyDescent="0.35"/>
    <row r="443" spans="1:6" ht="33" customHeight="1" x14ac:dyDescent="0.3">
      <c r="A443" s="24" t="s">
        <v>80</v>
      </c>
      <c r="B443" s="26"/>
    </row>
    <row r="444" spans="1:6" ht="33.75" thickBot="1" x14ac:dyDescent="0.35">
      <c r="A444" s="13" t="s">
        <v>81</v>
      </c>
      <c r="B444" s="2" t="s">
        <v>82</v>
      </c>
    </row>
    <row r="445" spans="1:6" ht="25.5" x14ac:dyDescent="0.3">
      <c r="A445" s="14" t="s">
        <v>83</v>
      </c>
      <c r="B445" s="2" t="s">
        <v>84</v>
      </c>
    </row>
    <row r="446" spans="1:6" ht="17.25" thickBot="1" x14ac:dyDescent="0.35"/>
    <row r="447" spans="1:6" ht="16.5" customHeight="1" x14ac:dyDescent="0.3">
      <c r="A447" s="24" t="s">
        <v>130</v>
      </c>
      <c r="B447" s="26"/>
      <c r="C447" s="26"/>
      <c r="D447" s="26"/>
      <c r="E447" s="26"/>
      <c r="F447" s="26"/>
    </row>
    <row r="448" spans="1:6" x14ac:dyDescent="0.3">
      <c r="A448" s="25" t="s">
        <v>131</v>
      </c>
      <c r="B448" s="27" t="s">
        <v>46</v>
      </c>
      <c r="C448" s="27" t="s">
        <v>132</v>
      </c>
      <c r="D448" s="3" t="s">
        <v>133</v>
      </c>
      <c r="E448" s="27" t="s">
        <v>135</v>
      </c>
      <c r="F448" s="27"/>
    </row>
    <row r="449" spans="1:8" x14ac:dyDescent="0.3">
      <c r="A449" s="25"/>
      <c r="B449" s="27"/>
      <c r="C449" s="27"/>
      <c r="D449" s="3" t="s">
        <v>134</v>
      </c>
      <c r="E449" s="27"/>
      <c r="F449" s="27"/>
    </row>
    <row r="450" spans="1:8" ht="17.25" thickBot="1" x14ac:dyDescent="0.35">
      <c r="A450" s="13" t="s">
        <v>66</v>
      </c>
      <c r="B450" s="2">
        <v>5831</v>
      </c>
      <c r="C450" s="2">
        <v>8.7163620000000002</v>
      </c>
      <c r="D450" s="2">
        <v>1.0793000000000001E-2</v>
      </c>
      <c r="E450" s="2">
        <v>8.6951544999999992</v>
      </c>
      <c r="F450" s="2">
        <v>8.7375690000000006</v>
      </c>
      <c r="H450" s="8" t="str">
        <f t="shared" ref="H450:H453" si="18">TEXT(C450,"0.00")&amp;" ("&amp;TEXT(E450,"0.00")&amp;" to "&amp;TEXT(F450,"0.00")&amp;")"</f>
        <v>8.72 (8.70 to 8.74)</v>
      </c>
    </row>
    <row r="451" spans="1:8" ht="17.25" thickBot="1" x14ac:dyDescent="0.35">
      <c r="A451" s="13" t="s">
        <v>67</v>
      </c>
      <c r="B451" s="2">
        <v>5831</v>
      </c>
      <c r="C451" s="2">
        <v>0.67612099999999997</v>
      </c>
      <c r="D451" s="2">
        <v>1.299E-3</v>
      </c>
      <c r="E451" s="2">
        <v>0.67356910000000003</v>
      </c>
      <c r="F451" s="2">
        <v>0.67867310000000003</v>
      </c>
      <c r="H451" s="8" t="str">
        <f t="shared" si="18"/>
        <v>0.68 (0.67 to 0.68)</v>
      </c>
    </row>
    <row r="452" spans="1:8" ht="17.25" thickBot="1" x14ac:dyDescent="0.35">
      <c r="A452" s="13" t="s">
        <v>68</v>
      </c>
      <c r="B452" s="2">
        <v>5831</v>
      </c>
      <c r="C452" s="2">
        <v>0.45404499999999998</v>
      </c>
      <c r="D452" s="2">
        <v>4.9379999999999997E-3</v>
      </c>
      <c r="E452" s="2">
        <v>0.44434089999999998</v>
      </c>
      <c r="F452" s="2">
        <v>0.4637482</v>
      </c>
      <c r="H452" s="8" t="str">
        <f t="shared" si="18"/>
        <v>0.45 (0.44 to 0.46)</v>
      </c>
    </row>
    <row r="453" spans="1:8" x14ac:dyDescent="0.3">
      <c r="A453" s="14" t="s">
        <v>69</v>
      </c>
      <c r="B453" s="2">
        <v>5831</v>
      </c>
      <c r="C453" s="2">
        <v>37.034491000000003</v>
      </c>
      <c r="D453" s="2">
        <v>0.112266</v>
      </c>
      <c r="E453" s="2">
        <v>36.813890000000001</v>
      </c>
      <c r="F453" s="2">
        <v>37.255093000000002</v>
      </c>
      <c r="H453" s="8" t="str">
        <f t="shared" si="18"/>
        <v>37.03 (36.81 to 37.26)</v>
      </c>
    </row>
    <row r="457" spans="1:8" x14ac:dyDescent="0.3">
      <c r="A457" s="1" t="s">
        <v>129</v>
      </c>
    </row>
    <row r="459" spans="1:8" x14ac:dyDescent="0.3">
      <c r="A459" s="1" t="s">
        <v>161</v>
      </c>
    </row>
    <row r="460" spans="1:8" ht="17.25" thickBot="1" x14ac:dyDescent="0.35"/>
    <row r="461" spans="1:8" ht="16.5" customHeight="1" x14ac:dyDescent="0.3">
      <c r="A461" s="24" t="s">
        <v>75</v>
      </c>
      <c r="B461" s="26"/>
    </row>
    <row r="462" spans="1:8" ht="26.25" thickBot="1" x14ac:dyDescent="0.35">
      <c r="A462" s="13" t="s">
        <v>76</v>
      </c>
      <c r="B462" s="2">
        <v>25</v>
      </c>
    </row>
    <row r="463" spans="1:8" ht="26.25" thickBot="1" x14ac:dyDescent="0.35">
      <c r="A463" s="13" t="s">
        <v>77</v>
      </c>
      <c r="B463" s="2">
        <v>500</v>
      </c>
    </row>
    <row r="464" spans="1:8" ht="39" thickBot="1" x14ac:dyDescent="0.35">
      <c r="A464" s="13" t="s">
        <v>78</v>
      </c>
      <c r="B464" s="2">
        <v>6084</v>
      </c>
    </row>
    <row r="465" spans="1:8" ht="25.5" x14ac:dyDescent="0.3">
      <c r="A465" s="14" t="s">
        <v>79</v>
      </c>
      <c r="B465" s="2">
        <v>1937155.79</v>
      </c>
    </row>
    <row r="466" spans="1:8" ht="17.25" thickBot="1" x14ac:dyDescent="0.35"/>
    <row r="467" spans="1:8" ht="33" customHeight="1" x14ac:dyDescent="0.3">
      <c r="A467" s="24" t="s">
        <v>80</v>
      </c>
      <c r="B467" s="26"/>
    </row>
    <row r="468" spans="1:8" ht="33.75" thickBot="1" x14ac:dyDescent="0.35">
      <c r="A468" s="13" t="s">
        <v>81</v>
      </c>
      <c r="B468" s="2" t="s">
        <v>82</v>
      </c>
    </row>
    <row r="469" spans="1:8" ht="25.5" x14ac:dyDescent="0.3">
      <c r="A469" s="14" t="s">
        <v>83</v>
      </c>
      <c r="B469" s="2" t="s">
        <v>84</v>
      </c>
    </row>
    <row r="470" spans="1:8" ht="17.25" thickBot="1" x14ac:dyDescent="0.35"/>
    <row r="471" spans="1:8" ht="16.5" customHeight="1" x14ac:dyDescent="0.3">
      <c r="A471" s="24" t="s">
        <v>130</v>
      </c>
      <c r="B471" s="26"/>
      <c r="C471" s="26"/>
      <c r="D471" s="26"/>
      <c r="E471" s="26"/>
      <c r="F471" s="26"/>
    </row>
    <row r="472" spans="1:8" x14ac:dyDescent="0.3">
      <c r="A472" s="25" t="s">
        <v>131</v>
      </c>
      <c r="B472" s="27" t="s">
        <v>46</v>
      </c>
      <c r="C472" s="27" t="s">
        <v>132</v>
      </c>
      <c r="D472" s="3" t="s">
        <v>133</v>
      </c>
      <c r="E472" s="27" t="s">
        <v>135</v>
      </c>
      <c r="F472" s="27"/>
    </row>
    <row r="473" spans="1:8" x14ac:dyDescent="0.3">
      <c r="A473" s="25"/>
      <c r="B473" s="27"/>
      <c r="C473" s="27"/>
      <c r="D473" s="3" t="s">
        <v>134</v>
      </c>
      <c r="E473" s="27"/>
      <c r="F473" s="27"/>
    </row>
    <row r="474" spans="1:8" ht="17.25" thickBot="1" x14ac:dyDescent="0.35">
      <c r="A474" s="13" t="s">
        <v>66</v>
      </c>
      <c r="B474" s="2">
        <v>6084</v>
      </c>
      <c r="C474" s="2">
        <v>8.3523580000000006</v>
      </c>
      <c r="D474" s="2">
        <v>1.0460000000000001E-2</v>
      </c>
      <c r="E474" s="2">
        <v>8.3318051000000004</v>
      </c>
      <c r="F474" s="2">
        <v>8.3729107000000003</v>
      </c>
      <c r="H474" s="8" t="str">
        <f t="shared" ref="H474:H477" si="19">TEXT(C474,"0.00")&amp;" ("&amp;TEXT(E474,"0.00")&amp;" to "&amp;TEXT(F474,"0.00")&amp;")"</f>
        <v>8.35 (8.33 to 8.37)</v>
      </c>
    </row>
    <row r="475" spans="1:8" ht="17.25" thickBot="1" x14ac:dyDescent="0.35">
      <c r="A475" s="13" t="s">
        <v>67</v>
      </c>
      <c r="B475" s="2">
        <v>6084</v>
      </c>
      <c r="C475" s="2">
        <v>0.64079399999999997</v>
      </c>
      <c r="D475" s="2">
        <v>1.57E-3</v>
      </c>
      <c r="E475" s="2">
        <v>0.63771</v>
      </c>
      <c r="F475" s="2">
        <v>0.64387810000000001</v>
      </c>
      <c r="H475" s="8" t="str">
        <f t="shared" si="19"/>
        <v>0.64 (0.64 to 0.64)</v>
      </c>
    </row>
    <row r="476" spans="1:8" ht="17.25" thickBot="1" x14ac:dyDescent="0.35">
      <c r="A476" s="13" t="s">
        <v>68</v>
      </c>
      <c r="B476" s="2">
        <v>6084</v>
      </c>
      <c r="C476" s="2">
        <v>0.25970199999999999</v>
      </c>
      <c r="D476" s="2">
        <v>5.071E-3</v>
      </c>
      <c r="E476" s="2">
        <v>0.24973799999999999</v>
      </c>
      <c r="F476" s="2">
        <v>0.26966669999999998</v>
      </c>
      <c r="H476" s="8" t="str">
        <f t="shared" si="19"/>
        <v>0.26 (0.25 to 0.27)</v>
      </c>
    </row>
    <row r="477" spans="1:8" x14ac:dyDescent="0.3">
      <c r="A477" s="14" t="s">
        <v>69</v>
      </c>
      <c r="B477" s="2">
        <v>6084</v>
      </c>
      <c r="C477" s="2">
        <v>33.746076000000002</v>
      </c>
      <c r="D477" s="2">
        <v>0.118024</v>
      </c>
      <c r="E477" s="2">
        <v>33.514162399999996</v>
      </c>
      <c r="F477" s="2">
        <v>33.977990200000001</v>
      </c>
      <c r="H477" s="8" t="str">
        <f t="shared" si="19"/>
        <v>33.75 (33.51 to 33.98)</v>
      </c>
    </row>
    <row r="481" spans="1:6" x14ac:dyDescent="0.3">
      <c r="A481" s="1" t="s">
        <v>129</v>
      </c>
    </row>
    <row r="483" spans="1:6" x14ac:dyDescent="0.3">
      <c r="A483" s="1" t="s">
        <v>162</v>
      </c>
    </row>
    <row r="484" spans="1:6" ht="17.25" thickBot="1" x14ac:dyDescent="0.35"/>
    <row r="485" spans="1:6" ht="16.5" customHeight="1" x14ac:dyDescent="0.3">
      <c r="A485" s="24" t="s">
        <v>75</v>
      </c>
      <c r="B485" s="26"/>
    </row>
    <row r="486" spans="1:6" ht="26.25" thickBot="1" x14ac:dyDescent="0.35">
      <c r="A486" s="13" t="s">
        <v>76</v>
      </c>
      <c r="B486" s="2">
        <v>25</v>
      </c>
    </row>
    <row r="487" spans="1:6" ht="26.25" thickBot="1" x14ac:dyDescent="0.35">
      <c r="A487" s="13" t="s">
        <v>77</v>
      </c>
      <c r="B487" s="2">
        <v>576</v>
      </c>
    </row>
    <row r="488" spans="1:6" ht="39" thickBot="1" x14ac:dyDescent="0.35">
      <c r="A488" s="13" t="s">
        <v>78</v>
      </c>
      <c r="B488" s="2">
        <v>6484</v>
      </c>
    </row>
    <row r="489" spans="1:6" ht="25.5" x14ac:dyDescent="0.3">
      <c r="A489" s="14" t="s">
        <v>79</v>
      </c>
      <c r="B489" s="2">
        <v>3055561.14</v>
      </c>
    </row>
    <row r="490" spans="1:6" ht="17.25" thickBot="1" x14ac:dyDescent="0.35"/>
    <row r="491" spans="1:6" ht="33" customHeight="1" x14ac:dyDescent="0.3">
      <c r="A491" s="24" t="s">
        <v>80</v>
      </c>
      <c r="B491" s="26"/>
    </row>
    <row r="492" spans="1:6" ht="33.75" thickBot="1" x14ac:dyDescent="0.35">
      <c r="A492" s="13" t="s">
        <v>81</v>
      </c>
      <c r="B492" s="2" t="s">
        <v>82</v>
      </c>
    </row>
    <row r="493" spans="1:6" ht="25.5" x14ac:dyDescent="0.3">
      <c r="A493" s="14" t="s">
        <v>83</v>
      </c>
      <c r="B493" s="2" t="s">
        <v>84</v>
      </c>
    </row>
    <row r="494" spans="1:6" ht="17.25" thickBot="1" x14ac:dyDescent="0.35"/>
    <row r="495" spans="1:6" ht="16.5" customHeight="1" x14ac:dyDescent="0.3">
      <c r="A495" s="24" t="s">
        <v>130</v>
      </c>
      <c r="B495" s="26"/>
      <c r="C495" s="26"/>
      <c r="D495" s="26"/>
      <c r="E495" s="26"/>
      <c r="F495" s="26"/>
    </row>
    <row r="496" spans="1:6" x14ac:dyDescent="0.3">
      <c r="A496" s="25" t="s">
        <v>131</v>
      </c>
      <c r="B496" s="27" t="s">
        <v>46</v>
      </c>
      <c r="C496" s="27" t="s">
        <v>132</v>
      </c>
      <c r="D496" s="3" t="s">
        <v>133</v>
      </c>
      <c r="E496" s="27" t="s">
        <v>135</v>
      </c>
      <c r="F496" s="27"/>
    </row>
    <row r="497" spans="1:8" x14ac:dyDescent="0.3">
      <c r="A497" s="25"/>
      <c r="B497" s="27"/>
      <c r="C497" s="27"/>
      <c r="D497" s="3" t="s">
        <v>134</v>
      </c>
      <c r="E497" s="27"/>
      <c r="F497" s="27"/>
    </row>
    <row r="498" spans="1:8" ht="17.25" thickBot="1" x14ac:dyDescent="0.35">
      <c r="A498" s="13" t="s">
        <v>66</v>
      </c>
      <c r="B498" s="2">
        <v>6484</v>
      </c>
      <c r="C498" s="2">
        <v>8.7105300000000003</v>
      </c>
      <c r="D498" s="2">
        <v>1.1338000000000001E-2</v>
      </c>
      <c r="E498" s="2">
        <v>8.6882590999999998</v>
      </c>
      <c r="F498" s="2">
        <v>8.7327998999999998</v>
      </c>
      <c r="H498" s="8" t="str">
        <f t="shared" ref="H498:H501" si="20">TEXT(C498,"0.00")&amp;" ("&amp;TEXT(E498,"0.00")&amp;" to "&amp;TEXT(F498,"0.00")&amp;")"</f>
        <v>8.71 (8.69 to 8.73)</v>
      </c>
    </row>
    <row r="499" spans="1:8" ht="17.25" thickBot="1" x14ac:dyDescent="0.35">
      <c r="A499" s="13" t="s">
        <v>67</v>
      </c>
      <c r="B499" s="2">
        <v>6484</v>
      </c>
      <c r="C499" s="2">
        <v>0.673759</v>
      </c>
      <c r="D499" s="2">
        <v>1.256E-3</v>
      </c>
      <c r="E499" s="2">
        <v>0.67129179999999999</v>
      </c>
      <c r="F499" s="2">
        <v>0.67622519999999997</v>
      </c>
      <c r="H499" s="8" t="str">
        <f t="shared" si="20"/>
        <v>0.67 (0.67 to 0.68)</v>
      </c>
    </row>
    <row r="500" spans="1:8" ht="17.25" thickBot="1" x14ac:dyDescent="0.35">
      <c r="A500" s="13" t="s">
        <v>68</v>
      </c>
      <c r="B500" s="2">
        <v>6484</v>
      </c>
      <c r="C500" s="2">
        <v>0.43795400000000001</v>
      </c>
      <c r="D500" s="2">
        <v>5.3420000000000004E-3</v>
      </c>
      <c r="E500" s="2">
        <v>0.42746099999999998</v>
      </c>
      <c r="F500" s="2">
        <v>0.44844679999999998</v>
      </c>
      <c r="H500" s="8" t="str">
        <f t="shared" si="20"/>
        <v>0.44 (0.43 to 0.45)</v>
      </c>
    </row>
    <row r="501" spans="1:8" x14ac:dyDescent="0.3">
      <c r="A501" s="14" t="s">
        <v>69</v>
      </c>
      <c r="B501" s="2">
        <v>6484</v>
      </c>
      <c r="C501" s="2">
        <v>36.968040999999999</v>
      </c>
      <c r="D501" s="2">
        <v>0.123974</v>
      </c>
      <c r="E501" s="2">
        <v>36.724522399999998</v>
      </c>
      <c r="F501" s="2">
        <v>37.211560300000002</v>
      </c>
      <c r="H501" s="8" t="str">
        <f t="shared" si="20"/>
        <v>36.97 (36.72 to 37.21)</v>
      </c>
    </row>
    <row r="505" spans="1:8" x14ac:dyDescent="0.3">
      <c r="A505" s="1" t="s">
        <v>129</v>
      </c>
    </row>
    <row r="507" spans="1:8" x14ac:dyDescent="0.3">
      <c r="A507" s="1" t="s">
        <v>163</v>
      </c>
    </row>
    <row r="508" spans="1:8" ht="17.25" thickBot="1" x14ac:dyDescent="0.35"/>
    <row r="509" spans="1:8" ht="16.5" customHeight="1" x14ac:dyDescent="0.3">
      <c r="A509" s="24" t="s">
        <v>75</v>
      </c>
      <c r="B509" s="26"/>
    </row>
    <row r="510" spans="1:8" ht="26.25" thickBot="1" x14ac:dyDescent="0.35">
      <c r="A510" s="13" t="s">
        <v>76</v>
      </c>
      <c r="B510" s="2">
        <v>25</v>
      </c>
    </row>
    <row r="511" spans="1:8" ht="26.25" thickBot="1" x14ac:dyDescent="0.35">
      <c r="A511" s="13" t="s">
        <v>77</v>
      </c>
      <c r="B511" s="2">
        <v>576</v>
      </c>
    </row>
    <row r="512" spans="1:8" ht="39" thickBot="1" x14ac:dyDescent="0.35">
      <c r="A512" s="13" t="s">
        <v>78</v>
      </c>
      <c r="B512" s="2">
        <v>6632</v>
      </c>
    </row>
    <row r="513" spans="1:8" ht="25.5" x14ac:dyDescent="0.3">
      <c r="A513" s="14" t="s">
        <v>79</v>
      </c>
      <c r="B513" s="2">
        <v>2405103.7999999998</v>
      </c>
    </row>
    <row r="514" spans="1:8" ht="17.25" thickBot="1" x14ac:dyDescent="0.35"/>
    <row r="515" spans="1:8" ht="33" customHeight="1" x14ac:dyDescent="0.3">
      <c r="A515" s="24" t="s">
        <v>80</v>
      </c>
      <c r="B515" s="26"/>
    </row>
    <row r="516" spans="1:8" ht="33.75" thickBot="1" x14ac:dyDescent="0.35">
      <c r="A516" s="13" t="s">
        <v>81</v>
      </c>
      <c r="B516" s="2" t="s">
        <v>82</v>
      </c>
    </row>
    <row r="517" spans="1:8" ht="25.5" x14ac:dyDescent="0.3">
      <c r="A517" s="14" t="s">
        <v>83</v>
      </c>
      <c r="B517" s="2" t="s">
        <v>84</v>
      </c>
    </row>
    <row r="518" spans="1:8" ht="17.25" thickBot="1" x14ac:dyDescent="0.35"/>
    <row r="519" spans="1:8" ht="16.5" customHeight="1" x14ac:dyDescent="0.3">
      <c r="A519" s="24" t="s">
        <v>130</v>
      </c>
      <c r="B519" s="26"/>
      <c r="C519" s="26"/>
      <c r="D519" s="26"/>
      <c r="E519" s="26"/>
      <c r="F519" s="26"/>
    </row>
    <row r="520" spans="1:8" x14ac:dyDescent="0.3">
      <c r="A520" s="25" t="s">
        <v>131</v>
      </c>
      <c r="B520" s="27" t="s">
        <v>46</v>
      </c>
      <c r="C520" s="27" t="s">
        <v>132</v>
      </c>
      <c r="D520" s="3" t="s">
        <v>133</v>
      </c>
      <c r="E520" s="27" t="s">
        <v>135</v>
      </c>
      <c r="F520" s="27"/>
    </row>
    <row r="521" spans="1:8" x14ac:dyDescent="0.3">
      <c r="A521" s="25"/>
      <c r="B521" s="27"/>
      <c r="C521" s="27"/>
      <c r="D521" s="3" t="s">
        <v>134</v>
      </c>
      <c r="E521" s="27"/>
      <c r="F521" s="27"/>
    </row>
    <row r="522" spans="1:8" ht="17.25" thickBot="1" x14ac:dyDescent="0.35">
      <c r="A522" s="13" t="s">
        <v>66</v>
      </c>
      <c r="B522" s="2">
        <v>6632</v>
      </c>
      <c r="C522" s="2">
        <v>8.3677030000000006</v>
      </c>
      <c r="D522" s="2">
        <v>1.0392999999999999E-2</v>
      </c>
      <c r="E522" s="2">
        <v>8.3472881999999995</v>
      </c>
      <c r="F522" s="2">
        <v>8.3881183999999998</v>
      </c>
      <c r="H522" s="8" t="str">
        <f t="shared" ref="H522:H525" si="21">TEXT(C522,"0.00")&amp;" ("&amp;TEXT(E522,"0.00")&amp;" to "&amp;TEXT(F522,"0.00")&amp;")"</f>
        <v>8.37 (8.35 to 8.39)</v>
      </c>
    </row>
    <row r="523" spans="1:8" ht="17.25" thickBot="1" x14ac:dyDescent="0.35">
      <c r="A523" s="13" t="s">
        <v>67</v>
      </c>
      <c r="B523" s="2">
        <v>6632</v>
      </c>
      <c r="C523" s="2">
        <v>0.637212</v>
      </c>
      <c r="D523" s="2">
        <v>1.4250000000000001E-3</v>
      </c>
      <c r="E523" s="2">
        <v>0.63441239999999999</v>
      </c>
      <c r="F523" s="2">
        <v>0.64001229999999998</v>
      </c>
      <c r="H523" s="8" t="str">
        <f t="shared" si="21"/>
        <v>0.64 (0.63 to 0.64)</v>
      </c>
    </row>
    <row r="524" spans="1:8" ht="17.25" thickBot="1" x14ac:dyDescent="0.35">
      <c r="A524" s="13" t="s">
        <v>68</v>
      </c>
      <c r="B524" s="2">
        <v>6632</v>
      </c>
      <c r="C524" s="2">
        <v>0.25354599999999999</v>
      </c>
      <c r="D524" s="2">
        <v>4.7670000000000004E-3</v>
      </c>
      <c r="E524" s="2">
        <v>0.24418200000000001</v>
      </c>
      <c r="F524" s="2">
        <v>0.2629107</v>
      </c>
      <c r="H524" s="8" t="str">
        <f t="shared" si="21"/>
        <v>0.25 (0.24 to 0.26)</v>
      </c>
    </row>
    <row r="525" spans="1:8" x14ac:dyDescent="0.3">
      <c r="A525" s="14" t="s">
        <v>69</v>
      </c>
      <c r="B525" s="2">
        <v>6632</v>
      </c>
      <c r="C525" s="2">
        <v>33.743547999999997</v>
      </c>
      <c r="D525" s="2">
        <v>0.12537499999999999</v>
      </c>
      <c r="E525" s="2">
        <v>33.497276599999999</v>
      </c>
      <c r="F525" s="2">
        <v>33.989819199999999</v>
      </c>
      <c r="H525" s="8" t="str">
        <f t="shared" si="21"/>
        <v>33.74 (33.50 to 33.99)</v>
      </c>
    </row>
    <row r="529" spans="1:6" x14ac:dyDescent="0.3">
      <c r="A529" s="1" t="s">
        <v>129</v>
      </c>
    </row>
    <row r="531" spans="1:6" x14ac:dyDescent="0.3">
      <c r="A531" s="1" t="s">
        <v>164</v>
      </c>
    </row>
    <row r="532" spans="1:6" ht="17.25" thickBot="1" x14ac:dyDescent="0.35"/>
    <row r="533" spans="1:6" ht="16.5" customHeight="1" x14ac:dyDescent="0.3">
      <c r="A533" s="24" t="s">
        <v>75</v>
      </c>
      <c r="B533" s="26"/>
    </row>
    <row r="534" spans="1:6" ht="26.25" thickBot="1" x14ac:dyDescent="0.35">
      <c r="A534" s="13" t="s">
        <v>76</v>
      </c>
      <c r="B534" s="2">
        <v>25</v>
      </c>
    </row>
    <row r="535" spans="1:6" ht="26.25" thickBot="1" x14ac:dyDescent="0.35">
      <c r="A535" s="13" t="s">
        <v>77</v>
      </c>
      <c r="B535" s="2">
        <v>576</v>
      </c>
    </row>
    <row r="536" spans="1:6" ht="39" thickBot="1" x14ac:dyDescent="0.35">
      <c r="A536" s="13" t="s">
        <v>78</v>
      </c>
      <c r="B536" s="2">
        <v>5508</v>
      </c>
    </row>
    <row r="537" spans="1:6" ht="25.5" x14ac:dyDescent="0.3">
      <c r="A537" s="14" t="s">
        <v>79</v>
      </c>
      <c r="B537" s="2">
        <v>2936956.04</v>
      </c>
    </row>
    <row r="538" spans="1:6" ht="17.25" thickBot="1" x14ac:dyDescent="0.35"/>
    <row r="539" spans="1:6" ht="33" customHeight="1" x14ac:dyDescent="0.3">
      <c r="A539" s="24" t="s">
        <v>80</v>
      </c>
      <c r="B539" s="26"/>
    </row>
    <row r="540" spans="1:6" ht="33.75" thickBot="1" x14ac:dyDescent="0.35">
      <c r="A540" s="13" t="s">
        <v>81</v>
      </c>
      <c r="B540" s="2" t="s">
        <v>82</v>
      </c>
    </row>
    <row r="541" spans="1:6" ht="25.5" x14ac:dyDescent="0.3">
      <c r="A541" s="14" t="s">
        <v>83</v>
      </c>
      <c r="B541" s="2" t="s">
        <v>84</v>
      </c>
    </row>
    <row r="542" spans="1:6" ht="17.25" thickBot="1" x14ac:dyDescent="0.35"/>
    <row r="543" spans="1:6" ht="16.5" customHeight="1" x14ac:dyDescent="0.3">
      <c r="A543" s="24" t="s">
        <v>130</v>
      </c>
      <c r="B543" s="26"/>
      <c r="C543" s="26"/>
      <c r="D543" s="26"/>
      <c r="E543" s="26"/>
      <c r="F543" s="26"/>
    </row>
    <row r="544" spans="1:6" x14ac:dyDescent="0.3">
      <c r="A544" s="25" t="s">
        <v>131</v>
      </c>
      <c r="B544" s="27" t="s">
        <v>46</v>
      </c>
      <c r="C544" s="27" t="s">
        <v>132</v>
      </c>
      <c r="D544" s="3" t="s">
        <v>133</v>
      </c>
      <c r="E544" s="27" t="s">
        <v>135</v>
      </c>
      <c r="F544" s="27"/>
    </row>
    <row r="545" spans="1:8" x14ac:dyDescent="0.3">
      <c r="A545" s="25"/>
      <c r="B545" s="27"/>
      <c r="C545" s="27"/>
      <c r="D545" s="3" t="s">
        <v>134</v>
      </c>
      <c r="E545" s="27"/>
      <c r="F545" s="27"/>
    </row>
    <row r="546" spans="1:8" ht="17.25" thickBot="1" x14ac:dyDescent="0.35">
      <c r="A546" s="13" t="s">
        <v>66</v>
      </c>
      <c r="B546" s="2">
        <v>5508</v>
      </c>
      <c r="C546" s="2">
        <v>8.7713029999999996</v>
      </c>
      <c r="D546" s="2">
        <v>1.1235999999999999E-2</v>
      </c>
      <c r="E546" s="2">
        <v>8.7492324000000004</v>
      </c>
      <c r="F546" s="2">
        <v>8.7933742000000006</v>
      </c>
      <c r="H546" s="8" t="str">
        <f t="shared" ref="H546:H549" si="22">TEXT(C546,"0.00")&amp;" ("&amp;TEXT(E546,"0.00")&amp;" to "&amp;TEXT(F546,"0.00")&amp;")"</f>
        <v>8.77 (8.75 to 8.79)</v>
      </c>
    </row>
    <row r="547" spans="1:8" ht="17.25" thickBot="1" x14ac:dyDescent="0.35">
      <c r="A547" s="13" t="s">
        <v>67</v>
      </c>
      <c r="B547" s="2">
        <v>5508</v>
      </c>
      <c r="C547" s="2">
        <v>0.67814700000000006</v>
      </c>
      <c r="D547" s="2">
        <v>1.2719999999999999E-3</v>
      </c>
      <c r="E547" s="2">
        <v>0.67564749999999996</v>
      </c>
      <c r="F547" s="2">
        <v>0.68064619999999998</v>
      </c>
      <c r="H547" s="8" t="str">
        <f t="shared" si="22"/>
        <v>0.68 (0.68 to 0.68)</v>
      </c>
    </row>
    <row r="548" spans="1:8" ht="17.25" thickBot="1" x14ac:dyDescent="0.35">
      <c r="A548" s="13" t="s">
        <v>68</v>
      </c>
      <c r="B548" s="2">
        <v>5508</v>
      </c>
      <c r="C548" s="2">
        <v>0.44722600000000001</v>
      </c>
      <c r="D548" s="2">
        <v>5.2370000000000003E-3</v>
      </c>
      <c r="E548" s="2">
        <v>0.4369384</v>
      </c>
      <c r="F548" s="2">
        <v>0.45751360000000002</v>
      </c>
      <c r="H548" s="8" t="str">
        <f t="shared" si="22"/>
        <v>0.45 (0.44 to 0.46)</v>
      </c>
    </row>
    <row r="549" spans="1:8" x14ac:dyDescent="0.3">
      <c r="A549" s="14" t="s">
        <v>69</v>
      </c>
      <c r="B549" s="2">
        <v>5508</v>
      </c>
      <c r="C549" s="2">
        <v>37.291268000000002</v>
      </c>
      <c r="D549" s="2">
        <v>0.113023</v>
      </c>
      <c r="E549" s="2">
        <v>37.069259799999998</v>
      </c>
      <c r="F549" s="2">
        <v>37.513275800000002</v>
      </c>
      <c r="H549" s="8" t="str">
        <f t="shared" si="22"/>
        <v>37.29 (37.07 to 37.51)</v>
      </c>
    </row>
    <row r="553" spans="1:8" x14ac:dyDescent="0.3">
      <c r="A553" s="1" t="s">
        <v>129</v>
      </c>
    </row>
    <row r="555" spans="1:8" x14ac:dyDescent="0.3">
      <c r="A555" s="1" t="s">
        <v>165</v>
      </c>
    </row>
    <row r="556" spans="1:8" ht="17.25" thickBot="1" x14ac:dyDescent="0.35"/>
    <row r="557" spans="1:8" ht="16.5" customHeight="1" x14ac:dyDescent="0.3">
      <c r="A557" s="24" t="s">
        <v>75</v>
      </c>
      <c r="B557" s="26"/>
    </row>
    <row r="558" spans="1:8" ht="26.25" thickBot="1" x14ac:dyDescent="0.35">
      <c r="A558" s="13" t="s">
        <v>76</v>
      </c>
      <c r="B558" s="2">
        <v>25</v>
      </c>
    </row>
    <row r="559" spans="1:8" ht="26.25" thickBot="1" x14ac:dyDescent="0.35">
      <c r="A559" s="13" t="s">
        <v>77</v>
      </c>
      <c r="B559" s="2">
        <v>576</v>
      </c>
    </row>
    <row r="560" spans="1:8" ht="39" thickBot="1" x14ac:dyDescent="0.35">
      <c r="A560" s="13" t="s">
        <v>78</v>
      </c>
      <c r="B560" s="2">
        <v>5967</v>
      </c>
    </row>
    <row r="561" spans="1:8" ht="25.5" x14ac:dyDescent="0.3">
      <c r="A561" s="14" t="s">
        <v>79</v>
      </c>
      <c r="B561" s="2">
        <v>2457572.98</v>
      </c>
    </row>
    <row r="562" spans="1:8" ht="17.25" thickBot="1" x14ac:dyDescent="0.35"/>
    <row r="563" spans="1:8" ht="33" customHeight="1" x14ac:dyDescent="0.3">
      <c r="A563" s="24" t="s">
        <v>80</v>
      </c>
      <c r="B563" s="26"/>
    </row>
    <row r="564" spans="1:8" ht="33.75" thickBot="1" x14ac:dyDescent="0.35">
      <c r="A564" s="13" t="s">
        <v>81</v>
      </c>
      <c r="B564" s="2" t="s">
        <v>82</v>
      </c>
    </row>
    <row r="565" spans="1:8" ht="25.5" x14ac:dyDescent="0.3">
      <c r="A565" s="14" t="s">
        <v>83</v>
      </c>
      <c r="B565" s="2" t="s">
        <v>84</v>
      </c>
    </row>
    <row r="566" spans="1:8" ht="17.25" thickBot="1" x14ac:dyDescent="0.35"/>
    <row r="567" spans="1:8" ht="16.5" customHeight="1" x14ac:dyDescent="0.3">
      <c r="A567" s="24" t="s">
        <v>130</v>
      </c>
      <c r="B567" s="26"/>
      <c r="C567" s="26"/>
      <c r="D567" s="26"/>
      <c r="E567" s="26"/>
      <c r="F567" s="26"/>
    </row>
    <row r="568" spans="1:8" x14ac:dyDescent="0.3">
      <c r="A568" s="25" t="s">
        <v>131</v>
      </c>
      <c r="B568" s="27" t="s">
        <v>46</v>
      </c>
      <c r="C568" s="27" t="s">
        <v>132</v>
      </c>
      <c r="D568" s="3" t="s">
        <v>133</v>
      </c>
      <c r="E568" s="27" t="s">
        <v>135</v>
      </c>
      <c r="F568" s="27"/>
    </row>
    <row r="569" spans="1:8" x14ac:dyDescent="0.3">
      <c r="A569" s="25"/>
      <c r="B569" s="27"/>
      <c r="C569" s="27"/>
      <c r="D569" s="3" t="s">
        <v>134</v>
      </c>
      <c r="E569" s="27"/>
      <c r="F569" s="27"/>
    </row>
    <row r="570" spans="1:8" ht="17.25" thickBot="1" x14ac:dyDescent="0.35">
      <c r="A570" s="13" t="s">
        <v>66</v>
      </c>
      <c r="B570" s="2">
        <v>5967</v>
      </c>
      <c r="C570" s="2">
        <v>8.3712510000000009</v>
      </c>
      <c r="D570" s="2">
        <v>9.8069999999999997E-3</v>
      </c>
      <c r="E570" s="2">
        <v>8.3519875999999993</v>
      </c>
      <c r="F570" s="2">
        <v>8.3905141000000008</v>
      </c>
      <c r="H570" s="8" t="str">
        <f t="shared" ref="H570:H573" si="23">TEXT(C570,"0.00")&amp;" ("&amp;TEXT(E570,"0.00")&amp;" to "&amp;TEXT(F570,"0.00")&amp;")"</f>
        <v>8.37 (8.35 to 8.39)</v>
      </c>
    </row>
    <row r="571" spans="1:8" ht="17.25" thickBot="1" x14ac:dyDescent="0.35">
      <c r="A571" s="13" t="s">
        <v>67</v>
      </c>
      <c r="B571" s="2">
        <v>5967</v>
      </c>
      <c r="C571" s="2">
        <v>0.63599000000000006</v>
      </c>
      <c r="D571" s="2">
        <v>1.305E-3</v>
      </c>
      <c r="E571" s="2">
        <v>0.63342730000000003</v>
      </c>
      <c r="F571" s="2">
        <v>0.63855220000000001</v>
      </c>
      <c r="H571" s="8" t="str">
        <f t="shared" si="23"/>
        <v>0.64 (0.63 to 0.64)</v>
      </c>
    </row>
    <row r="572" spans="1:8" ht="17.25" thickBot="1" x14ac:dyDescent="0.35">
      <c r="A572" s="13" t="s">
        <v>68</v>
      </c>
      <c r="B572" s="2">
        <v>5967</v>
      </c>
      <c r="C572" s="2">
        <v>0.23031799999999999</v>
      </c>
      <c r="D572" s="2">
        <v>4.6039999999999996E-3</v>
      </c>
      <c r="E572" s="2">
        <v>0.22127440000000001</v>
      </c>
      <c r="F572" s="2">
        <v>0.23936109999999999</v>
      </c>
      <c r="H572" s="8" t="str">
        <f t="shared" si="23"/>
        <v>0.23 (0.22 to 0.24)</v>
      </c>
    </row>
    <row r="573" spans="1:8" x14ac:dyDescent="0.3">
      <c r="A573" s="14" t="s">
        <v>69</v>
      </c>
      <c r="B573" s="2">
        <v>5967</v>
      </c>
      <c r="C573" s="2">
        <v>33.116829000000003</v>
      </c>
      <c r="D573" s="2">
        <v>0.109775</v>
      </c>
      <c r="E573" s="2">
        <v>32.901200600000003</v>
      </c>
      <c r="F573" s="2">
        <v>33.3324572</v>
      </c>
      <c r="H573" s="8" t="str">
        <f t="shared" si="23"/>
        <v>33.12 (32.90 to 33.33)</v>
      </c>
    </row>
    <row r="577" spans="1:6" x14ac:dyDescent="0.3">
      <c r="A577" s="1" t="s">
        <v>129</v>
      </c>
    </row>
    <row r="579" spans="1:6" x14ac:dyDescent="0.3">
      <c r="A579" s="1" t="s">
        <v>166</v>
      </c>
    </row>
    <row r="580" spans="1:6" ht="17.25" thickBot="1" x14ac:dyDescent="0.35"/>
    <row r="581" spans="1:6" ht="16.5" customHeight="1" x14ac:dyDescent="0.3">
      <c r="A581" s="24" t="s">
        <v>75</v>
      </c>
      <c r="B581" s="26"/>
    </row>
    <row r="582" spans="1:6" ht="26.25" thickBot="1" x14ac:dyDescent="0.35">
      <c r="A582" s="13" t="s">
        <v>76</v>
      </c>
      <c r="B582" s="2">
        <v>54</v>
      </c>
    </row>
    <row r="583" spans="1:6" ht="26.25" thickBot="1" x14ac:dyDescent="0.35">
      <c r="A583" s="13" t="s">
        <v>77</v>
      </c>
      <c r="B583" s="2">
        <v>576</v>
      </c>
    </row>
    <row r="584" spans="1:6" ht="39" thickBot="1" x14ac:dyDescent="0.35">
      <c r="A584" s="13" t="s">
        <v>78</v>
      </c>
      <c r="B584" s="2">
        <v>6783</v>
      </c>
    </row>
    <row r="585" spans="1:6" ht="25.5" x14ac:dyDescent="0.3">
      <c r="A585" s="14" t="s">
        <v>79</v>
      </c>
      <c r="B585" s="2">
        <v>3390880.43</v>
      </c>
    </row>
    <row r="586" spans="1:6" ht="17.25" thickBot="1" x14ac:dyDescent="0.35"/>
    <row r="587" spans="1:6" ht="33" customHeight="1" x14ac:dyDescent="0.3">
      <c r="A587" s="24" t="s">
        <v>80</v>
      </c>
      <c r="B587" s="26"/>
    </row>
    <row r="588" spans="1:6" ht="33.75" thickBot="1" x14ac:dyDescent="0.35">
      <c r="A588" s="13" t="s">
        <v>81</v>
      </c>
      <c r="B588" s="2" t="s">
        <v>82</v>
      </c>
    </row>
    <row r="589" spans="1:6" ht="25.5" x14ac:dyDescent="0.3">
      <c r="A589" s="14" t="s">
        <v>83</v>
      </c>
      <c r="B589" s="2" t="s">
        <v>84</v>
      </c>
    </row>
    <row r="590" spans="1:6" ht="17.25" thickBot="1" x14ac:dyDescent="0.35"/>
    <row r="591" spans="1:6" ht="16.5" customHeight="1" x14ac:dyDescent="0.3">
      <c r="A591" s="24" t="s">
        <v>130</v>
      </c>
      <c r="B591" s="26"/>
      <c r="C591" s="26"/>
      <c r="D591" s="26"/>
      <c r="E591" s="26"/>
      <c r="F591" s="26"/>
    </row>
    <row r="592" spans="1:6" x14ac:dyDescent="0.3">
      <c r="A592" s="25" t="s">
        <v>131</v>
      </c>
      <c r="B592" s="27" t="s">
        <v>46</v>
      </c>
      <c r="C592" s="27" t="s">
        <v>132</v>
      </c>
      <c r="D592" s="3" t="s">
        <v>133</v>
      </c>
      <c r="E592" s="27" t="s">
        <v>135</v>
      </c>
      <c r="F592" s="27"/>
    </row>
    <row r="593" spans="1:8" x14ac:dyDescent="0.3">
      <c r="A593" s="25"/>
      <c r="B593" s="27"/>
      <c r="C593" s="27"/>
      <c r="D593" s="3" t="s">
        <v>134</v>
      </c>
      <c r="E593" s="27"/>
      <c r="F593" s="27"/>
    </row>
    <row r="594" spans="1:8" ht="17.25" thickBot="1" x14ac:dyDescent="0.35">
      <c r="A594" s="13" t="s">
        <v>66</v>
      </c>
      <c r="B594" s="2">
        <v>6783</v>
      </c>
      <c r="C594" s="2">
        <v>8.7910109999999992</v>
      </c>
      <c r="D594" s="2">
        <v>1.0312E-2</v>
      </c>
      <c r="E594" s="2">
        <v>8.7707537999999996</v>
      </c>
      <c r="F594" s="2">
        <v>8.8112689999999994</v>
      </c>
      <c r="H594" s="8" t="str">
        <f t="shared" ref="H594:H597" si="24">TEXT(C594,"0.00")&amp;" ("&amp;TEXT(E594,"0.00")&amp;" to "&amp;TEXT(F594,"0.00")&amp;")"</f>
        <v>8.79 (8.77 to 8.81)</v>
      </c>
    </row>
    <row r="595" spans="1:8" ht="17.25" thickBot="1" x14ac:dyDescent="0.35">
      <c r="A595" s="13" t="s">
        <v>67</v>
      </c>
      <c r="B595" s="2">
        <v>6783</v>
      </c>
      <c r="C595" s="2">
        <v>0.68640000000000001</v>
      </c>
      <c r="D595" s="2">
        <v>1.114E-3</v>
      </c>
      <c r="E595" s="2">
        <v>0.68421189999999998</v>
      </c>
      <c r="F595" s="2">
        <v>0.68858759999999997</v>
      </c>
      <c r="H595" s="8" t="str">
        <f t="shared" si="24"/>
        <v>0.69 (0.68 to 0.69)</v>
      </c>
    </row>
    <row r="596" spans="1:8" ht="17.25" thickBot="1" x14ac:dyDescent="0.35">
      <c r="A596" s="13" t="s">
        <v>68</v>
      </c>
      <c r="B596" s="2">
        <v>6783</v>
      </c>
      <c r="C596" s="2">
        <v>0.45310800000000001</v>
      </c>
      <c r="D596" s="2">
        <v>4.8910000000000004E-3</v>
      </c>
      <c r="E596" s="2">
        <v>0.44349949999999999</v>
      </c>
      <c r="F596" s="2">
        <v>0.46271630000000002</v>
      </c>
      <c r="H596" s="8" t="str">
        <f t="shared" si="24"/>
        <v>0.45 (0.44 to 0.46)</v>
      </c>
    </row>
    <row r="597" spans="1:8" x14ac:dyDescent="0.3">
      <c r="A597" s="14" t="s">
        <v>69</v>
      </c>
      <c r="B597" s="2">
        <v>6783</v>
      </c>
      <c r="C597" s="2">
        <v>37.828935000000001</v>
      </c>
      <c r="D597" s="2">
        <v>0.109252</v>
      </c>
      <c r="E597" s="2">
        <v>37.614306900000003</v>
      </c>
      <c r="F597" s="2">
        <v>38.0435631</v>
      </c>
      <c r="H597" s="8" t="str">
        <f t="shared" si="24"/>
        <v>37.83 (37.61 to 38.04)</v>
      </c>
    </row>
    <row r="601" spans="1:8" x14ac:dyDescent="0.3">
      <c r="A601" s="1" t="s">
        <v>129</v>
      </c>
    </row>
    <row r="603" spans="1:8" x14ac:dyDescent="0.3">
      <c r="A603" s="1" t="s">
        <v>167</v>
      </c>
    </row>
    <row r="604" spans="1:8" ht="17.25" thickBot="1" x14ac:dyDescent="0.35"/>
    <row r="605" spans="1:8" ht="16.5" customHeight="1" x14ac:dyDescent="0.3">
      <c r="A605" s="24" t="s">
        <v>75</v>
      </c>
      <c r="B605" s="26"/>
    </row>
    <row r="606" spans="1:8" ht="26.25" thickBot="1" x14ac:dyDescent="0.35">
      <c r="A606" s="13" t="s">
        <v>76</v>
      </c>
      <c r="B606" s="2">
        <v>54</v>
      </c>
    </row>
    <row r="607" spans="1:8" ht="26.25" thickBot="1" x14ac:dyDescent="0.35">
      <c r="A607" s="13" t="s">
        <v>77</v>
      </c>
      <c r="B607" s="2">
        <v>575</v>
      </c>
    </row>
    <row r="608" spans="1:8" ht="39" thickBot="1" x14ac:dyDescent="0.35">
      <c r="A608" s="13" t="s">
        <v>78</v>
      </c>
      <c r="B608" s="2">
        <v>7375</v>
      </c>
    </row>
    <row r="609" spans="1:8" ht="25.5" x14ac:dyDescent="0.3">
      <c r="A609" s="14" t="s">
        <v>79</v>
      </c>
      <c r="B609" s="2">
        <v>2930080.08</v>
      </c>
    </row>
    <row r="610" spans="1:8" ht="17.25" thickBot="1" x14ac:dyDescent="0.35"/>
    <row r="611" spans="1:8" ht="33" customHeight="1" x14ac:dyDescent="0.3">
      <c r="A611" s="24" t="s">
        <v>80</v>
      </c>
      <c r="B611" s="26"/>
    </row>
    <row r="612" spans="1:8" ht="33.75" thickBot="1" x14ac:dyDescent="0.35">
      <c r="A612" s="13" t="s">
        <v>81</v>
      </c>
      <c r="B612" s="2" t="s">
        <v>82</v>
      </c>
    </row>
    <row r="613" spans="1:8" ht="25.5" x14ac:dyDescent="0.3">
      <c r="A613" s="14" t="s">
        <v>83</v>
      </c>
      <c r="B613" s="2" t="s">
        <v>84</v>
      </c>
    </row>
    <row r="614" spans="1:8" ht="17.25" thickBot="1" x14ac:dyDescent="0.35"/>
    <row r="615" spans="1:8" ht="16.5" customHeight="1" x14ac:dyDescent="0.3">
      <c r="A615" s="24" t="s">
        <v>130</v>
      </c>
      <c r="B615" s="26"/>
      <c r="C615" s="26"/>
      <c r="D615" s="26"/>
      <c r="E615" s="26"/>
      <c r="F615" s="26"/>
    </row>
    <row r="616" spans="1:8" x14ac:dyDescent="0.3">
      <c r="A616" s="25" t="s">
        <v>131</v>
      </c>
      <c r="B616" s="27" t="s">
        <v>46</v>
      </c>
      <c r="C616" s="27" t="s">
        <v>132</v>
      </c>
      <c r="D616" s="3" t="s">
        <v>133</v>
      </c>
      <c r="E616" s="27" t="s">
        <v>135</v>
      </c>
      <c r="F616" s="27"/>
    </row>
    <row r="617" spans="1:8" x14ac:dyDescent="0.3">
      <c r="A617" s="25"/>
      <c r="B617" s="27"/>
      <c r="C617" s="27"/>
      <c r="D617" s="3" t="s">
        <v>134</v>
      </c>
      <c r="E617" s="27"/>
      <c r="F617" s="27"/>
    </row>
    <row r="618" spans="1:8" ht="17.25" thickBot="1" x14ac:dyDescent="0.35">
      <c r="A618" s="13" t="s">
        <v>66</v>
      </c>
      <c r="B618" s="2">
        <v>7375</v>
      </c>
      <c r="C618" s="2">
        <v>8.3998629999999999</v>
      </c>
      <c r="D618" s="2">
        <v>9.3710000000000009E-3</v>
      </c>
      <c r="E618" s="2">
        <v>8.3814537999999992</v>
      </c>
      <c r="F618" s="2">
        <v>8.418272</v>
      </c>
      <c r="H618" s="8" t="str">
        <f t="shared" ref="H618:H621" si="25">TEXT(C618,"0.00")&amp;" ("&amp;TEXT(E618,"0.00")&amp;" to "&amp;TEXT(F618,"0.00")&amp;")"</f>
        <v>8.40 (8.38 to 8.42)</v>
      </c>
    </row>
    <row r="619" spans="1:8" ht="17.25" thickBot="1" x14ac:dyDescent="0.35">
      <c r="A619" s="13" t="s">
        <v>67</v>
      </c>
      <c r="B619" s="2">
        <v>7375</v>
      </c>
      <c r="C619" s="2">
        <v>0.63925399999999999</v>
      </c>
      <c r="D619" s="2">
        <v>1.266E-3</v>
      </c>
      <c r="E619" s="2">
        <v>0.63676659999999996</v>
      </c>
      <c r="F619" s="2">
        <v>0.64174180000000003</v>
      </c>
      <c r="H619" s="8" t="str">
        <f t="shared" si="25"/>
        <v>0.64 (0.64 to 0.64)</v>
      </c>
    </row>
    <row r="620" spans="1:8" ht="17.25" thickBot="1" x14ac:dyDescent="0.35">
      <c r="A620" s="13" t="s">
        <v>68</v>
      </c>
      <c r="B620" s="2">
        <v>7375</v>
      </c>
      <c r="C620" s="2">
        <v>0.23709</v>
      </c>
      <c r="D620" s="2">
        <v>4.522E-3</v>
      </c>
      <c r="E620" s="2">
        <v>0.2282061</v>
      </c>
      <c r="F620" s="2">
        <v>0.24597340000000001</v>
      </c>
      <c r="H620" s="8" t="str">
        <f t="shared" si="25"/>
        <v>0.24 (0.23 to 0.25)</v>
      </c>
    </row>
    <row r="621" spans="1:8" x14ac:dyDescent="0.3">
      <c r="A621" s="14" t="s">
        <v>69</v>
      </c>
      <c r="B621" s="2">
        <v>7375</v>
      </c>
      <c r="C621" s="2">
        <v>33.322904000000001</v>
      </c>
      <c r="D621" s="2">
        <v>0.113806</v>
      </c>
      <c r="E621" s="2">
        <v>33.099329300000001</v>
      </c>
      <c r="F621" s="2">
        <v>33.546479300000001</v>
      </c>
      <c r="H621" s="8" t="str">
        <f t="shared" si="25"/>
        <v>33.32 (33.10 to 33.55)</v>
      </c>
    </row>
    <row r="625" spans="1:6" x14ac:dyDescent="0.3">
      <c r="A625" s="1" t="s">
        <v>129</v>
      </c>
    </row>
    <row r="627" spans="1:6" x14ac:dyDescent="0.3">
      <c r="A627" s="1" t="s">
        <v>168</v>
      </c>
    </row>
    <row r="628" spans="1:6" ht="17.25" thickBot="1" x14ac:dyDescent="0.35"/>
    <row r="629" spans="1:6" ht="16.5" customHeight="1" x14ac:dyDescent="0.3">
      <c r="A629" s="24" t="s">
        <v>75</v>
      </c>
      <c r="B629" s="26"/>
    </row>
    <row r="630" spans="1:6" ht="26.25" thickBot="1" x14ac:dyDescent="0.35">
      <c r="A630" s="13" t="s">
        <v>76</v>
      </c>
      <c r="B630" s="2">
        <v>27</v>
      </c>
    </row>
    <row r="631" spans="1:6" ht="26.25" thickBot="1" x14ac:dyDescent="0.35">
      <c r="A631" s="13" t="s">
        <v>77</v>
      </c>
      <c r="B631" s="2">
        <v>564</v>
      </c>
    </row>
    <row r="632" spans="1:6" ht="39" thickBot="1" x14ac:dyDescent="0.35">
      <c r="A632" s="13" t="s">
        <v>78</v>
      </c>
      <c r="B632" s="2">
        <v>6570</v>
      </c>
    </row>
    <row r="633" spans="1:6" ht="25.5" x14ac:dyDescent="0.3">
      <c r="A633" s="14" t="s">
        <v>79</v>
      </c>
      <c r="B633" s="2">
        <v>3497505.19</v>
      </c>
    </row>
    <row r="634" spans="1:6" ht="17.25" thickBot="1" x14ac:dyDescent="0.35"/>
    <row r="635" spans="1:6" ht="33" customHeight="1" x14ac:dyDescent="0.3">
      <c r="A635" s="24" t="s">
        <v>80</v>
      </c>
      <c r="B635" s="26"/>
    </row>
    <row r="636" spans="1:6" ht="33.75" thickBot="1" x14ac:dyDescent="0.35">
      <c r="A636" s="13" t="s">
        <v>81</v>
      </c>
      <c r="B636" s="2" t="s">
        <v>82</v>
      </c>
    </row>
    <row r="637" spans="1:6" ht="25.5" x14ac:dyDescent="0.3">
      <c r="A637" s="14" t="s">
        <v>83</v>
      </c>
      <c r="B637" s="2" t="s">
        <v>84</v>
      </c>
    </row>
    <row r="638" spans="1:6" ht="17.25" thickBot="1" x14ac:dyDescent="0.35"/>
    <row r="639" spans="1:6" ht="16.5" customHeight="1" x14ac:dyDescent="0.3">
      <c r="A639" s="24" t="s">
        <v>130</v>
      </c>
      <c r="B639" s="26"/>
      <c r="C639" s="26"/>
      <c r="D639" s="26"/>
      <c r="E639" s="26"/>
      <c r="F639" s="26"/>
    </row>
    <row r="640" spans="1:6" x14ac:dyDescent="0.3">
      <c r="A640" s="25" t="s">
        <v>131</v>
      </c>
      <c r="B640" s="27" t="s">
        <v>46</v>
      </c>
      <c r="C640" s="27" t="s">
        <v>132</v>
      </c>
      <c r="D640" s="3" t="s">
        <v>133</v>
      </c>
      <c r="E640" s="27" t="s">
        <v>135</v>
      </c>
      <c r="F640" s="27"/>
    </row>
    <row r="641" spans="1:8" x14ac:dyDescent="0.3">
      <c r="A641" s="25"/>
      <c r="B641" s="27"/>
      <c r="C641" s="27"/>
      <c r="D641" s="3" t="s">
        <v>134</v>
      </c>
      <c r="E641" s="27"/>
      <c r="F641" s="27"/>
    </row>
    <row r="642" spans="1:8" ht="17.25" thickBot="1" x14ac:dyDescent="0.35">
      <c r="A642" s="13" t="s">
        <v>66</v>
      </c>
      <c r="B642" s="2">
        <v>6570</v>
      </c>
      <c r="C642" s="2">
        <v>8.7575350000000007</v>
      </c>
      <c r="D642" s="2">
        <v>1.0612E-2</v>
      </c>
      <c r="E642" s="2">
        <v>8.7366887999999996</v>
      </c>
      <c r="F642" s="2">
        <v>8.7783821999999994</v>
      </c>
      <c r="H642" s="8" t="str">
        <f t="shared" ref="H642:H645" si="26">TEXT(C642,"0.00")&amp;" ("&amp;TEXT(E642,"0.00")&amp;" to "&amp;TEXT(F642,"0.00")&amp;")"</f>
        <v>8.76 (8.74 to 8.78)</v>
      </c>
    </row>
    <row r="643" spans="1:8" ht="17.25" thickBot="1" x14ac:dyDescent="0.35">
      <c r="A643" s="13" t="s">
        <v>67</v>
      </c>
      <c r="B643" s="2">
        <v>6570</v>
      </c>
      <c r="C643" s="2">
        <v>0.69293400000000005</v>
      </c>
      <c r="D643" s="2">
        <v>1.2019999999999999E-3</v>
      </c>
      <c r="E643" s="2">
        <v>0.69057239999999998</v>
      </c>
      <c r="F643" s="2">
        <v>0.69529529999999995</v>
      </c>
      <c r="H643" s="8" t="str">
        <f t="shared" si="26"/>
        <v>0.69 (0.69 to 0.70)</v>
      </c>
    </row>
    <row r="644" spans="1:8" ht="17.25" thickBot="1" x14ac:dyDescent="0.35">
      <c r="A644" s="13" t="s">
        <v>68</v>
      </c>
      <c r="B644" s="2">
        <v>6570</v>
      </c>
      <c r="C644" s="2">
        <v>0.42640400000000001</v>
      </c>
      <c r="D644" s="2">
        <v>5.0309999999999999E-3</v>
      </c>
      <c r="E644" s="2">
        <v>0.41652030000000001</v>
      </c>
      <c r="F644" s="2">
        <v>0.43628790000000001</v>
      </c>
      <c r="H644" s="8" t="str">
        <f t="shared" si="26"/>
        <v>0.43 (0.42 to 0.44)</v>
      </c>
    </row>
    <row r="645" spans="1:8" x14ac:dyDescent="0.3">
      <c r="A645" s="14" t="s">
        <v>69</v>
      </c>
      <c r="B645" s="2">
        <v>6570</v>
      </c>
      <c r="C645" s="2">
        <v>38.044490000000003</v>
      </c>
      <c r="D645" s="2">
        <v>0.11567</v>
      </c>
      <c r="E645" s="2">
        <v>37.817269600000003</v>
      </c>
      <c r="F645" s="2">
        <v>38.2717101</v>
      </c>
      <c r="H645" s="8" t="str">
        <f t="shared" si="26"/>
        <v>38.04 (37.82 to 38.27)</v>
      </c>
    </row>
    <row r="649" spans="1:8" x14ac:dyDescent="0.3">
      <c r="A649" s="1" t="s">
        <v>129</v>
      </c>
    </row>
    <row r="651" spans="1:8" x14ac:dyDescent="0.3">
      <c r="A651" s="1" t="s">
        <v>169</v>
      </c>
    </row>
    <row r="652" spans="1:8" ht="17.25" thickBot="1" x14ac:dyDescent="0.35"/>
    <row r="653" spans="1:8" ht="16.5" customHeight="1" x14ac:dyDescent="0.3">
      <c r="A653" s="24" t="s">
        <v>75</v>
      </c>
      <c r="B653" s="26"/>
    </row>
    <row r="654" spans="1:8" ht="26.25" thickBot="1" x14ac:dyDescent="0.35">
      <c r="A654" s="13" t="s">
        <v>76</v>
      </c>
      <c r="B654" s="2">
        <v>27</v>
      </c>
    </row>
    <row r="655" spans="1:8" ht="26.25" thickBot="1" x14ac:dyDescent="0.35">
      <c r="A655" s="13" t="s">
        <v>77</v>
      </c>
      <c r="B655" s="2">
        <v>564</v>
      </c>
    </row>
    <row r="656" spans="1:8" ht="39" thickBot="1" x14ac:dyDescent="0.35">
      <c r="A656" s="13" t="s">
        <v>78</v>
      </c>
      <c r="B656" s="2">
        <v>6985</v>
      </c>
    </row>
    <row r="657" spans="1:8" ht="25.5" x14ac:dyDescent="0.3">
      <c r="A657" s="14" t="s">
        <v>79</v>
      </c>
      <c r="B657" s="2">
        <v>3057193.62</v>
      </c>
    </row>
    <row r="658" spans="1:8" ht="17.25" thickBot="1" x14ac:dyDescent="0.35"/>
    <row r="659" spans="1:8" ht="33" customHeight="1" x14ac:dyDescent="0.3">
      <c r="A659" s="24" t="s">
        <v>80</v>
      </c>
      <c r="B659" s="26"/>
    </row>
    <row r="660" spans="1:8" ht="33.75" thickBot="1" x14ac:dyDescent="0.35">
      <c r="A660" s="13" t="s">
        <v>81</v>
      </c>
      <c r="B660" s="2" t="s">
        <v>82</v>
      </c>
    </row>
    <row r="661" spans="1:8" ht="25.5" x14ac:dyDescent="0.3">
      <c r="A661" s="14" t="s">
        <v>83</v>
      </c>
      <c r="B661" s="2" t="s">
        <v>84</v>
      </c>
    </row>
    <row r="662" spans="1:8" ht="17.25" thickBot="1" x14ac:dyDescent="0.35"/>
    <row r="663" spans="1:8" ht="16.5" customHeight="1" x14ac:dyDescent="0.3">
      <c r="A663" s="24" t="s">
        <v>130</v>
      </c>
      <c r="B663" s="26"/>
      <c r="C663" s="26"/>
      <c r="D663" s="26"/>
      <c r="E663" s="26"/>
      <c r="F663" s="26"/>
    </row>
    <row r="664" spans="1:8" x14ac:dyDescent="0.3">
      <c r="A664" s="25" t="s">
        <v>131</v>
      </c>
      <c r="B664" s="27" t="s">
        <v>46</v>
      </c>
      <c r="C664" s="27" t="s">
        <v>132</v>
      </c>
      <c r="D664" s="3" t="s">
        <v>133</v>
      </c>
      <c r="E664" s="27" t="s">
        <v>135</v>
      </c>
      <c r="F664" s="27"/>
    </row>
    <row r="665" spans="1:8" x14ac:dyDescent="0.3">
      <c r="A665" s="25"/>
      <c r="B665" s="27"/>
      <c r="C665" s="27"/>
      <c r="D665" s="3" t="s">
        <v>134</v>
      </c>
      <c r="E665" s="27"/>
      <c r="F665" s="27"/>
    </row>
    <row r="666" spans="1:8" ht="17.25" thickBot="1" x14ac:dyDescent="0.35">
      <c r="A666" s="13" t="s">
        <v>66</v>
      </c>
      <c r="B666" s="2">
        <v>6985</v>
      </c>
      <c r="C666" s="2">
        <v>8.389564</v>
      </c>
      <c r="D666" s="2">
        <v>9.2049999999999996E-3</v>
      </c>
      <c r="E666" s="2">
        <v>8.3714820000000003</v>
      </c>
      <c r="F666" s="2">
        <v>8.4076460999999991</v>
      </c>
      <c r="H666" s="8" t="str">
        <f t="shared" ref="H666:H669" si="27">TEXT(C666,"0.00")&amp;" ("&amp;TEXT(E666,"0.00")&amp;" to "&amp;TEXT(F666,"0.00")&amp;")"</f>
        <v>8.39 (8.37 to 8.41)</v>
      </c>
    </row>
    <row r="667" spans="1:8" ht="17.25" thickBot="1" x14ac:dyDescent="0.35">
      <c r="A667" s="13" t="s">
        <v>67</v>
      </c>
      <c r="B667" s="2">
        <v>6985</v>
      </c>
      <c r="C667" s="2">
        <v>0.64872700000000005</v>
      </c>
      <c r="D667" s="2">
        <v>1.122E-3</v>
      </c>
      <c r="E667" s="2">
        <v>0.64652259999999995</v>
      </c>
      <c r="F667" s="2">
        <v>0.65093230000000002</v>
      </c>
      <c r="H667" s="8" t="str">
        <f t="shared" si="27"/>
        <v>0.65 (0.65 to 0.65)</v>
      </c>
    </row>
    <row r="668" spans="1:8" ht="17.25" thickBot="1" x14ac:dyDescent="0.35">
      <c r="A668" s="13" t="s">
        <v>68</v>
      </c>
      <c r="B668" s="2">
        <v>6985</v>
      </c>
      <c r="C668" s="2">
        <v>0.21612300000000001</v>
      </c>
      <c r="D668" s="2">
        <v>4.5669999999999999E-3</v>
      </c>
      <c r="E668" s="2">
        <v>0.2071508</v>
      </c>
      <c r="F668" s="2">
        <v>0.22509480000000001</v>
      </c>
      <c r="H668" s="8" t="str">
        <f t="shared" si="27"/>
        <v>0.22 (0.21 to 0.23)</v>
      </c>
    </row>
    <row r="669" spans="1:8" x14ac:dyDescent="0.3">
      <c r="A669" s="14" t="s">
        <v>69</v>
      </c>
      <c r="B669" s="2">
        <v>6985</v>
      </c>
      <c r="C669" s="2">
        <v>33.244272000000002</v>
      </c>
      <c r="D669" s="2">
        <v>0.121058</v>
      </c>
      <c r="E669" s="2">
        <v>33.006467399999998</v>
      </c>
      <c r="F669" s="2">
        <v>33.482076499999998</v>
      </c>
      <c r="H669" s="8" t="str">
        <f t="shared" si="27"/>
        <v>33.24 (33.01 to 33.48)</v>
      </c>
    </row>
    <row r="673" spans="1:6" x14ac:dyDescent="0.3">
      <c r="A673" s="1" t="s">
        <v>129</v>
      </c>
    </row>
    <row r="675" spans="1:6" x14ac:dyDescent="0.3">
      <c r="A675" s="1" t="s">
        <v>170</v>
      </c>
    </row>
    <row r="676" spans="1:6" ht="17.25" thickBot="1" x14ac:dyDescent="0.35"/>
    <row r="677" spans="1:6" ht="16.5" customHeight="1" x14ac:dyDescent="0.3">
      <c r="A677" s="24" t="s">
        <v>75</v>
      </c>
      <c r="B677" s="26"/>
    </row>
    <row r="678" spans="1:6" ht="26.25" thickBot="1" x14ac:dyDescent="0.35">
      <c r="A678" s="13" t="s">
        <v>76</v>
      </c>
      <c r="B678" s="2">
        <v>27</v>
      </c>
    </row>
    <row r="679" spans="1:6" ht="26.25" thickBot="1" x14ac:dyDescent="0.35">
      <c r="A679" s="13" t="s">
        <v>77</v>
      </c>
      <c r="B679" s="2">
        <v>190</v>
      </c>
    </row>
    <row r="680" spans="1:6" ht="39" thickBot="1" x14ac:dyDescent="0.35">
      <c r="A680" s="13" t="s">
        <v>78</v>
      </c>
      <c r="B680" s="2">
        <v>2024</v>
      </c>
    </row>
    <row r="681" spans="1:6" ht="25.5" x14ac:dyDescent="0.3">
      <c r="A681" s="14" t="s">
        <v>79</v>
      </c>
      <c r="B681" s="2">
        <v>1134914.5600000001</v>
      </c>
    </row>
    <row r="682" spans="1:6" ht="17.25" thickBot="1" x14ac:dyDescent="0.35"/>
    <row r="683" spans="1:6" ht="33" customHeight="1" x14ac:dyDescent="0.3">
      <c r="A683" s="24" t="s">
        <v>80</v>
      </c>
      <c r="B683" s="26"/>
    </row>
    <row r="684" spans="1:6" ht="33.75" thickBot="1" x14ac:dyDescent="0.35">
      <c r="A684" s="13" t="s">
        <v>81</v>
      </c>
      <c r="B684" s="2" t="s">
        <v>82</v>
      </c>
    </row>
    <row r="685" spans="1:6" ht="25.5" x14ac:dyDescent="0.3">
      <c r="A685" s="14" t="s">
        <v>83</v>
      </c>
      <c r="B685" s="2" t="s">
        <v>84</v>
      </c>
    </row>
    <row r="686" spans="1:6" ht="17.25" thickBot="1" x14ac:dyDescent="0.35"/>
    <row r="687" spans="1:6" ht="16.5" customHeight="1" x14ac:dyDescent="0.3">
      <c r="A687" s="24" t="s">
        <v>130</v>
      </c>
      <c r="B687" s="26"/>
      <c r="C687" s="26"/>
      <c r="D687" s="26"/>
      <c r="E687" s="26"/>
      <c r="F687" s="26"/>
    </row>
    <row r="688" spans="1:6" x14ac:dyDescent="0.3">
      <c r="A688" s="25" t="s">
        <v>131</v>
      </c>
      <c r="B688" s="27" t="s">
        <v>46</v>
      </c>
      <c r="C688" s="27" t="s">
        <v>132</v>
      </c>
      <c r="D688" s="3" t="s">
        <v>133</v>
      </c>
      <c r="E688" s="27" t="s">
        <v>135</v>
      </c>
      <c r="F688" s="27"/>
    </row>
    <row r="689" spans="1:8" x14ac:dyDescent="0.3">
      <c r="A689" s="25"/>
      <c r="B689" s="27"/>
      <c r="C689" s="27"/>
      <c r="D689" s="3" t="s">
        <v>134</v>
      </c>
      <c r="E689" s="27"/>
      <c r="F689" s="27"/>
    </row>
    <row r="690" spans="1:8" ht="17.25" thickBot="1" x14ac:dyDescent="0.35">
      <c r="A690" s="13" t="s">
        <v>66</v>
      </c>
      <c r="B690" s="2">
        <v>2024</v>
      </c>
      <c r="C690" s="2">
        <v>8.7733150000000002</v>
      </c>
      <c r="D690" s="2">
        <v>1.695E-2</v>
      </c>
      <c r="E690" s="2">
        <v>8.7398459000000006</v>
      </c>
      <c r="F690" s="2">
        <v>8.8067848000000009</v>
      </c>
      <c r="H690" s="8" t="str">
        <f t="shared" ref="H690:H693" si="28">TEXT(C690,"0.00")&amp;" ("&amp;TEXT(E690,"0.00")&amp;" to "&amp;TEXT(F690,"0.00")&amp;")"</f>
        <v>8.77 (8.74 to 8.81)</v>
      </c>
    </row>
    <row r="691" spans="1:8" ht="17.25" thickBot="1" x14ac:dyDescent="0.35">
      <c r="A691" s="13" t="s">
        <v>67</v>
      </c>
      <c r="B691" s="2">
        <v>2024</v>
      </c>
      <c r="C691" s="2">
        <v>0.69166300000000003</v>
      </c>
      <c r="D691" s="2">
        <v>2.1710000000000002E-3</v>
      </c>
      <c r="E691" s="2">
        <v>0.68737579999999998</v>
      </c>
      <c r="F691" s="2">
        <v>0.69595030000000002</v>
      </c>
      <c r="H691" s="8" t="str">
        <f t="shared" si="28"/>
        <v>0.69 (0.69 to 0.70)</v>
      </c>
    </row>
    <row r="692" spans="1:8" ht="17.25" thickBot="1" x14ac:dyDescent="0.35">
      <c r="A692" s="13" t="s">
        <v>68</v>
      </c>
      <c r="B692" s="2">
        <v>2024</v>
      </c>
      <c r="C692" s="2">
        <v>0.39907999999999999</v>
      </c>
      <c r="D692" s="2">
        <v>8.6459999999999992E-3</v>
      </c>
      <c r="E692" s="2">
        <v>0.38200689999999998</v>
      </c>
      <c r="F692" s="2">
        <v>0.41615229999999998</v>
      </c>
      <c r="H692" s="8" t="str">
        <f t="shared" si="28"/>
        <v>0.40 (0.38 to 0.42)</v>
      </c>
    </row>
    <row r="693" spans="1:8" x14ac:dyDescent="0.3">
      <c r="A693" s="14" t="s">
        <v>69</v>
      </c>
      <c r="B693" s="2">
        <v>2024</v>
      </c>
      <c r="C693" s="2">
        <v>37.915258999999999</v>
      </c>
      <c r="D693" s="2">
        <v>0.22608</v>
      </c>
      <c r="E693" s="2">
        <v>37.468835800000001</v>
      </c>
      <c r="F693" s="2">
        <v>38.361682100000003</v>
      </c>
      <c r="H693" s="8" t="str">
        <f t="shared" si="28"/>
        <v>37.92 (37.47 to 38.36)</v>
      </c>
    </row>
    <row r="697" spans="1:8" x14ac:dyDescent="0.3">
      <c r="A697" s="1" t="s">
        <v>129</v>
      </c>
    </row>
    <row r="699" spans="1:8" x14ac:dyDescent="0.3">
      <c r="A699" s="1" t="s">
        <v>171</v>
      </c>
    </row>
    <row r="700" spans="1:8" ht="17.25" thickBot="1" x14ac:dyDescent="0.35"/>
    <row r="701" spans="1:8" ht="16.5" customHeight="1" x14ac:dyDescent="0.3">
      <c r="A701" s="24" t="s">
        <v>75</v>
      </c>
      <c r="B701" s="26"/>
    </row>
    <row r="702" spans="1:8" ht="26.25" thickBot="1" x14ac:dyDescent="0.35">
      <c r="A702" s="13" t="s">
        <v>76</v>
      </c>
      <c r="B702" s="2">
        <v>27</v>
      </c>
    </row>
    <row r="703" spans="1:8" ht="26.25" thickBot="1" x14ac:dyDescent="0.35">
      <c r="A703" s="13" t="s">
        <v>77</v>
      </c>
      <c r="B703" s="2">
        <v>190</v>
      </c>
    </row>
    <row r="704" spans="1:8" ht="39" thickBot="1" x14ac:dyDescent="0.35">
      <c r="A704" s="13" t="s">
        <v>78</v>
      </c>
      <c r="B704" s="2">
        <v>2392</v>
      </c>
    </row>
    <row r="705" spans="1:8" ht="25.5" x14ac:dyDescent="0.3">
      <c r="A705" s="14" t="s">
        <v>79</v>
      </c>
      <c r="B705" s="2">
        <v>1015999.11</v>
      </c>
    </row>
    <row r="706" spans="1:8" ht="17.25" thickBot="1" x14ac:dyDescent="0.35"/>
    <row r="707" spans="1:8" ht="33" customHeight="1" x14ac:dyDescent="0.3">
      <c r="A707" s="24" t="s">
        <v>80</v>
      </c>
      <c r="B707" s="26"/>
    </row>
    <row r="708" spans="1:8" ht="33.75" thickBot="1" x14ac:dyDescent="0.35">
      <c r="A708" s="13" t="s">
        <v>81</v>
      </c>
      <c r="B708" s="2" t="s">
        <v>82</v>
      </c>
    </row>
    <row r="709" spans="1:8" ht="25.5" x14ac:dyDescent="0.3">
      <c r="A709" s="14" t="s">
        <v>83</v>
      </c>
      <c r="B709" s="2" t="s">
        <v>84</v>
      </c>
    </row>
    <row r="710" spans="1:8" ht="17.25" thickBot="1" x14ac:dyDescent="0.35"/>
    <row r="711" spans="1:8" ht="16.5" customHeight="1" x14ac:dyDescent="0.3">
      <c r="A711" s="24" t="s">
        <v>130</v>
      </c>
      <c r="B711" s="26"/>
      <c r="C711" s="26"/>
      <c r="D711" s="26"/>
      <c r="E711" s="26"/>
      <c r="F711" s="26"/>
    </row>
    <row r="712" spans="1:8" x14ac:dyDescent="0.3">
      <c r="A712" s="25" t="s">
        <v>131</v>
      </c>
      <c r="B712" s="27" t="s">
        <v>46</v>
      </c>
      <c r="C712" s="27" t="s">
        <v>132</v>
      </c>
      <c r="D712" s="3" t="s">
        <v>133</v>
      </c>
      <c r="E712" s="27" t="s">
        <v>135</v>
      </c>
      <c r="F712" s="27"/>
    </row>
    <row r="713" spans="1:8" x14ac:dyDescent="0.3">
      <c r="A713" s="25"/>
      <c r="B713" s="27"/>
      <c r="C713" s="27"/>
      <c r="D713" s="3" t="s">
        <v>134</v>
      </c>
      <c r="E713" s="27"/>
      <c r="F713" s="27"/>
    </row>
    <row r="714" spans="1:8" ht="17.25" thickBot="1" x14ac:dyDescent="0.35">
      <c r="A714" s="13" t="s">
        <v>66</v>
      </c>
      <c r="B714" s="2">
        <v>2392</v>
      </c>
      <c r="C714" s="2">
        <v>8.3926949999999998</v>
      </c>
      <c r="D714" s="2">
        <v>1.2605E-2</v>
      </c>
      <c r="E714" s="2">
        <v>8.3678048</v>
      </c>
      <c r="F714" s="2">
        <v>8.4175851999999995</v>
      </c>
      <c r="H714" s="8" t="str">
        <f t="shared" ref="H714:H717" si="29">TEXT(C714,"0.00")&amp;" ("&amp;TEXT(E714,"0.00")&amp;" to "&amp;TEXT(F714,"0.00")&amp;")"</f>
        <v>8.39 (8.37 to 8.42)</v>
      </c>
    </row>
    <row r="715" spans="1:8" ht="17.25" thickBot="1" x14ac:dyDescent="0.35">
      <c r="A715" s="13" t="s">
        <v>67</v>
      </c>
      <c r="B715" s="2">
        <v>2392</v>
      </c>
      <c r="C715" s="2">
        <v>0.64352799999999999</v>
      </c>
      <c r="D715" s="2">
        <v>1.7420000000000001E-3</v>
      </c>
      <c r="E715" s="2">
        <v>0.64008799999999999</v>
      </c>
      <c r="F715" s="2">
        <v>0.64696880000000001</v>
      </c>
      <c r="H715" s="8" t="str">
        <f t="shared" si="29"/>
        <v>0.64 (0.64 to 0.65)</v>
      </c>
    </row>
    <row r="716" spans="1:8" ht="17.25" thickBot="1" x14ac:dyDescent="0.35">
      <c r="A716" s="13" t="s">
        <v>68</v>
      </c>
      <c r="B716" s="2">
        <v>2392</v>
      </c>
      <c r="C716" s="2">
        <v>0.169931</v>
      </c>
      <c r="D716" s="2">
        <v>6.6210000000000001E-3</v>
      </c>
      <c r="E716" s="2">
        <v>0.15685569999999999</v>
      </c>
      <c r="F716" s="2">
        <v>0.18300540000000001</v>
      </c>
      <c r="H716" s="8" t="str">
        <f t="shared" si="29"/>
        <v>0.17 (0.16 to 0.18)</v>
      </c>
    </row>
    <row r="717" spans="1:8" x14ac:dyDescent="0.3">
      <c r="A717" s="14" t="s">
        <v>69</v>
      </c>
      <c r="B717" s="2">
        <v>2392</v>
      </c>
      <c r="C717" s="2">
        <v>32.345384000000003</v>
      </c>
      <c r="D717" s="2">
        <v>0.19392400000000001</v>
      </c>
      <c r="E717" s="2">
        <v>31.962456599999999</v>
      </c>
      <c r="F717" s="2">
        <v>32.728311599999998</v>
      </c>
      <c r="H717" s="8" t="str">
        <f t="shared" si="29"/>
        <v>32.35 (31.96 to 32.73)</v>
      </c>
    </row>
    <row r="721" spans="1:6" x14ac:dyDescent="0.3">
      <c r="A721" s="1" t="s">
        <v>129</v>
      </c>
    </row>
    <row r="723" spans="1:6" x14ac:dyDescent="0.3">
      <c r="A723" s="1" t="s">
        <v>172</v>
      </c>
    </row>
    <row r="724" spans="1:6" ht="17.25" thickBot="1" x14ac:dyDescent="0.35"/>
    <row r="725" spans="1:6" ht="16.5" customHeight="1" x14ac:dyDescent="0.3">
      <c r="A725" s="24" t="s">
        <v>75</v>
      </c>
      <c r="B725" s="26"/>
    </row>
    <row r="726" spans="1:6" ht="26.25" thickBot="1" x14ac:dyDescent="0.35">
      <c r="A726" s="13" t="s">
        <v>76</v>
      </c>
      <c r="B726" s="2">
        <v>25</v>
      </c>
    </row>
    <row r="727" spans="1:6" ht="26.25" thickBot="1" x14ac:dyDescent="0.35">
      <c r="A727" s="13" t="s">
        <v>77</v>
      </c>
      <c r="B727" s="2">
        <v>377</v>
      </c>
    </row>
    <row r="728" spans="1:6" ht="39" thickBot="1" x14ac:dyDescent="0.35">
      <c r="A728" s="13" t="s">
        <v>78</v>
      </c>
      <c r="B728" s="2">
        <v>8842</v>
      </c>
    </row>
    <row r="729" spans="1:6" ht="25.5" x14ac:dyDescent="0.3">
      <c r="A729" s="14" t="s">
        <v>79</v>
      </c>
      <c r="B729" s="2">
        <v>3579721.5</v>
      </c>
    </row>
    <row r="730" spans="1:6" ht="17.25" thickBot="1" x14ac:dyDescent="0.35"/>
    <row r="731" spans="1:6" ht="33" customHeight="1" x14ac:dyDescent="0.3">
      <c r="A731" s="24" t="s">
        <v>80</v>
      </c>
      <c r="B731" s="26"/>
    </row>
    <row r="732" spans="1:6" ht="33.75" thickBot="1" x14ac:dyDescent="0.35">
      <c r="A732" s="13" t="s">
        <v>81</v>
      </c>
      <c r="B732" s="2" t="s">
        <v>82</v>
      </c>
    </row>
    <row r="733" spans="1:6" ht="25.5" x14ac:dyDescent="0.3">
      <c r="A733" s="14" t="s">
        <v>83</v>
      </c>
      <c r="B733" s="2" t="s">
        <v>84</v>
      </c>
    </row>
    <row r="734" spans="1:6" ht="17.25" thickBot="1" x14ac:dyDescent="0.35"/>
    <row r="735" spans="1:6" ht="16.5" customHeight="1" x14ac:dyDescent="0.3">
      <c r="A735" s="24" t="s">
        <v>130</v>
      </c>
      <c r="B735" s="26"/>
      <c r="C735" s="26"/>
      <c r="D735" s="26"/>
      <c r="E735" s="26"/>
      <c r="F735" s="26"/>
    </row>
    <row r="736" spans="1:6" x14ac:dyDescent="0.3">
      <c r="A736" s="25" t="s">
        <v>131</v>
      </c>
      <c r="B736" s="27" t="s">
        <v>46</v>
      </c>
      <c r="C736" s="27" t="s">
        <v>132</v>
      </c>
      <c r="D736" s="3" t="s">
        <v>133</v>
      </c>
      <c r="E736" s="27" t="s">
        <v>135</v>
      </c>
      <c r="F736" s="27"/>
    </row>
    <row r="737" spans="1:8" x14ac:dyDescent="0.3">
      <c r="A737" s="25"/>
      <c r="B737" s="27"/>
      <c r="C737" s="27"/>
      <c r="D737" s="3" t="s">
        <v>134</v>
      </c>
      <c r="E737" s="27"/>
      <c r="F737" s="27"/>
    </row>
    <row r="738" spans="1:8" ht="17.25" thickBot="1" x14ac:dyDescent="0.35">
      <c r="A738" s="13" t="s">
        <v>66</v>
      </c>
      <c r="B738" s="2">
        <v>8842</v>
      </c>
      <c r="C738" s="2">
        <v>8.5383150000000008</v>
      </c>
      <c r="D738" s="2">
        <v>9.3159999999999996E-3</v>
      </c>
      <c r="E738" s="2">
        <v>8.5199935</v>
      </c>
      <c r="F738" s="2">
        <v>8.5566372000000008</v>
      </c>
      <c r="H738" s="8" t="str">
        <f t="shared" ref="H738:H741" si="30">TEXT(C738,"0.00")&amp;" ("&amp;TEXT(E738,"0.00")&amp;" to "&amp;TEXT(F738,"0.00")&amp;")"</f>
        <v>8.54 (8.52 to 8.56)</v>
      </c>
    </row>
    <row r="739" spans="1:8" ht="17.25" thickBot="1" x14ac:dyDescent="0.35">
      <c r="A739" s="13" t="s">
        <v>67</v>
      </c>
      <c r="B739" s="2">
        <v>8842</v>
      </c>
      <c r="C739" s="2">
        <v>0.65659000000000001</v>
      </c>
      <c r="D739" s="2">
        <v>1.338E-3</v>
      </c>
      <c r="E739" s="2">
        <v>0.65395890000000001</v>
      </c>
      <c r="F739" s="2">
        <v>0.6592211</v>
      </c>
      <c r="H739" s="8" t="str">
        <f t="shared" si="30"/>
        <v>0.66 (0.65 to 0.66)</v>
      </c>
    </row>
    <row r="740" spans="1:8" ht="17.25" thickBot="1" x14ac:dyDescent="0.35">
      <c r="A740" s="13" t="s">
        <v>68</v>
      </c>
      <c r="B740" s="2">
        <v>8842</v>
      </c>
      <c r="C740" s="2">
        <v>0.35994900000000002</v>
      </c>
      <c r="D740" s="2">
        <v>4.2630000000000003E-3</v>
      </c>
      <c r="E740" s="2">
        <v>0.35156579999999998</v>
      </c>
      <c r="F740" s="2">
        <v>0.36833310000000002</v>
      </c>
      <c r="H740" s="8" t="str">
        <f t="shared" si="30"/>
        <v>0.36 (0.35 to 0.37)</v>
      </c>
    </row>
    <row r="741" spans="1:8" x14ac:dyDescent="0.3">
      <c r="A741" s="14" t="s">
        <v>69</v>
      </c>
      <c r="B741" s="2">
        <v>8842</v>
      </c>
      <c r="C741" s="2">
        <v>35.437420000000003</v>
      </c>
      <c r="D741" s="2">
        <v>9.5404000000000003E-2</v>
      </c>
      <c r="E741" s="2">
        <v>35.249786</v>
      </c>
      <c r="F741" s="2">
        <v>35.625054499999997</v>
      </c>
      <c r="H741" s="8" t="str">
        <f t="shared" si="30"/>
        <v>35.44 (35.25 to 35.63)</v>
      </c>
    </row>
    <row r="745" spans="1:8" x14ac:dyDescent="0.3">
      <c r="A745" s="1" t="s">
        <v>129</v>
      </c>
    </row>
    <row r="747" spans="1:8" x14ac:dyDescent="0.3">
      <c r="A747" s="1" t="s">
        <v>173</v>
      </c>
    </row>
    <row r="748" spans="1:8" ht="17.25" thickBot="1" x14ac:dyDescent="0.35"/>
    <row r="749" spans="1:8" ht="16.5" customHeight="1" x14ac:dyDescent="0.3">
      <c r="A749" s="24" t="s">
        <v>75</v>
      </c>
      <c r="B749" s="26"/>
    </row>
    <row r="750" spans="1:8" ht="26.25" thickBot="1" x14ac:dyDescent="0.35">
      <c r="A750" s="13" t="s">
        <v>76</v>
      </c>
      <c r="B750" s="2">
        <v>17</v>
      </c>
    </row>
    <row r="751" spans="1:8" ht="26.25" thickBot="1" x14ac:dyDescent="0.35">
      <c r="A751" s="13" t="s">
        <v>77</v>
      </c>
      <c r="B751" s="2">
        <v>123</v>
      </c>
    </row>
    <row r="752" spans="1:8" ht="39" thickBot="1" x14ac:dyDescent="0.35">
      <c r="A752" s="13" t="s">
        <v>78</v>
      </c>
      <c r="B752" s="2">
        <v>3073</v>
      </c>
    </row>
    <row r="753" spans="1:8" ht="25.5" x14ac:dyDescent="0.3">
      <c r="A753" s="14" t="s">
        <v>79</v>
      </c>
      <c r="B753" s="2">
        <v>790447.21</v>
      </c>
    </row>
    <row r="754" spans="1:8" ht="17.25" thickBot="1" x14ac:dyDescent="0.35"/>
    <row r="755" spans="1:8" ht="33" customHeight="1" x14ac:dyDescent="0.3">
      <c r="A755" s="24" t="s">
        <v>80</v>
      </c>
      <c r="B755" s="26"/>
    </row>
    <row r="756" spans="1:8" ht="33.75" thickBot="1" x14ac:dyDescent="0.35">
      <c r="A756" s="13" t="s">
        <v>81</v>
      </c>
      <c r="B756" s="2" t="s">
        <v>82</v>
      </c>
    </row>
    <row r="757" spans="1:8" ht="25.5" x14ac:dyDescent="0.3">
      <c r="A757" s="14" t="s">
        <v>83</v>
      </c>
      <c r="B757" s="2" t="s">
        <v>84</v>
      </c>
    </row>
    <row r="758" spans="1:8" ht="17.25" thickBot="1" x14ac:dyDescent="0.35"/>
    <row r="759" spans="1:8" ht="16.5" customHeight="1" x14ac:dyDescent="0.3">
      <c r="A759" s="24" t="s">
        <v>130</v>
      </c>
      <c r="B759" s="26"/>
      <c r="C759" s="26"/>
      <c r="D759" s="26"/>
      <c r="E759" s="26"/>
      <c r="F759" s="26"/>
    </row>
    <row r="760" spans="1:8" x14ac:dyDescent="0.3">
      <c r="A760" s="25" t="s">
        <v>131</v>
      </c>
      <c r="B760" s="27" t="s">
        <v>46</v>
      </c>
      <c r="C760" s="27" t="s">
        <v>132</v>
      </c>
      <c r="D760" s="3" t="s">
        <v>133</v>
      </c>
      <c r="E760" s="27" t="s">
        <v>135</v>
      </c>
      <c r="F760" s="27"/>
    </row>
    <row r="761" spans="1:8" x14ac:dyDescent="0.3">
      <c r="A761" s="25"/>
      <c r="B761" s="27"/>
      <c r="C761" s="27"/>
      <c r="D761" s="3" t="s">
        <v>134</v>
      </c>
      <c r="E761" s="27"/>
      <c r="F761" s="27"/>
    </row>
    <row r="762" spans="1:8" ht="17.25" thickBot="1" x14ac:dyDescent="0.35">
      <c r="A762" s="13" t="s">
        <v>66</v>
      </c>
      <c r="B762" s="2">
        <v>3073</v>
      </c>
      <c r="C762" s="2">
        <v>8.6306180000000001</v>
      </c>
      <c r="D762" s="2">
        <v>1.6407000000000001E-2</v>
      </c>
      <c r="E762" s="2">
        <v>8.5980907000000002</v>
      </c>
      <c r="F762" s="2">
        <v>8.6631461999999999</v>
      </c>
      <c r="H762" s="8" t="str">
        <f t="shared" ref="H762:H765" si="31">TEXT(C762,"0.00")&amp;" ("&amp;TEXT(E762,"0.00")&amp;" to "&amp;TEXT(F762,"0.00")&amp;")"</f>
        <v>8.63 (8.60 to 8.66)</v>
      </c>
    </row>
    <row r="763" spans="1:8" ht="17.25" thickBot="1" x14ac:dyDescent="0.35">
      <c r="A763" s="13" t="s">
        <v>67</v>
      </c>
      <c r="B763" s="2">
        <v>3073</v>
      </c>
      <c r="C763" s="2">
        <v>0.67799600000000004</v>
      </c>
      <c r="D763" s="2">
        <v>2.3419999999999999E-3</v>
      </c>
      <c r="E763" s="2">
        <v>0.67335259999999997</v>
      </c>
      <c r="F763" s="2">
        <v>0.682639</v>
      </c>
      <c r="H763" s="8" t="str">
        <f t="shared" si="31"/>
        <v>0.68 (0.67 to 0.68)</v>
      </c>
    </row>
    <row r="764" spans="1:8" ht="17.25" thickBot="1" x14ac:dyDescent="0.35">
      <c r="A764" s="13" t="s">
        <v>68</v>
      </c>
      <c r="B764" s="2">
        <v>3073</v>
      </c>
      <c r="C764" s="2">
        <v>0.40389999999999998</v>
      </c>
      <c r="D764" s="2">
        <v>7.8659999999999997E-3</v>
      </c>
      <c r="E764" s="2">
        <v>0.38830389999999998</v>
      </c>
      <c r="F764" s="2">
        <v>0.41949510000000001</v>
      </c>
      <c r="H764" s="8" t="str">
        <f t="shared" si="31"/>
        <v>0.40 (0.39 to 0.42)</v>
      </c>
    </row>
    <row r="765" spans="1:8" x14ac:dyDescent="0.3">
      <c r="A765" s="14" t="s">
        <v>69</v>
      </c>
      <c r="B765" s="2">
        <v>3073</v>
      </c>
      <c r="C765" s="2">
        <v>36.208247999999998</v>
      </c>
      <c r="D765" s="2">
        <v>0.16772899999999999</v>
      </c>
      <c r="E765" s="2">
        <v>35.875708000000003</v>
      </c>
      <c r="F765" s="2">
        <v>36.540787199999997</v>
      </c>
      <c r="H765" s="8" t="str">
        <f t="shared" si="31"/>
        <v>36.21 (35.88 to 36.54)</v>
      </c>
    </row>
    <row r="769" spans="1:6" x14ac:dyDescent="0.3">
      <c r="A769" s="1" t="s">
        <v>129</v>
      </c>
    </row>
    <row r="771" spans="1:6" x14ac:dyDescent="0.3">
      <c r="A771" s="1" t="s">
        <v>174</v>
      </c>
    </row>
    <row r="772" spans="1:6" ht="17.25" thickBot="1" x14ac:dyDescent="0.35"/>
    <row r="773" spans="1:6" ht="16.5" customHeight="1" x14ac:dyDescent="0.3">
      <c r="A773" s="24" t="s">
        <v>75</v>
      </c>
      <c r="B773" s="26"/>
    </row>
    <row r="774" spans="1:6" ht="26.25" thickBot="1" x14ac:dyDescent="0.35">
      <c r="A774" s="13" t="s">
        <v>76</v>
      </c>
      <c r="B774" s="2">
        <v>25</v>
      </c>
    </row>
    <row r="775" spans="1:6" ht="26.25" thickBot="1" x14ac:dyDescent="0.35">
      <c r="A775" s="13" t="s">
        <v>77</v>
      </c>
      <c r="B775" s="2">
        <v>461</v>
      </c>
    </row>
    <row r="776" spans="1:6" ht="39" thickBot="1" x14ac:dyDescent="0.35">
      <c r="A776" s="13" t="s">
        <v>78</v>
      </c>
      <c r="B776" s="2">
        <v>10502</v>
      </c>
    </row>
    <row r="777" spans="1:6" ht="25.5" x14ac:dyDescent="0.3">
      <c r="A777" s="14" t="s">
        <v>79</v>
      </c>
      <c r="B777" s="2">
        <v>4400013.37</v>
      </c>
    </row>
    <row r="778" spans="1:6" ht="17.25" thickBot="1" x14ac:dyDescent="0.35"/>
    <row r="779" spans="1:6" ht="33" customHeight="1" x14ac:dyDescent="0.3">
      <c r="A779" s="24" t="s">
        <v>80</v>
      </c>
      <c r="B779" s="26"/>
    </row>
    <row r="780" spans="1:6" ht="33.75" thickBot="1" x14ac:dyDescent="0.35">
      <c r="A780" s="13" t="s">
        <v>81</v>
      </c>
      <c r="B780" s="2" t="s">
        <v>82</v>
      </c>
    </row>
    <row r="781" spans="1:6" ht="25.5" x14ac:dyDescent="0.3">
      <c r="A781" s="14" t="s">
        <v>83</v>
      </c>
      <c r="B781" s="2" t="s">
        <v>84</v>
      </c>
    </row>
    <row r="782" spans="1:6" ht="17.25" thickBot="1" x14ac:dyDescent="0.35"/>
    <row r="783" spans="1:6" ht="16.5" customHeight="1" x14ac:dyDescent="0.3">
      <c r="A783" s="24" t="s">
        <v>130</v>
      </c>
      <c r="B783" s="26"/>
      <c r="C783" s="26"/>
      <c r="D783" s="26"/>
      <c r="E783" s="26"/>
      <c r="F783" s="26"/>
    </row>
    <row r="784" spans="1:6" x14ac:dyDescent="0.3">
      <c r="A784" s="25" t="s">
        <v>131</v>
      </c>
      <c r="B784" s="27" t="s">
        <v>46</v>
      </c>
      <c r="C784" s="27" t="s">
        <v>132</v>
      </c>
      <c r="D784" s="3" t="s">
        <v>133</v>
      </c>
      <c r="E784" s="27" t="s">
        <v>135</v>
      </c>
      <c r="F784" s="27"/>
    </row>
    <row r="785" spans="1:8" x14ac:dyDescent="0.3">
      <c r="A785" s="25"/>
      <c r="B785" s="27"/>
      <c r="C785" s="27"/>
      <c r="D785" s="3" t="s">
        <v>134</v>
      </c>
      <c r="E785" s="27"/>
      <c r="F785" s="27"/>
    </row>
    <row r="786" spans="1:8" ht="17.25" thickBot="1" x14ac:dyDescent="0.35">
      <c r="A786" s="13" t="s">
        <v>66</v>
      </c>
      <c r="B786" s="2">
        <v>10502</v>
      </c>
      <c r="C786" s="2">
        <v>8.5408810000000006</v>
      </c>
      <c r="D786" s="2">
        <v>8.9239999999999996E-3</v>
      </c>
      <c r="E786" s="2">
        <v>8.5233413999999996</v>
      </c>
      <c r="F786" s="2">
        <v>8.5584205000000004</v>
      </c>
      <c r="H786" s="8" t="str">
        <f t="shared" ref="H786:H789" si="32">TEXT(C786,"0.00")&amp;" ("&amp;TEXT(E786,"0.00")&amp;" to "&amp;TEXT(F786,"0.00")&amp;")"</f>
        <v>8.54 (8.52 to 8.56)</v>
      </c>
    </row>
    <row r="787" spans="1:8" ht="17.25" thickBot="1" x14ac:dyDescent="0.35">
      <c r="A787" s="13" t="s">
        <v>67</v>
      </c>
      <c r="B787" s="2">
        <v>10502</v>
      </c>
      <c r="C787" s="2">
        <v>0.65311699999999995</v>
      </c>
      <c r="D787" s="2">
        <v>1.0790000000000001E-3</v>
      </c>
      <c r="E787" s="2">
        <v>0.65099689999999999</v>
      </c>
      <c r="F787" s="2">
        <v>0.65523690000000001</v>
      </c>
      <c r="H787" s="8" t="str">
        <f t="shared" si="32"/>
        <v>0.65 (0.65 to 0.66)</v>
      </c>
    </row>
    <row r="788" spans="1:8" ht="17.25" thickBot="1" x14ac:dyDescent="0.35">
      <c r="A788" s="13" t="s">
        <v>68</v>
      </c>
      <c r="B788" s="2">
        <v>10502</v>
      </c>
      <c r="C788" s="2">
        <v>0.349304</v>
      </c>
      <c r="D788" s="2">
        <v>4.1529999999999996E-3</v>
      </c>
      <c r="E788" s="2">
        <v>0.34114119999999998</v>
      </c>
      <c r="F788" s="2">
        <v>0.3574677</v>
      </c>
      <c r="H788" s="8" t="str">
        <f t="shared" si="32"/>
        <v>0.35 (0.34 to 0.36)</v>
      </c>
    </row>
    <row r="789" spans="1:8" x14ac:dyDescent="0.3">
      <c r="A789" s="14" t="s">
        <v>69</v>
      </c>
      <c r="B789" s="2">
        <v>10502</v>
      </c>
      <c r="C789" s="2">
        <v>35.361533000000001</v>
      </c>
      <c r="D789" s="2">
        <v>9.6397999999999998E-2</v>
      </c>
      <c r="E789" s="2">
        <v>35.172071199999998</v>
      </c>
      <c r="F789" s="2">
        <v>35.5509944</v>
      </c>
      <c r="H789" s="8" t="str">
        <f t="shared" si="32"/>
        <v>35.36 (35.17 to 35.55)</v>
      </c>
    </row>
    <row r="793" spans="1:8" x14ac:dyDescent="0.3">
      <c r="A793" s="1" t="s">
        <v>129</v>
      </c>
    </row>
    <row r="795" spans="1:8" x14ac:dyDescent="0.3">
      <c r="A795" s="1" t="s">
        <v>175</v>
      </c>
    </row>
    <row r="796" spans="1:8" ht="17.25" thickBot="1" x14ac:dyDescent="0.35"/>
    <row r="797" spans="1:8" ht="16.5" customHeight="1" x14ac:dyDescent="0.3">
      <c r="A797" s="24" t="s">
        <v>75</v>
      </c>
      <c r="B797" s="26"/>
    </row>
    <row r="798" spans="1:8" ht="26.25" thickBot="1" x14ac:dyDescent="0.35">
      <c r="A798" s="13" t="s">
        <v>76</v>
      </c>
      <c r="B798" s="2">
        <v>18</v>
      </c>
    </row>
    <row r="799" spans="1:8" ht="26.25" thickBot="1" x14ac:dyDescent="0.35">
      <c r="A799" s="13" t="s">
        <v>77</v>
      </c>
      <c r="B799" s="2">
        <v>115</v>
      </c>
    </row>
    <row r="800" spans="1:8" ht="39" thickBot="1" x14ac:dyDescent="0.35">
      <c r="A800" s="13" t="s">
        <v>78</v>
      </c>
      <c r="B800" s="2">
        <v>2614</v>
      </c>
    </row>
    <row r="801" spans="1:8" ht="25.5" x14ac:dyDescent="0.3">
      <c r="A801" s="14" t="s">
        <v>79</v>
      </c>
      <c r="B801" s="2">
        <v>1060651.57</v>
      </c>
    </row>
    <row r="802" spans="1:8" ht="17.25" thickBot="1" x14ac:dyDescent="0.35"/>
    <row r="803" spans="1:8" ht="33" customHeight="1" x14ac:dyDescent="0.3">
      <c r="A803" s="24" t="s">
        <v>80</v>
      </c>
      <c r="B803" s="26"/>
    </row>
    <row r="804" spans="1:8" ht="33.75" thickBot="1" x14ac:dyDescent="0.35">
      <c r="A804" s="13" t="s">
        <v>81</v>
      </c>
      <c r="B804" s="2" t="s">
        <v>82</v>
      </c>
    </row>
    <row r="805" spans="1:8" ht="25.5" x14ac:dyDescent="0.3">
      <c r="A805" s="14" t="s">
        <v>83</v>
      </c>
      <c r="B805" s="2" t="s">
        <v>84</v>
      </c>
    </row>
    <row r="806" spans="1:8" ht="17.25" thickBot="1" x14ac:dyDescent="0.35"/>
    <row r="807" spans="1:8" ht="16.5" customHeight="1" x14ac:dyDescent="0.3">
      <c r="A807" s="24" t="s">
        <v>130</v>
      </c>
      <c r="B807" s="26"/>
      <c r="C807" s="26"/>
      <c r="D807" s="26"/>
      <c r="E807" s="26"/>
      <c r="F807" s="26"/>
    </row>
    <row r="808" spans="1:8" x14ac:dyDescent="0.3">
      <c r="A808" s="25" t="s">
        <v>131</v>
      </c>
      <c r="B808" s="27" t="s">
        <v>46</v>
      </c>
      <c r="C808" s="27" t="s">
        <v>132</v>
      </c>
      <c r="D808" s="3" t="s">
        <v>133</v>
      </c>
      <c r="E808" s="27" t="s">
        <v>135</v>
      </c>
      <c r="F808" s="27"/>
    </row>
    <row r="809" spans="1:8" x14ac:dyDescent="0.3">
      <c r="A809" s="25"/>
      <c r="B809" s="27"/>
      <c r="C809" s="27"/>
      <c r="D809" s="3" t="s">
        <v>134</v>
      </c>
      <c r="E809" s="27"/>
      <c r="F809" s="27"/>
    </row>
    <row r="810" spans="1:8" ht="17.25" thickBot="1" x14ac:dyDescent="0.35">
      <c r="A810" s="13" t="s">
        <v>66</v>
      </c>
      <c r="B810" s="2">
        <v>2614</v>
      </c>
      <c r="C810" s="2">
        <v>8.6369179999999997</v>
      </c>
      <c r="D810" s="2">
        <v>1.8312999999999999E-2</v>
      </c>
      <c r="E810" s="2">
        <v>8.6005705999999993</v>
      </c>
      <c r="F810" s="2">
        <v>8.6732644000000008</v>
      </c>
      <c r="H810" s="8" t="str">
        <f t="shared" ref="H810:H813" si="33">TEXT(C810,"0.00")&amp;" ("&amp;TEXT(E810,"0.00")&amp;" to "&amp;TEXT(F810,"0.00")&amp;")"</f>
        <v>8.64 (8.60 to 8.67)</v>
      </c>
    </row>
    <row r="811" spans="1:8" ht="17.25" thickBot="1" x14ac:dyDescent="0.35">
      <c r="A811" s="13" t="s">
        <v>67</v>
      </c>
      <c r="B811" s="2">
        <v>2614</v>
      </c>
      <c r="C811" s="2">
        <v>0.67651700000000003</v>
      </c>
      <c r="D811" s="2">
        <v>2.3479999999999998E-3</v>
      </c>
      <c r="E811" s="2">
        <v>0.67185649999999997</v>
      </c>
      <c r="F811" s="2">
        <v>0.68117799999999995</v>
      </c>
      <c r="H811" s="8" t="str">
        <f t="shared" si="33"/>
        <v>0.68 (0.67 to 0.68)</v>
      </c>
    </row>
    <row r="812" spans="1:8" ht="17.25" thickBot="1" x14ac:dyDescent="0.35">
      <c r="A812" s="13" t="s">
        <v>68</v>
      </c>
      <c r="B812" s="2">
        <v>2614</v>
      </c>
      <c r="C812" s="2">
        <v>0.38755000000000001</v>
      </c>
      <c r="D812" s="2">
        <v>8.796E-3</v>
      </c>
      <c r="E812" s="2">
        <v>0.37009189999999997</v>
      </c>
      <c r="F812" s="2">
        <v>0.40500910000000001</v>
      </c>
      <c r="H812" s="8" t="str">
        <f t="shared" si="33"/>
        <v>0.39 (0.37 to 0.41)</v>
      </c>
    </row>
    <row r="813" spans="1:8" x14ac:dyDescent="0.3">
      <c r="A813" s="14" t="s">
        <v>69</v>
      </c>
      <c r="B813" s="2">
        <v>2614</v>
      </c>
      <c r="C813" s="2">
        <v>36.320720000000001</v>
      </c>
      <c r="D813" s="2">
        <v>0.23763600000000001</v>
      </c>
      <c r="E813" s="2">
        <v>35.8490781</v>
      </c>
      <c r="F813" s="2">
        <v>36.792362300000001</v>
      </c>
      <c r="H813" s="8" t="str">
        <f t="shared" si="33"/>
        <v>36.32 (35.85 to 36.79)</v>
      </c>
    </row>
    <row r="817" spans="1:6" x14ac:dyDescent="0.3">
      <c r="A817" s="1" t="s">
        <v>129</v>
      </c>
    </row>
    <row r="819" spans="1:6" x14ac:dyDescent="0.3">
      <c r="A819" s="1" t="s">
        <v>176</v>
      </c>
    </row>
    <row r="820" spans="1:6" ht="17.25" thickBot="1" x14ac:dyDescent="0.35"/>
    <row r="821" spans="1:6" ht="16.5" customHeight="1" x14ac:dyDescent="0.3">
      <c r="A821" s="24" t="s">
        <v>75</v>
      </c>
      <c r="B821" s="26"/>
    </row>
    <row r="822" spans="1:6" ht="26.25" thickBot="1" x14ac:dyDescent="0.35">
      <c r="A822" s="13" t="s">
        <v>76</v>
      </c>
      <c r="B822" s="2">
        <v>25</v>
      </c>
    </row>
    <row r="823" spans="1:6" ht="26.25" thickBot="1" x14ac:dyDescent="0.35">
      <c r="A823" s="13" t="s">
        <v>77</v>
      </c>
      <c r="B823" s="2">
        <v>465</v>
      </c>
    </row>
    <row r="824" spans="1:6" ht="39" thickBot="1" x14ac:dyDescent="0.35">
      <c r="A824" s="13" t="s">
        <v>78</v>
      </c>
      <c r="B824" s="2">
        <v>9470</v>
      </c>
    </row>
    <row r="825" spans="1:6" ht="25.5" x14ac:dyDescent="0.3">
      <c r="A825" s="14" t="s">
        <v>79</v>
      </c>
      <c r="B825" s="2">
        <v>4533700.71</v>
      </c>
    </row>
    <row r="826" spans="1:6" ht="17.25" thickBot="1" x14ac:dyDescent="0.35"/>
    <row r="827" spans="1:6" ht="33" customHeight="1" x14ac:dyDescent="0.3">
      <c r="A827" s="24" t="s">
        <v>80</v>
      </c>
      <c r="B827" s="26"/>
    </row>
    <row r="828" spans="1:6" ht="33.75" thickBot="1" x14ac:dyDescent="0.35">
      <c r="A828" s="13" t="s">
        <v>81</v>
      </c>
      <c r="B828" s="2" t="s">
        <v>82</v>
      </c>
    </row>
    <row r="829" spans="1:6" ht="25.5" x14ac:dyDescent="0.3">
      <c r="A829" s="14" t="s">
        <v>83</v>
      </c>
      <c r="B829" s="2" t="s">
        <v>84</v>
      </c>
    </row>
    <row r="830" spans="1:6" ht="17.25" thickBot="1" x14ac:dyDescent="0.35"/>
    <row r="831" spans="1:6" ht="16.5" customHeight="1" x14ac:dyDescent="0.3">
      <c r="A831" s="24" t="s">
        <v>130</v>
      </c>
      <c r="B831" s="26"/>
      <c r="C831" s="26"/>
      <c r="D831" s="26"/>
      <c r="E831" s="26"/>
      <c r="F831" s="26"/>
    </row>
    <row r="832" spans="1:6" x14ac:dyDescent="0.3">
      <c r="A832" s="25" t="s">
        <v>131</v>
      </c>
      <c r="B832" s="27" t="s">
        <v>46</v>
      </c>
      <c r="C832" s="27" t="s">
        <v>132</v>
      </c>
      <c r="D832" s="3" t="s">
        <v>133</v>
      </c>
      <c r="E832" s="27" t="s">
        <v>135</v>
      </c>
      <c r="F832" s="27"/>
    </row>
    <row r="833" spans="1:8" x14ac:dyDescent="0.3">
      <c r="A833" s="25"/>
      <c r="B833" s="27"/>
      <c r="C833" s="27"/>
      <c r="D833" s="3" t="s">
        <v>134</v>
      </c>
      <c r="E833" s="27"/>
      <c r="F833" s="27"/>
    </row>
    <row r="834" spans="1:8" ht="17.25" thickBot="1" x14ac:dyDescent="0.35">
      <c r="A834" s="13" t="s">
        <v>66</v>
      </c>
      <c r="B834" s="2">
        <v>9470</v>
      </c>
      <c r="C834" s="2">
        <v>8.5662249999999993</v>
      </c>
      <c r="D834" s="2">
        <v>8.7340000000000004E-3</v>
      </c>
      <c r="E834" s="2">
        <v>8.5490584999999992</v>
      </c>
      <c r="F834" s="2">
        <v>8.5833913000000006</v>
      </c>
      <c r="H834" s="8" t="str">
        <f t="shared" ref="H834:H837" si="34">TEXT(C834,"0.00")&amp;" ("&amp;TEXT(E834,"0.00")&amp;" to "&amp;TEXT(F834,"0.00")&amp;")"</f>
        <v>8.57 (8.55 to 8.58)</v>
      </c>
    </row>
    <row r="835" spans="1:8" ht="17.25" thickBot="1" x14ac:dyDescent="0.35">
      <c r="A835" s="13" t="s">
        <v>67</v>
      </c>
      <c r="B835" s="2">
        <v>9470</v>
      </c>
      <c r="C835" s="2">
        <v>0.65593900000000005</v>
      </c>
      <c r="D835" s="2">
        <v>1.1130000000000001E-3</v>
      </c>
      <c r="E835" s="2">
        <v>0.65375090000000002</v>
      </c>
      <c r="F835" s="2">
        <v>0.65812709999999996</v>
      </c>
      <c r="H835" s="8" t="str">
        <f t="shared" si="34"/>
        <v>0.66 (0.65 to 0.66)</v>
      </c>
    </row>
    <row r="836" spans="1:8" ht="17.25" thickBot="1" x14ac:dyDescent="0.35">
      <c r="A836" s="13" t="s">
        <v>68</v>
      </c>
      <c r="B836" s="2">
        <v>9470</v>
      </c>
      <c r="C836" s="2">
        <v>0.33817900000000001</v>
      </c>
      <c r="D836" s="2">
        <v>4.052E-3</v>
      </c>
      <c r="E836" s="2">
        <v>0.33021499999999998</v>
      </c>
      <c r="F836" s="2">
        <v>0.3461438</v>
      </c>
      <c r="H836" s="8" t="str">
        <f t="shared" si="34"/>
        <v>0.34 (0.33 to 0.35)</v>
      </c>
    </row>
    <row r="837" spans="1:8" x14ac:dyDescent="0.3">
      <c r="A837" s="14" t="s">
        <v>69</v>
      </c>
      <c r="B837" s="2">
        <v>9470</v>
      </c>
      <c r="C837" s="2">
        <v>35.182872000000003</v>
      </c>
      <c r="D837" s="2">
        <v>8.9866000000000001E-2</v>
      </c>
      <c r="E837" s="2">
        <v>35.006251300000002</v>
      </c>
      <c r="F837" s="2">
        <v>35.359491800000001</v>
      </c>
      <c r="H837" s="8" t="str">
        <f t="shared" si="34"/>
        <v>35.18 (35.01 to 35.36)</v>
      </c>
    </row>
    <row r="841" spans="1:8" x14ac:dyDescent="0.3">
      <c r="A841" s="1" t="s">
        <v>129</v>
      </c>
    </row>
    <row r="843" spans="1:8" x14ac:dyDescent="0.3">
      <c r="A843" s="1" t="s">
        <v>177</v>
      </c>
    </row>
    <row r="844" spans="1:8" ht="17.25" thickBot="1" x14ac:dyDescent="0.35"/>
    <row r="845" spans="1:8" ht="16.5" customHeight="1" x14ac:dyDescent="0.3">
      <c r="A845" s="24" t="s">
        <v>75</v>
      </c>
      <c r="B845" s="26"/>
    </row>
    <row r="846" spans="1:8" ht="26.25" thickBot="1" x14ac:dyDescent="0.35">
      <c r="A846" s="13" t="s">
        <v>76</v>
      </c>
      <c r="B846" s="2">
        <v>19</v>
      </c>
    </row>
    <row r="847" spans="1:8" ht="26.25" thickBot="1" x14ac:dyDescent="0.35">
      <c r="A847" s="13" t="s">
        <v>77</v>
      </c>
      <c r="B847" s="2">
        <v>111</v>
      </c>
    </row>
    <row r="848" spans="1:8" ht="39" thickBot="1" x14ac:dyDescent="0.35">
      <c r="A848" s="13" t="s">
        <v>78</v>
      </c>
      <c r="B848" s="2">
        <v>2005</v>
      </c>
    </row>
    <row r="849" spans="1:8" ht="25.5" x14ac:dyDescent="0.3">
      <c r="A849" s="14" t="s">
        <v>79</v>
      </c>
      <c r="B849" s="2">
        <v>860828.31</v>
      </c>
    </row>
    <row r="850" spans="1:8" ht="17.25" thickBot="1" x14ac:dyDescent="0.35"/>
    <row r="851" spans="1:8" ht="33" customHeight="1" x14ac:dyDescent="0.3">
      <c r="A851" s="24" t="s">
        <v>80</v>
      </c>
      <c r="B851" s="26"/>
    </row>
    <row r="852" spans="1:8" ht="33.75" thickBot="1" x14ac:dyDescent="0.35">
      <c r="A852" s="13" t="s">
        <v>81</v>
      </c>
      <c r="B852" s="2" t="s">
        <v>82</v>
      </c>
    </row>
    <row r="853" spans="1:8" ht="25.5" x14ac:dyDescent="0.3">
      <c r="A853" s="14" t="s">
        <v>83</v>
      </c>
      <c r="B853" s="2" t="s">
        <v>84</v>
      </c>
    </row>
    <row r="854" spans="1:8" ht="17.25" thickBot="1" x14ac:dyDescent="0.35"/>
    <row r="855" spans="1:8" ht="16.5" customHeight="1" x14ac:dyDescent="0.3">
      <c r="A855" s="24" t="s">
        <v>130</v>
      </c>
      <c r="B855" s="26"/>
      <c r="C855" s="26"/>
      <c r="D855" s="26"/>
      <c r="E855" s="26"/>
      <c r="F855" s="26"/>
    </row>
    <row r="856" spans="1:8" x14ac:dyDescent="0.3">
      <c r="A856" s="25" t="s">
        <v>131</v>
      </c>
      <c r="B856" s="27" t="s">
        <v>46</v>
      </c>
      <c r="C856" s="27" t="s">
        <v>132</v>
      </c>
      <c r="D856" s="3" t="s">
        <v>133</v>
      </c>
      <c r="E856" s="27" t="s">
        <v>135</v>
      </c>
      <c r="F856" s="27"/>
    </row>
    <row r="857" spans="1:8" x14ac:dyDescent="0.3">
      <c r="A857" s="25"/>
      <c r="B857" s="27"/>
      <c r="C857" s="27"/>
      <c r="D857" s="3" t="s">
        <v>134</v>
      </c>
      <c r="E857" s="27"/>
      <c r="F857" s="27"/>
    </row>
    <row r="858" spans="1:8" ht="17.25" thickBot="1" x14ac:dyDescent="0.35">
      <c r="A858" s="13" t="s">
        <v>66</v>
      </c>
      <c r="B858" s="2">
        <v>2005</v>
      </c>
      <c r="C858" s="2">
        <v>8.7092770000000002</v>
      </c>
      <c r="D858" s="2">
        <v>2.0715000000000001E-2</v>
      </c>
      <c r="E858" s="2">
        <v>8.6681357999999999</v>
      </c>
      <c r="F858" s="2">
        <v>8.7504183999999992</v>
      </c>
      <c r="H858" s="8" t="str">
        <f t="shared" ref="H858:H861" si="35">TEXT(C858,"0.00")&amp;" ("&amp;TEXT(E858,"0.00")&amp;" to "&amp;TEXT(F858,"0.00")&amp;")"</f>
        <v>8.71 (8.67 to 8.75)</v>
      </c>
    </row>
    <row r="859" spans="1:8" ht="17.25" thickBot="1" x14ac:dyDescent="0.35">
      <c r="A859" s="13" t="s">
        <v>67</v>
      </c>
      <c r="B859" s="2">
        <v>2005</v>
      </c>
      <c r="C859" s="2">
        <v>0.67475499999999999</v>
      </c>
      <c r="D859" s="2">
        <v>2.797E-3</v>
      </c>
      <c r="E859" s="2">
        <v>0.66919879999999998</v>
      </c>
      <c r="F859" s="2">
        <v>0.68031019999999998</v>
      </c>
      <c r="H859" s="8" t="str">
        <f t="shared" si="35"/>
        <v>0.67 (0.67 to 0.68)</v>
      </c>
    </row>
    <row r="860" spans="1:8" ht="17.25" thickBot="1" x14ac:dyDescent="0.35">
      <c r="A860" s="13" t="s">
        <v>68</v>
      </c>
      <c r="B860" s="2">
        <v>2005</v>
      </c>
      <c r="C860" s="2">
        <v>0.40228900000000001</v>
      </c>
      <c r="D860" s="2">
        <v>9.6480000000000003E-3</v>
      </c>
      <c r="E860" s="2">
        <v>0.38312740000000001</v>
      </c>
      <c r="F860" s="2">
        <v>0.42144999999999999</v>
      </c>
      <c r="H860" s="8" t="str">
        <f t="shared" si="35"/>
        <v>0.40 (0.38 to 0.42)</v>
      </c>
    </row>
    <row r="861" spans="1:8" x14ac:dyDescent="0.3">
      <c r="A861" s="14" t="s">
        <v>69</v>
      </c>
      <c r="B861" s="2">
        <v>2005</v>
      </c>
      <c r="C861" s="2">
        <v>36.477922999999997</v>
      </c>
      <c r="D861" s="2">
        <v>0.20954200000000001</v>
      </c>
      <c r="E861" s="2">
        <v>36.061753400000001</v>
      </c>
      <c r="F861" s="2">
        <v>36.894091799999998</v>
      </c>
      <c r="H861" s="8" t="str">
        <f t="shared" si="35"/>
        <v>36.48 (36.06 to 36.89)</v>
      </c>
    </row>
    <row r="865" spans="1:6" x14ac:dyDescent="0.3">
      <c r="A865" s="1" t="s">
        <v>129</v>
      </c>
    </row>
    <row r="867" spans="1:6" x14ac:dyDescent="0.3">
      <c r="A867" s="1" t="s">
        <v>178</v>
      </c>
    </row>
    <row r="868" spans="1:6" ht="17.25" thickBot="1" x14ac:dyDescent="0.35"/>
    <row r="869" spans="1:6" ht="16.5" customHeight="1" x14ac:dyDescent="0.3">
      <c r="A869" s="24" t="s">
        <v>75</v>
      </c>
      <c r="B869" s="26"/>
    </row>
    <row r="870" spans="1:6" ht="26.25" thickBot="1" x14ac:dyDescent="0.35">
      <c r="A870" s="13" t="s">
        <v>76</v>
      </c>
      <c r="B870" s="2">
        <v>52</v>
      </c>
    </row>
    <row r="871" spans="1:6" ht="26.25" thickBot="1" x14ac:dyDescent="0.35">
      <c r="A871" s="13" t="s">
        <v>77</v>
      </c>
      <c r="B871" s="2">
        <v>468</v>
      </c>
    </row>
    <row r="872" spans="1:6" ht="39" thickBot="1" x14ac:dyDescent="0.35">
      <c r="A872" s="13" t="s">
        <v>78</v>
      </c>
      <c r="B872" s="2">
        <v>11734</v>
      </c>
    </row>
    <row r="873" spans="1:6" ht="25.5" x14ac:dyDescent="0.3">
      <c r="A873" s="14" t="s">
        <v>79</v>
      </c>
      <c r="B873" s="2">
        <v>5456500.1399999997</v>
      </c>
    </row>
    <row r="874" spans="1:6" ht="17.25" thickBot="1" x14ac:dyDescent="0.35"/>
    <row r="875" spans="1:6" ht="33" customHeight="1" x14ac:dyDescent="0.3">
      <c r="A875" s="24" t="s">
        <v>80</v>
      </c>
      <c r="B875" s="26"/>
    </row>
    <row r="876" spans="1:6" ht="33.75" thickBot="1" x14ac:dyDescent="0.35">
      <c r="A876" s="13" t="s">
        <v>81</v>
      </c>
      <c r="B876" s="2" t="s">
        <v>82</v>
      </c>
    </row>
    <row r="877" spans="1:6" ht="25.5" x14ac:dyDescent="0.3">
      <c r="A877" s="14" t="s">
        <v>83</v>
      </c>
      <c r="B877" s="2" t="s">
        <v>84</v>
      </c>
    </row>
    <row r="878" spans="1:6" ht="17.25" thickBot="1" x14ac:dyDescent="0.35"/>
    <row r="879" spans="1:6" ht="16.5" customHeight="1" x14ac:dyDescent="0.3">
      <c r="A879" s="24" t="s">
        <v>130</v>
      </c>
      <c r="B879" s="26"/>
      <c r="C879" s="26"/>
      <c r="D879" s="26"/>
      <c r="E879" s="26"/>
      <c r="F879" s="26"/>
    </row>
    <row r="880" spans="1:6" x14ac:dyDescent="0.3">
      <c r="A880" s="25" t="s">
        <v>131</v>
      </c>
      <c r="B880" s="27" t="s">
        <v>46</v>
      </c>
      <c r="C880" s="27" t="s">
        <v>132</v>
      </c>
      <c r="D880" s="3" t="s">
        <v>133</v>
      </c>
      <c r="E880" s="27" t="s">
        <v>135</v>
      </c>
      <c r="F880" s="27"/>
    </row>
    <row r="881" spans="1:8" x14ac:dyDescent="0.3">
      <c r="A881" s="25"/>
      <c r="B881" s="27"/>
      <c r="C881" s="27"/>
      <c r="D881" s="3" t="s">
        <v>134</v>
      </c>
      <c r="E881" s="27"/>
      <c r="F881" s="27"/>
    </row>
    <row r="882" spans="1:8" ht="17.25" thickBot="1" x14ac:dyDescent="0.35">
      <c r="A882" s="13" t="s">
        <v>66</v>
      </c>
      <c r="B882" s="2">
        <v>11734</v>
      </c>
      <c r="C882" s="2">
        <v>8.5983909999999995</v>
      </c>
      <c r="D882" s="2">
        <v>8.1510000000000003E-3</v>
      </c>
      <c r="E882" s="2">
        <v>8.5823683000000006</v>
      </c>
      <c r="F882" s="2">
        <v>8.614414</v>
      </c>
      <c r="H882" s="8" t="str">
        <f t="shared" ref="H882:H885" si="36">TEXT(C882,"0.00")&amp;" ("&amp;TEXT(E882,"0.00")&amp;" to "&amp;TEXT(F882,"0.00")&amp;")"</f>
        <v>8.60 (8.58 to 8.61)</v>
      </c>
    </row>
    <row r="883" spans="1:8" ht="17.25" thickBot="1" x14ac:dyDescent="0.35">
      <c r="A883" s="13" t="s">
        <v>67</v>
      </c>
      <c r="B883" s="2">
        <v>11734</v>
      </c>
      <c r="C883" s="2">
        <v>0.66236799999999996</v>
      </c>
      <c r="D883" s="2">
        <v>1.0449999999999999E-3</v>
      </c>
      <c r="E883" s="2">
        <v>0.66031410000000001</v>
      </c>
      <c r="F883" s="2">
        <v>0.66442270000000003</v>
      </c>
      <c r="H883" s="8" t="str">
        <f t="shared" si="36"/>
        <v>0.66 (0.66 to 0.66)</v>
      </c>
    </row>
    <row r="884" spans="1:8" ht="17.25" thickBot="1" x14ac:dyDescent="0.35">
      <c r="A884" s="13" t="s">
        <v>68</v>
      </c>
      <c r="B884" s="2">
        <v>11734</v>
      </c>
      <c r="C884" s="2">
        <v>0.348825</v>
      </c>
      <c r="D884" s="2">
        <v>4.0029999999999996E-3</v>
      </c>
      <c r="E884" s="2">
        <v>0.3409567</v>
      </c>
      <c r="F884" s="2">
        <v>0.35669269999999997</v>
      </c>
      <c r="H884" s="8" t="str">
        <f t="shared" si="36"/>
        <v>0.35 (0.34 to 0.36)</v>
      </c>
    </row>
    <row r="885" spans="1:8" x14ac:dyDescent="0.3">
      <c r="A885" s="14" t="s">
        <v>69</v>
      </c>
      <c r="B885" s="2">
        <v>11734</v>
      </c>
      <c r="C885" s="2">
        <v>35.585102999999997</v>
      </c>
      <c r="D885" s="2">
        <v>8.8503999999999999E-2</v>
      </c>
      <c r="E885" s="2">
        <v>35.411133</v>
      </c>
      <c r="F885" s="2">
        <v>35.759073899999997</v>
      </c>
      <c r="H885" s="8" t="str">
        <f t="shared" si="36"/>
        <v>35.59 (35.41 to 35.76)</v>
      </c>
    </row>
    <row r="889" spans="1:8" x14ac:dyDescent="0.3">
      <c r="A889" s="1" t="s">
        <v>129</v>
      </c>
    </row>
    <row r="891" spans="1:8" x14ac:dyDescent="0.3">
      <c r="A891" s="1" t="s">
        <v>179</v>
      </c>
    </row>
    <row r="892" spans="1:8" ht="17.25" thickBot="1" x14ac:dyDescent="0.35"/>
    <row r="893" spans="1:8" ht="16.5" customHeight="1" x14ac:dyDescent="0.3">
      <c r="A893" s="24" t="s">
        <v>75</v>
      </c>
      <c r="B893" s="26"/>
    </row>
    <row r="894" spans="1:8" ht="26.25" thickBot="1" x14ac:dyDescent="0.35">
      <c r="A894" s="13" t="s">
        <v>76</v>
      </c>
      <c r="B894" s="2">
        <v>38</v>
      </c>
    </row>
    <row r="895" spans="1:8" ht="26.25" thickBot="1" x14ac:dyDescent="0.35">
      <c r="A895" s="13" t="s">
        <v>77</v>
      </c>
      <c r="B895" s="2">
        <v>108</v>
      </c>
    </row>
    <row r="896" spans="1:8" ht="39" thickBot="1" x14ac:dyDescent="0.35">
      <c r="A896" s="13" t="s">
        <v>78</v>
      </c>
      <c r="B896" s="2">
        <v>2424</v>
      </c>
    </row>
    <row r="897" spans="1:8" ht="25.5" x14ac:dyDescent="0.3">
      <c r="A897" s="14" t="s">
        <v>79</v>
      </c>
      <c r="B897" s="2">
        <v>864460.37100000004</v>
      </c>
    </row>
    <row r="898" spans="1:8" ht="17.25" thickBot="1" x14ac:dyDescent="0.35"/>
    <row r="899" spans="1:8" ht="33" customHeight="1" x14ac:dyDescent="0.3">
      <c r="A899" s="24" t="s">
        <v>80</v>
      </c>
      <c r="B899" s="26"/>
    </row>
    <row r="900" spans="1:8" ht="33.75" thickBot="1" x14ac:dyDescent="0.35">
      <c r="A900" s="13" t="s">
        <v>81</v>
      </c>
      <c r="B900" s="2" t="s">
        <v>82</v>
      </c>
    </row>
    <row r="901" spans="1:8" ht="25.5" x14ac:dyDescent="0.3">
      <c r="A901" s="14" t="s">
        <v>83</v>
      </c>
      <c r="B901" s="2" t="s">
        <v>84</v>
      </c>
    </row>
    <row r="902" spans="1:8" ht="17.25" thickBot="1" x14ac:dyDescent="0.35"/>
    <row r="903" spans="1:8" ht="16.5" customHeight="1" x14ac:dyDescent="0.3">
      <c r="A903" s="24" t="s">
        <v>130</v>
      </c>
      <c r="B903" s="26"/>
      <c r="C903" s="26"/>
      <c r="D903" s="26"/>
      <c r="E903" s="26"/>
      <c r="F903" s="26"/>
    </row>
    <row r="904" spans="1:8" x14ac:dyDescent="0.3">
      <c r="A904" s="25" t="s">
        <v>131</v>
      </c>
      <c r="B904" s="27" t="s">
        <v>46</v>
      </c>
      <c r="C904" s="27" t="s">
        <v>132</v>
      </c>
      <c r="D904" s="3" t="s">
        <v>133</v>
      </c>
      <c r="E904" s="27" t="s">
        <v>135</v>
      </c>
      <c r="F904" s="27"/>
    </row>
    <row r="905" spans="1:8" x14ac:dyDescent="0.3">
      <c r="A905" s="25"/>
      <c r="B905" s="27"/>
      <c r="C905" s="27"/>
      <c r="D905" s="3" t="s">
        <v>134</v>
      </c>
      <c r="E905" s="27"/>
      <c r="F905" s="27"/>
    </row>
    <row r="906" spans="1:8" ht="17.25" thickBot="1" x14ac:dyDescent="0.35">
      <c r="A906" s="13" t="s">
        <v>66</v>
      </c>
      <c r="B906" s="2">
        <v>2424</v>
      </c>
      <c r="C906" s="2">
        <v>8.6810419999999997</v>
      </c>
      <c r="D906" s="2">
        <v>2.0503E-2</v>
      </c>
      <c r="E906" s="2">
        <v>8.6401512999999994</v>
      </c>
      <c r="F906" s="2">
        <v>8.7219333999999993</v>
      </c>
      <c r="H906" s="8" t="str">
        <f t="shared" ref="H906:H909" si="37">TEXT(C906,"0.00")&amp;" ("&amp;TEXT(E906,"0.00")&amp;" to "&amp;TEXT(F906,"0.00")&amp;")"</f>
        <v>8.68 (8.64 to 8.72)</v>
      </c>
    </row>
    <row r="907" spans="1:8" ht="17.25" thickBot="1" x14ac:dyDescent="0.35">
      <c r="A907" s="13" t="s">
        <v>67</v>
      </c>
      <c r="B907" s="2">
        <v>2424</v>
      </c>
      <c r="C907" s="2">
        <v>0.67828699999999997</v>
      </c>
      <c r="D907" s="2">
        <v>2.614E-3</v>
      </c>
      <c r="E907" s="2">
        <v>0.67307280000000003</v>
      </c>
      <c r="F907" s="2">
        <v>0.68350100000000003</v>
      </c>
      <c r="H907" s="8" t="str">
        <f t="shared" si="37"/>
        <v>0.68 (0.67 to 0.68)</v>
      </c>
    </row>
    <row r="908" spans="1:8" ht="17.25" thickBot="1" x14ac:dyDescent="0.35">
      <c r="A908" s="13" t="s">
        <v>68</v>
      </c>
      <c r="B908" s="2">
        <v>2424</v>
      </c>
      <c r="C908" s="2">
        <v>0.37915500000000002</v>
      </c>
      <c r="D908" s="2">
        <v>9.4629999999999992E-3</v>
      </c>
      <c r="E908" s="2">
        <v>0.36028179999999999</v>
      </c>
      <c r="F908" s="2">
        <v>0.39802850000000001</v>
      </c>
      <c r="H908" s="8" t="str">
        <f t="shared" si="37"/>
        <v>0.38 (0.36 to 0.40)</v>
      </c>
    </row>
    <row r="909" spans="1:8" x14ac:dyDescent="0.3">
      <c r="A909" s="14" t="s">
        <v>69</v>
      </c>
      <c r="B909" s="2">
        <v>2424</v>
      </c>
      <c r="C909" s="2">
        <v>36.718919999999997</v>
      </c>
      <c r="D909" s="2">
        <v>0.296375</v>
      </c>
      <c r="E909" s="2">
        <v>36.127819899999999</v>
      </c>
      <c r="F909" s="2">
        <v>37.310020700000003</v>
      </c>
      <c r="H909" s="8" t="str">
        <f t="shared" si="37"/>
        <v>36.72 (36.13 to 37.31)</v>
      </c>
    </row>
    <row r="913" spans="1:6" x14ac:dyDescent="0.3">
      <c r="A913" s="1" t="s">
        <v>129</v>
      </c>
    </row>
    <row r="915" spans="1:6" x14ac:dyDescent="0.3">
      <c r="A915" s="1" t="s">
        <v>180</v>
      </c>
    </row>
    <row r="916" spans="1:6" ht="17.25" thickBot="1" x14ac:dyDescent="0.35"/>
    <row r="917" spans="1:6" ht="16.5" customHeight="1" x14ac:dyDescent="0.3">
      <c r="A917" s="24" t="s">
        <v>75</v>
      </c>
      <c r="B917" s="26"/>
    </row>
    <row r="918" spans="1:6" ht="26.25" thickBot="1" x14ac:dyDescent="0.35">
      <c r="A918" s="13" t="s">
        <v>76</v>
      </c>
      <c r="B918" s="2">
        <v>26</v>
      </c>
    </row>
    <row r="919" spans="1:6" ht="26.25" thickBot="1" x14ac:dyDescent="0.35">
      <c r="A919" s="13" t="s">
        <v>77</v>
      </c>
      <c r="B919" s="2">
        <v>448</v>
      </c>
    </row>
    <row r="920" spans="1:6" ht="39" thickBot="1" x14ac:dyDescent="0.35">
      <c r="A920" s="13" t="s">
        <v>78</v>
      </c>
      <c r="B920" s="2">
        <v>10990</v>
      </c>
    </row>
    <row r="921" spans="1:6" ht="25.5" x14ac:dyDescent="0.3">
      <c r="A921" s="14" t="s">
        <v>79</v>
      </c>
      <c r="B921" s="2">
        <v>5592006.2199999997</v>
      </c>
    </row>
    <row r="922" spans="1:6" ht="17.25" thickBot="1" x14ac:dyDescent="0.35"/>
    <row r="923" spans="1:6" ht="33" customHeight="1" x14ac:dyDescent="0.3">
      <c r="A923" s="24" t="s">
        <v>80</v>
      </c>
      <c r="B923" s="26"/>
    </row>
    <row r="924" spans="1:6" ht="33.75" thickBot="1" x14ac:dyDescent="0.35">
      <c r="A924" s="13" t="s">
        <v>81</v>
      </c>
      <c r="B924" s="2" t="s">
        <v>82</v>
      </c>
    </row>
    <row r="925" spans="1:6" ht="25.5" x14ac:dyDescent="0.3">
      <c r="A925" s="14" t="s">
        <v>83</v>
      </c>
      <c r="B925" s="2" t="s">
        <v>84</v>
      </c>
    </row>
    <row r="926" spans="1:6" ht="17.25" thickBot="1" x14ac:dyDescent="0.35"/>
    <row r="927" spans="1:6" ht="16.5" customHeight="1" x14ac:dyDescent="0.3">
      <c r="A927" s="24" t="s">
        <v>130</v>
      </c>
      <c r="B927" s="26"/>
      <c r="C927" s="26"/>
      <c r="D927" s="26"/>
      <c r="E927" s="26"/>
      <c r="F927" s="26"/>
    </row>
    <row r="928" spans="1:6" x14ac:dyDescent="0.3">
      <c r="A928" s="25" t="s">
        <v>131</v>
      </c>
      <c r="B928" s="27" t="s">
        <v>46</v>
      </c>
      <c r="C928" s="27" t="s">
        <v>132</v>
      </c>
      <c r="D928" s="3" t="s">
        <v>133</v>
      </c>
      <c r="E928" s="27" t="s">
        <v>135</v>
      </c>
      <c r="F928" s="27"/>
    </row>
    <row r="929" spans="1:8" x14ac:dyDescent="0.3">
      <c r="A929" s="25"/>
      <c r="B929" s="27"/>
      <c r="C929" s="27"/>
      <c r="D929" s="3" t="s">
        <v>134</v>
      </c>
      <c r="E929" s="27"/>
      <c r="F929" s="27"/>
    </row>
    <row r="930" spans="1:8" ht="17.25" thickBot="1" x14ac:dyDescent="0.35">
      <c r="A930" s="13" t="s">
        <v>66</v>
      </c>
      <c r="B930" s="2">
        <v>10990</v>
      </c>
      <c r="C930" s="2">
        <v>8.5743939999999998</v>
      </c>
      <c r="D930" s="2">
        <v>8.5339999999999999E-3</v>
      </c>
      <c r="E930" s="2">
        <v>8.5576197999999994</v>
      </c>
      <c r="F930" s="2">
        <v>8.5911685999999996</v>
      </c>
      <c r="H930" s="8" t="str">
        <f t="shared" ref="H930:H933" si="38">TEXT(C930,"0.00")&amp;" ("&amp;TEXT(E930,"0.00")&amp;" to "&amp;TEXT(F930,"0.00")&amp;")"</f>
        <v>8.57 (8.56 to 8.59)</v>
      </c>
    </row>
    <row r="931" spans="1:8" ht="17.25" thickBot="1" x14ac:dyDescent="0.35">
      <c r="A931" s="13" t="s">
        <v>67</v>
      </c>
      <c r="B931" s="2">
        <v>10990</v>
      </c>
      <c r="C931" s="2">
        <v>0.67013900000000004</v>
      </c>
      <c r="D931" s="2">
        <v>1.0280000000000001E-3</v>
      </c>
      <c r="E931" s="2">
        <v>0.66811949999999998</v>
      </c>
      <c r="F931" s="2">
        <v>0.6721589</v>
      </c>
      <c r="H931" s="8" t="str">
        <f t="shared" si="38"/>
        <v>0.67 (0.67 to 0.67)</v>
      </c>
    </row>
    <row r="932" spans="1:8" ht="17.25" thickBot="1" x14ac:dyDescent="0.35">
      <c r="A932" s="13" t="s">
        <v>68</v>
      </c>
      <c r="B932" s="2">
        <v>10990</v>
      </c>
      <c r="C932" s="2">
        <v>0.32322299999999998</v>
      </c>
      <c r="D932" s="2">
        <v>4.2040000000000003E-3</v>
      </c>
      <c r="E932" s="2">
        <v>0.31495909999999999</v>
      </c>
      <c r="F932" s="2">
        <v>0.33148709999999998</v>
      </c>
      <c r="H932" s="8" t="str">
        <f t="shared" si="38"/>
        <v>0.32 (0.31 to 0.33)</v>
      </c>
    </row>
    <row r="933" spans="1:8" x14ac:dyDescent="0.3">
      <c r="A933" s="14" t="s">
        <v>69</v>
      </c>
      <c r="B933" s="2">
        <v>10990</v>
      </c>
      <c r="C933" s="2">
        <v>35.652403999999997</v>
      </c>
      <c r="D933" s="2">
        <v>0.102751</v>
      </c>
      <c r="E933" s="2">
        <v>35.450436500000002</v>
      </c>
      <c r="F933" s="2">
        <v>35.854370799999998</v>
      </c>
      <c r="H933" s="8" t="str">
        <f t="shared" si="38"/>
        <v>35.65 (35.45 to 35.85)</v>
      </c>
    </row>
    <row r="937" spans="1:8" x14ac:dyDescent="0.3">
      <c r="A937" s="1" t="s">
        <v>129</v>
      </c>
    </row>
    <row r="939" spans="1:8" x14ac:dyDescent="0.3">
      <c r="A939" s="1" t="s">
        <v>181</v>
      </c>
    </row>
    <row r="940" spans="1:8" ht="17.25" thickBot="1" x14ac:dyDescent="0.35"/>
    <row r="941" spans="1:8" ht="16.5" customHeight="1" x14ac:dyDescent="0.3">
      <c r="A941" s="24" t="s">
        <v>75</v>
      </c>
      <c r="B941" s="26"/>
    </row>
    <row r="942" spans="1:8" ht="26.25" thickBot="1" x14ac:dyDescent="0.35">
      <c r="A942" s="13" t="s">
        <v>76</v>
      </c>
      <c r="B942" s="2">
        <v>21</v>
      </c>
    </row>
    <row r="943" spans="1:8" ht="26.25" thickBot="1" x14ac:dyDescent="0.35">
      <c r="A943" s="13" t="s">
        <v>77</v>
      </c>
      <c r="B943" s="2">
        <v>116</v>
      </c>
    </row>
    <row r="944" spans="1:8" ht="39" thickBot="1" x14ac:dyDescent="0.35">
      <c r="A944" s="13" t="s">
        <v>78</v>
      </c>
      <c r="B944" s="2">
        <v>2565</v>
      </c>
    </row>
    <row r="945" spans="1:8" ht="25.5" x14ac:dyDescent="0.3">
      <c r="A945" s="14" t="s">
        <v>79</v>
      </c>
      <c r="B945" s="2">
        <v>962692.59</v>
      </c>
    </row>
    <row r="946" spans="1:8" ht="17.25" thickBot="1" x14ac:dyDescent="0.35"/>
    <row r="947" spans="1:8" ht="33" customHeight="1" x14ac:dyDescent="0.3">
      <c r="A947" s="24" t="s">
        <v>80</v>
      </c>
      <c r="B947" s="26"/>
    </row>
    <row r="948" spans="1:8" ht="33.75" thickBot="1" x14ac:dyDescent="0.35">
      <c r="A948" s="13" t="s">
        <v>81</v>
      </c>
      <c r="B948" s="2" t="s">
        <v>82</v>
      </c>
    </row>
    <row r="949" spans="1:8" ht="25.5" x14ac:dyDescent="0.3">
      <c r="A949" s="14" t="s">
        <v>83</v>
      </c>
      <c r="B949" s="2" t="s">
        <v>84</v>
      </c>
    </row>
    <row r="950" spans="1:8" ht="17.25" thickBot="1" x14ac:dyDescent="0.35"/>
    <row r="951" spans="1:8" ht="16.5" customHeight="1" x14ac:dyDescent="0.3">
      <c r="A951" s="24" t="s">
        <v>130</v>
      </c>
      <c r="B951" s="26"/>
      <c r="C951" s="26"/>
      <c r="D951" s="26"/>
      <c r="E951" s="26"/>
      <c r="F951" s="26"/>
    </row>
    <row r="952" spans="1:8" x14ac:dyDescent="0.3">
      <c r="A952" s="25" t="s">
        <v>131</v>
      </c>
      <c r="B952" s="27" t="s">
        <v>46</v>
      </c>
      <c r="C952" s="27" t="s">
        <v>132</v>
      </c>
      <c r="D952" s="3" t="s">
        <v>133</v>
      </c>
      <c r="E952" s="27" t="s">
        <v>135</v>
      </c>
      <c r="F952" s="27"/>
    </row>
    <row r="953" spans="1:8" x14ac:dyDescent="0.3">
      <c r="A953" s="25"/>
      <c r="B953" s="27"/>
      <c r="C953" s="27"/>
      <c r="D953" s="3" t="s">
        <v>134</v>
      </c>
      <c r="E953" s="27"/>
      <c r="F953" s="27"/>
    </row>
    <row r="954" spans="1:8" ht="17.25" thickBot="1" x14ac:dyDescent="0.35">
      <c r="A954" s="13" t="s">
        <v>66</v>
      </c>
      <c r="B954" s="2">
        <v>2565</v>
      </c>
      <c r="C954" s="2">
        <v>8.6527949999999993</v>
      </c>
      <c r="D954" s="2">
        <v>1.5755999999999999E-2</v>
      </c>
      <c r="E954" s="2">
        <v>8.6215167000000008</v>
      </c>
      <c r="F954" s="2">
        <v>8.6840740000000007</v>
      </c>
      <c r="H954" s="8" t="str">
        <f t="shared" ref="H954:H957" si="39">TEXT(C954,"0.00")&amp;" ("&amp;TEXT(E954,"0.00")&amp;" to "&amp;TEXT(F954,"0.00")&amp;")"</f>
        <v>8.65 (8.62 to 8.68)</v>
      </c>
    </row>
    <row r="955" spans="1:8" ht="17.25" thickBot="1" x14ac:dyDescent="0.35">
      <c r="A955" s="13" t="s">
        <v>67</v>
      </c>
      <c r="B955" s="2">
        <v>2565</v>
      </c>
      <c r="C955" s="2">
        <v>0.68495600000000001</v>
      </c>
      <c r="D955" s="2">
        <v>1.946E-3</v>
      </c>
      <c r="E955" s="2">
        <v>0.68109410000000004</v>
      </c>
      <c r="F955" s="2">
        <v>0.68881879999999995</v>
      </c>
      <c r="H955" s="8" t="str">
        <f t="shared" si="39"/>
        <v>0.68 (0.68 to 0.69)</v>
      </c>
    </row>
    <row r="956" spans="1:8" ht="17.25" thickBot="1" x14ac:dyDescent="0.35">
      <c r="A956" s="13" t="s">
        <v>68</v>
      </c>
      <c r="B956" s="2">
        <v>2565</v>
      </c>
      <c r="C956" s="2">
        <v>0.35796899999999998</v>
      </c>
      <c r="D956" s="2">
        <v>8.2959999999999996E-3</v>
      </c>
      <c r="E956" s="2">
        <v>0.3414992</v>
      </c>
      <c r="F956" s="2">
        <v>0.37443920000000003</v>
      </c>
      <c r="H956" s="8" t="str">
        <f t="shared" si="39"/>
        <v>0.36 (0.34 to 0.37)</v>
      </c>
    </row>
    <row r="957" spans="1:8" x14ac:dyDescent="0.3">
      <c r="A957" s="14" t="s">
        <v>69</v>
      </c>
      <c r="B957" s="2">
        <v>2565</v>
      </c>
      <c r="C957" s="2">
        <v>36.695529000000001</v>
      </c>
      <c r="D957" s="2">
        <v>0.15964500000000001</v>
      </c>
      <c r="E957" s="2">
        <v>36.378593299999999</v>
      </c>
      <c r="F957" s="2">
        <v>37.012464600000001</v>
      </c>
      <c r="H957" s="8" t="str">
        <f t="shared" si="39"/>
        <v>36.70 (36.38 to 37.01)</v>
      </c>
    </row>
    <row r="961" spans="1:6" x14ac:dyDescent="0.3">
      <c r="A961" s="1" t="s">
        <v>129</v>
      </c>
    </row>
    <row r="963" spans="1:6" x14ac:dyDescent="0.3">
      <c r="A963" s="1" t="s">
        <v>182</v>
      </c>
    </row>
    <row r="964" spans="1:6" ht="17.25" thickBot="1" x14ac:dyDescent="0.35"/>
    <row r="965" spans="1:6" ht="16.5" customHeight="1" x14ac:dyDescent="0.3">
      <c r="A965" s="24" t="s">
        <v>75</v>
      </c>
      <c r="B965" s="26"/>
    </row>
    <row r="966" spans="1:6" ht="26.25" thickBot="1" x14ac:dyDescent="0.35">
      <c r="A966" s="13" t="s">
        <v>76</v>
      </c>
      <c r="B966" s="2">
        <v>26</v>
      </c>
    </row>
    <row r="967" spans="1:6" ht="26.25" thickBot="1" x14ac:dyDescent="0.35">
      <c r="A967" s="13" t="s">
        <v>77</v>
      </c>
      <c r="B967" s="2">
        <v>153</v>
      </c>
    </row>
    <row r="968" spans="1:6" ht="39" thickBot="1" x14ac:dyDescent="0.35">
      <c r="A968" s="13" t="s">
        <v>78</v>
      </c>
      <c r="B968" s="2">
        <v>3638</v>
      </c>
    </row>
    <row r="969" spans="1:6" ht="25.5" x14ac:dyDescent="0.3">
      <c r="A969" s="14" t="s">
        <v>79</v>
      </c>
      <c r="B969" s="2">
        <v>1830136.07</v>
      </c>
    </row>
    <row r="970" spans="1:6" ht="17.25" thickBot="1" x14ac:dyDescent="0.35"/>
    <row r="971" spans="1:6" ht="33" customHeight="1" x14ac:dyDescent="0.3">
      <c r="A971" s="24" t="s">
        <v>80</v>
      </c>
      <c r="B971" s="26"/>
    </row>
    <row r="972" spans="1:6" ht="33.75" thickBot="1" x14ac:dyDescent="0.35">
      <c r="A972" s="13" t="s">
        <v>81</v>
      </c>
      <c r="B972" s="2" t="s">
        <v>82</v>
      </c>
    </row>
    <row r="973" spans="1:6" ht="25.5" x14ac:dyDescent="0.3">
      <c r="A973" s="14" t="s">
        <v>83</v>
      </c>
      <c r="B973" s="2" t="s">
        <v>84</v>
      </c>
    </row>
    <row r="974" spans="1:6" ht="17.25" thickBot="1" x14ac:dyDescent="0.35"/>
    <row r="975" spans="1:6" ht="16.5" customHeight="1" x14ac:dyDescent="0.3">
      <c r="A975" s="24" t="s">
        <v>130</v>
      </c>
      <c r="B975" s="26"/>
      <c r="C975" s="26"/>
      <c r="D975" s="26"/>
      <c r="E975" s="26"/>
      <c r="F975" s="26"/>
    </row>
    <row r="976" spans="1:6" x14ac:dyDescent="0.3">
      <c r="A976" s="25" t="s">
        <v>131</v>
      </c>
      <c r="B976" s="27" t="s">
        <v>46</v>
      </c>
      <c r="C976" s="27" t="s">
        <v>132</v>
      </c>
      <c r="D976" s="3" t="s">
        <v>133</v>
      </c>
      <c r="E976" s="27" t="s">
        <v>135</v>
      </c>
      <c r="F976" s="27"/>
    </row>
    <row r="977" spans="1:8" x14ac:dyDescent="0.3">
      <c r="A977" s="25"/>
      <c r="B977" s="27"/>
      <c r="C977" s="27"/>
      <c r="D977" s="3" t="s">
        <v>134</v>
      </c>
      <c r="E977" s="27"/>
      <c r="F977" s="27"/>
    </row>
    <row r="978" spans="1:8" ht="17.25" thickBot="1" x14ac:dyDescent="0.35">
      <c r="A978" s="13" t="s">
        <v>66</v>
      </c>
      <c r="B978" s="2">
        <v>3638</v>
      </c>
      <c r="C978" s="2">
        <v>8.5836699999999997</v>
      </c>
      <c r="D978" s="2">
        <v>1.2640999999999999E-2</v>
      </c>
      <c r="E978" s="2">
        <v>8.5586552999999999</v>
      </c>
      <c r="F978" s="2">
        <v>8.6086846999999995</v>
      </c>
      <c r="H978" s="8" t="str">
        <f t="shared" ref="H978:H981" si="40">TEXT(C978,"0.00")&amp;" ("&amp;TEXT(E978,"0.00")&amp;" to "&amp;TEXT(F978,"0.00")&amp;")"</f>
        <v>8.58 (8.56 to 8.61)</v>
      </c>
    </row>
    <row r="979" spans="1:8" ht="17.25" thickBot="1" x14ac:dyDescent="0.35">
      <c r="A979" s="13" t="s">
        <v>67</v>
      </c>
      <c r="B979" s="2">
        <v>3638</v>
      </c>
      <c r="C979" s="2">
        <v>0.66663499999999998</v>
      </c>
      <c r="D979" s="2">
        <v>1.743E-3</v>
      </c>
      <c r="E979" s="2">
        <v>0.66318540000000004</v>
      </c>
      <c r="F979" s="2">
        <v>0.67008420000000002</v>
      </c>
      <c r="H979" s="8" t="str">
        <f t="shared" si="40"/>
        <v>0.67 (0.66 to 0.67)</v>
      </c>
    </row>
    <row r="980" spans="1:8" ht="17.25" thickBot="1" x14ac:dyDescent="0.35">
      <c r="A980" s="13" t="s">
        <v>68</v>
      </c>
      <c r="B980" s="2">
        <v>3638</v>
      </c>
      <c r="C980" s="2">
        <v>0.285275</v>
      </c>
      <c r="D980" s="2">
        <v>6.5680000000000001E-3</v>
      </c>
      <c r="E980" s="2">
        <v>0.27227760000000001</v>
      </c>
      <c r="F980" s="2">
        <v>0.2982726</v>
      </c>
      <c r="H980" s="8" t="str">
        <f t="shared" si="40"/>
        <v>0.29 (0.27 to 0.30)</v>
      </c>
    </row>
    <row r="981" spans="1:8" x14ac:dyDescent="0.3">
      <c r="A981" s="14" t="s">
        <v>69</v>
      </c>
      <c r="B981" s="2">
        <v>3638</v>
      </c>
      <c r="C981" s="2">
        <v>35.102676000000002</v>
      </c>
      <c r="D981" s="2">
        <v>0.17660899999999999</v>
      </c>
      <c r="E981" s="2">
        <v>34.753199000000002</v>
      </c>
      <c r="F981" s="2">
        <v>35.4521522</v>
      </c>
      <c r="H981" s="8" t="str">
        <f t="shared" si="40"/>
        <v>35.10 (34.75 to 35.45)</v>
      </c>
    </row>
    <row r="985" spans="1:8" x14ac:dyDescent="0.3">
      <c r="A985" s="1" t="s">
        <v>129</v>
      </c>
    </row>
    <row r="987" spans="1:8" x14ac:dyDescent="0.3">
      <c r="A987" s="1" t="s">
        <v>183</v>
      </c>
    </row>
    <row r="988" spans="1:8" ht="17.25" thickBot="1" x14ac:dyDescent="0.35"/>
    <row r="989" spans="1:8" ht="16.5" customHeight="1" x14ac:dyDescent="0.3">
      <c r="A989" s="24" t="s">
        <v>75</v>
      </c>
      <c r="B989" s="26"/>
    </row>
    <row r="990" spans="1:8" ht="26.25" thickBot="1" x14ac:dyDescent="0.35">
      <c r="A990" s="13" t="s">
        <v>76</v>
      </c>
      <c r="B990" s="2">
        <v>17</v>
      </c>
    </row>
    <row r="991" spans="1:8" ht="26.25" thickBot="1" x14ac:dyDescent="0.35">
      <c r="A991" s="13" t="s">
        <v>77</v>
      </c>
      <c r="B991" s="2">
        <v>37</v>
      </c>
    </row>
    <row r="992" spans="1:8" ht="39" thickBot="1" x14ac:dyDescent="0.35">
      <c r="A992" s="13" t="s">
        <v>78</v>
      </c>
      <c r="B992" s="2">
        <v>778</v>
      </c>
    </row>
    <row r="993" spans="1:8" ht="25.5" x14ac:dyDescent="0.3">
      <c r="A993" s="14" t="s">
        <v>79</v>
      </c>
      <c r="B993" s="2">
        <v>320777.60700000002</v>
      </c>
    </row>
    <row r="994" spans="1:8" ht="17.25" thickBot="1" x14ac:dyDescent="0.35"/>
    <row r="995" spans="1:8" ht="33" customHeight="1" x14ac:dyDescent="0.3">
      <c r="A995" s="24" t="s">
        <v>80</v>
      </c>
      <c r="B995" s="26"/>
    </row>
    <row r="996" spans="1:8" ht="33.75" thickBot="1" x14ac:dyDescent="0.35">
      <c r="A996" s="13" t="s">
        <v>81</v>
      </c>
      <c r="B996" s="2" t="s">
        <v>82</v>
      </c>
    </row>
    <row r="997" spans="1:8" ht="25.5" x14ac:dyDescent="0.3">
      <c r="A997" s="14" t="s">
        <v>83</v>
      </c>
      <c r="B997" s="2" t="s">
        <v>84</v>
      </c>
    </row>
    <row r="998" spans="1:8" ht="17.25" thickBot="1" x14ac:dyDescent="0.35"/>
    <row r="999" spans="1:8" ht="16.5" customHeight="1" x14ac:dyDescent="0.3">
      <c r="A999" s="24" t="s">
        <v>130</v>
      </c>
      <c r="B999" s="26"/>
      <c r="C999" s="26"/>
      <c r="D999" s="26"/>
      <c r="E999" s="26"/>
      <c r="F999" s="26"/>
    </row>
    <row r="1000" spans="1:8" x14ac:dyDescent="0.3">
      <c r="A1000" s="25" t="s">
        <v>131</v>
      </c>
      <c r="B1000" s="27" t="s">
        <v>46</v>
      </c>
      <c r="C1000" s="27" t="s">
        <v>132</v>
      </c>
      <c r="D1000" s="3" t="s">
        <v>133</v>
      </c>
      <c r="E1000" s="27" t="s">
        <v>135</v>
      </c>
      <c r="F1000" s="27"/>
    </row>
    <row r="1001" spans="1:8" x14ac:dyDescent="0.3">
      <c r="A1001" s="25"/>
      <c r="B1001" s="27"/>
      <c r="C1001" s="27"/>
      <c r="D1001" s="3" t="s">
        <v>134</v>
      </c>
      <c r="E1001" s="27"/>
      <c r="F1001" s="27"/>
    </row>
    <row r="1002" spans="1:8" ht="17.25" thickBot="1" x14ac:dyDescent="0.35">
      <c r="A1002" s="13" t="s">
        <v>66</v>
      </c>
      <c r="B1002" s="2">
        <v>778</v>
      </c>
      <c r="C1002" s="2">
        <v>8.6497620000000008</v>
      </c>
      <c r="D1002" s="2">
        <v>3.1380999999999999E-2</v>
      </c>
      <c r="E1002" s="2">
        <v>8.5843030000000002</v>
      </c>
      <c r="F1002" s="2">
        <v>8.7152206999999997</v>
      </c>
      <c r="H1002" s="8" t="str">
        <f t="shared" ref="H1002:H1005" si="41">TEXT(C1002,"0.00")&amp;" ("&amp;TEXT(E1002,"0.00")&amp;" to "&amp;TEXT(F1002,"0.00")&amp;")"</f>
        <v>8.65 (8.58 to 8.72)</v>
      </c>
    </row>
    <row r="1003" spans="1:8" ht="17.25" thickBot="1" x14ac:dyDescent="0.35">
      <c r="A1003" s="13" t="s">
        <v>67</v>
      </c>
      <c r="B1003" s="2">
        <v>778</v>
      </c>
      <c r="C1003" s="2">
        <v>0.68200000000000005</v>
      </c>
      <c r="D1003" s="2">
        <v>2.9299999999999999E-3</v>
      </c>
      <c r="E1003" s="2">
        <v>0.67588749999999997</v>
      </c>
      <c r="F1003" s="2">
        <v>0.68811290000000003</v>
      </c>
      <c r="H1003" s="8" t="str">
        <f t="shared" si="41"/>
        <v>0.68 (0.68 to 0.69)</v>
      </c>
    </row>
    <row r="1004" spans="1:8" ht="17.25" thickBot="1" x14ac:dyDescent="0.35">
      <c r="A1004" s="13" t="s">
        <v>68</v>
      </c>
      <c r="B1004" s="2">
        <v>778</v>
      </c>
      <c r="C1004" s="2">
        <v>0.32258599999999998</v>
      </c>
      <c r="D1004" s="2">
        <v>1.6278999999999998E-2</v>
      </c>
      <c r="E1004" s="2">
        <v>0.28862789999999999</v>
      </c>
      <c r="F1004" s="2">
        <v>0.35654380000000002</v>
      </c>
      <c r="H1004" s="8" t="str">
        <f t="shared" si="41"/>
        <v>0.32 (0.29 to 0.36)</v>
      </c>
    </row>
    <row r="1005" spans="1:8" x14ac:dyDescent="0.3">
      <c r="A1005" s="14" t="s">
        <v>69</v>
      </c>
      <c r="B1005" s="2">
        <v>778</v>
      </c>
      <c r="C1005" s="2">
        <v>36.320453999999998</v>
      </c>
      <c r="D1005" s="2">
        <v>0.39927099999999999</v>
      </c>
      <c r="E1005" s="2">
        <v>35.487590500000003</v>
      </c>
      <c r="F1005" s="2">
        <v>37.153317899999998</v>
      </c>
      <c r="H1005" s="8" t="str">
        <f t="shared" si="41"/>
        <v>36.32 (35.49 to 37.15)</v>
      </c>
    </row>
    <row r="1009" spans="1:6" x14ac:dyDescent="0.3">
      <c r="A1009" s="1" t="s">
        <v>129</v>
      </c>
    </row>
    <row r="1011" spans="1:6" x14ac:dyDescent="0.3">
      <c r="A1011" s="1" t="s">
        <v>184</v>
      </c>
    </row>
    <row r="1012" spans="1:6" ht="17.25" thickBot="1" x14ac:dyDescent="0.35"/>
    <row r="1013" spans="1:6" ht="16.5" customHeight="1" x14ac:dyDescent="0.3">
      <c r="A1013" s="24" t="s">
        <v>75</v>
      </c>
      <c r="B1013" s="26"/>
    </row>
    <row r="1014" spans="1:6" ht="26.25" thickBot="1" x14ac:dyDescent="0.35">
      <c r="A1014" s="13" t="s">
        <v>76</v>
      </c>
      <c r="B1014" s="2">
        <v>25</v>
      </c>
    </row>
    <row r="1015" spans="1:6" ht="26.25" thickBot="1" x14ac:dyDescent="0.35">
      <c r="A1015" s="13" t="s">
        <v>77</v>
      </c>
      <c r="B1015" s="2">
        <v>290</v>
      </c>
    </row>
    <row r="1016" spans="1:6" ht="39" thickBot="1" x14ac:dyDescent="0.35">
      <c r="A1016" s="13" t="s">
        <v>78</v>
      </c>
      <c r="B1016" s="2">
        <v>704</v>
      </c>
    </row>
    <row r="1017" spans="1:6" ht="25.5" x14ac:dyDescent="0.3">
      <c r="A1017" s="14" t="s">
        <v>79</v>
      </c>
      <c r="B1017" s="2">
        <v>143735.09299999999</v>
      </c>
    </row>
    <row r="1018" spans="1:6" ht="17.25" thickBot="1" x14ac:dyDescent="0.35"/>
    <row r="1019" spans="1:6" ht="33" customHeight="1" x14ac:dyDescent="0.3">
      <c r="A1019" s="24" t="s">
        <v>80</v>
      </c>
      <c r="B1019" s="26"/>
    </row>
    <row r="1020" spans="1:6" ht="33.75" thickBot="1" x14ac:dyDescent="0.35">
      <c r="A1020" s="13" t="s">
        <v>81</v>
      </c>
      <c r="B1020" s="2" t="s">
        <v>82</v>
      </c>
    </row>
    <row r="1021" spans="1:6" ht="25.5" x14ac:dyDescent="0.3">
      <c r="A1021" s="14" t="s">
        <v>83</v>
      </c>
      <c r="B1021" s="2" t="s">
        <v>84</v>
      </c>
    </row>
    <row r="1022" spans="1:6" ht="17.25" thickBot="1" x14ac:dyDescent="0.35"/>
    <row r="1023" spans="1:6" ht="16.5" customHeight="1" x14ac:dyDescent="0.3">
      <c r="A1023" s="24" t="s">
        <v>130</v>
      </c>
      <c r="B1023" s="26"/>
      <c r="C1023" s="26"/>
      <c r="D1023" s="26"/>
      <c r="E1023" s="26"/>
      <c r="F1023" s="26"/>
    </row>
    <row r="1024" spans="1:6" x14ac:dyDescent="0.3">
      <c r="A1024" s="25" t="s">
        <v>131</v>
      </c>
      <c r="B1024" s="27" t="s">
        <v>46</v>
      </c>
      <c r="C1024" s="27" t="s">
        <v>132</v>
      </c>
      <c r="D1024" s="3" t="s">
        <v>133</v>
      </c>
      <c r="E1024" s="27" t="s">
        <v>135</v>
      </c>
      <c r="F1024" s="27"/>
    </row>
    <row r="1025" spans="1:8" x14ac:dyDescent="0.3">
      <c r="A1025" s="25"/>
      <c r="B1025" s="27"/>
      <c r="C1025" s="27"/>
      <c r="D1025" s="3" t="s">
        <v>134</v>
      </c>
      <c r="E1025" s="27"/>
      <c r="F1025" s="27"/>
    </row>
    <row r="1026" spans="1:8" ht="17.25" thickBot="1" x14ac:dyDescent="0.35">
      <c r="A1026" s="13" t="s">
        <v>66</v>
      </c>
      <c r="B1026" s="2">
        <v>704</v>
      </c>
      <c r="C1026" s="2">
        <v>8.809075</v>
      </c>
      <c r="D1026" s="2">
        <v>2.4774000000000001E-2</v>
      </c>
      <c r="E1026" s="2">
        <v>8.7602957999999997</v>
      </c>
      <c r="F1026" s="2">
        <v>8.8578550000000007</v>
      </c>
      <c r="H1026" s="8" t="str">
        <f t="shared" ref="H1026:H1029" si="42">TEXT(C1026,"0.00")&amp;" ("&amp;TEXT(E1026,"0.00")&amp;" to "&amp;TEXT(F1026,"0.00")&amp;")"</f>
        <v>8.81 (8.76 to 8.86)</v>
      </c>
    </row>
    <row r="1027" spans="1:8" ht="17.25" thickBot="1" x14ac:dyDescent="0.35">
      <c r="A1027" s="13" t="s">
        <v>67</v>
      </c>
      <c r="B1027" s="2">
        <v>704</v>
      </c>
      <c r="C1027" s="2">
        <v>0.72114800000000001</v>
      </c>
      <c r="D1027" s="2">
        <v>2.983E-3</v>
      </c>
      <c r="E1027" s="2">
        <v>0.71527540000000001</v>
      </c>
      <c r="F1027" s="2">
        <v>0.72702160000000005</v>
      </c>
      <c r="H1027" s="8" t="str">
        <f t="shared" si="42"/>
        <v>0.72 (0.72 to 0.73)</v>
      </c>
    </row>
    <row r="1028" spans="1:8" ht="17.25" thickBot="1" x14ac:dyDescent="0.35">
      <c r="A1028" s="13" t="s">
        <v>68</v>
      </c>
      <c r="B1028" s="2">
        <v>704</v>
      </c>
      <c r="C1028" s="2">
        <v>0.47902899999999998</v>
      </c>
      <c r="D1028" s="2">
        <v>1.23E-2</v>
      </c>
      <c r="E1028" s="2">
        <v>0.45481060000000001</v>
      </c>
      <c r="F1028" s="2">
        <v>0.50324769999999996</v>
      </c>
      <c r="H1028" s="8" t="str">
        <f t="shared" si="42"/>
        <v>0.48 (0.45 to 0.50)</v>
      </c>
    </row>
    <row r="1029" spans="1:8" x14ac:dyDescent="0.3">
      <c r="A1029" s="14" t="s">
        <v>69</v>
      </c>
      <c r="B1029" s="2">
        <v>704</v>
      </c>
      <c r="C1029" s="2">
        <v>37.136834999999998</v>
      </c>
      <c r="D1029" s="2">
        <v>0.28321499999999999</v>
      </c>
      <c r="E1029" s="2">
        <v>36.579197899999997</v>
      </c>
      <c r="F1029" s="2">
        <v>37.694472599999997</v>
      </c>
      <c r="H1029" s="8" t="str">
        <f t="shared" si="42"/>
        <v>37.14 (36.58 to 37.69)</v>
      </c>
    </row>
    <row r="1033" spans="1:8" x14ac:dyDescent="0.3">
      <c r="A1033" s="1" t="s">
        <v>129</v>
      </c>
    </row>
    <row r="1035" spans="1:8" x14ac:dyDescent="0.3">
      <c r="A1035" s="1" t="s">
        <v>185</v>
      </c>
    </row>
    <row r="1036" spans="1:8" ht="17.25" thickBot="1" x14ac:dyDescent="0.35"/>
    <row r="1037" spans="1:8" ht="16.5" customHeight="1" x14ac:dyDescent="0.3">
      <c r="A1037" s="24" t="s">
        <v>75</v>
      </c>
      <c r="B1037" s="26"/>
    </row>
    <row r="1038" spans="1:8" ht="26.25" thickBot="1" x14ac:dyDescent="0.35">
      <c r="A1038" s="13" t="s">
        <v>76</v>
      </c>
      <c r="B1038" s="2">
        <v>25</v>
      </c>
    </row>
    <row r="1039" spans="1:8" ht="26.25" thickBot="1" x14ac:dyDescent="0.35">
      <c r="A1039" s="13" t="s">
        <v>77</v>
      </c>
      <c r="B1039" s="2">
        <v>436</v>
      </c>
    </row>
    <row r="1040" spans="1:8" ht="39" thickBot="1" x14ac:dyDescent="0.35">
      <c r="A1040" s="13" t="s">
        <v>78</v>
      </c>
      <c r="B1040" s="2">
        <v>2055</v>
      </c>
    </row>
    <row r="1041" spans="1:8" ht="25.5" x14ac:dyDescent="0.3">
      <c r="A1041" s="14" t="s">
        <v>79</v>
      </c>
      <c r="B1041" s="2">
        <v>533627.46600000001</v>
      </c>
    </row>
    <row r="1042" spans="1:8" ht="17.25" thickBot="1" x14ac:dyDescent="0.35"/>
    <row r="1043" spans="1:8" ht="33" customHeight="1" x14ac:dyDescent="0.3">
      <c r="A1043" s="24" t="s">
        <v>80</v>
      </c>
      <c r="B1043" s="26"/>
    </row>
    <row r="1044" spans="1:8" ht="33.75" thickBot="1" x14ac:dyDescent="0.35">
      <c r="A1044" s="13" t="s">
        <v>81</v>
      </c>
      <c r="B1044" s="2" t="s">
        <v>82</v>
      </c>
    </row>
    <row r="1045" spans="1:8" ht="25.5" x14ac:dyDescent="0.3">
      <c r="A1045" s="14" t="s">
        <v>83</v>
      </c>
      <c r="B1045" s="2" t="s">
        <v>84</v>
      </c>
    </row>
    <row r="1046" spans="1:8" ht="17.25" thickBot="1" x14ac:dyDescent="0.35"/>
    <row r="1047" spans="1:8" ht="16.5" customHeight="1" x14ac:dyDescent="0.3">
      <c r="A1047" s="24" t="s">
        <v>130</v>
      </c>
      <c r="B1047" s="26"/>
      <c r="C1047" s="26"/>
      <c r="D1047" s="26"/>
      <c r="E1047" s="26"/>
      <c r="F1047" s="26"/>
    </row>
    <row r="1048" spans="1:8" x14ac:dyDescent="0.3">
      <c r="A1048" s="25" t="s">
        <v>131</v>
      </c>
      <c r="B1048" s="27" t="s">
        <v>46</v>
      </c>
      <c r="C1048" s="27" t="s">
        <v>132</v>
      </c>
      <c r="D1048" s="3" t="s">
        <v>133</v>
      </c>
      <c r="E1048" s="27" t="s">
        <v>135</v>
      </c>
      <c r="F1048" s="27"/>
    </row>
    <row r="1049" spans="1:8" x14ac:dyDescent="0.3">
      <c r="A1049" s="25"/>
      <c r="B1049" s="27"/>
      <c r="C1049" s="27"/>
      <c r="D1049" s="3" t="s">
        <v>134</v>
      </c>
      <c r="E1049" s="27"/>
      <c r="F1049" s="27"/>
    </row>
    <row r="1050" spans="1:8" ht="17.25" thickBot="1" x14ac:dyDescent="0.35">
      <c r="A1050" s="13" t="s">
        <v>66</v>
      </c>
      <c r="B1050" s="2">
        <v>2055</v>
      </c>
      <c r="C1050" s="2">
        <v>8.7544830000000005</v>
      </c>
      <c r="D1050" s="2">
        <v>1.8439000000000001E-2</v>
      </c>
      <c r="E1050" s="2">
        <v>8.7182353999999993</v>
      </c>
      <c r="F1050" s="2">
        <v>8.7907297</v>
      </c>
      <c r="H1050" s="8" t="str">
        <f t="shared" ref="H1050:H1053" si="43">TEXT(C1050,"0.00")&amp;" ("&amp;TEXT(E1050,"0.00")&amp;" to "&amp;TEXT(F1050,"0.00")&amp;")"</f>
        <v>8.75 (8.72 to 8.79)</v>
      </c>
    </row>
    <row r="1051" spans="1:8" ht="17.25" thickBot="1" x14ac:dyDescent="0.35">
      <c r="A1051" s="13" t="s">
        <v>67</v>
      </c>
      <c r="B1051" s="2">
        <v>2055</v>
      </c>
      <c r="C1051" s="2">
        <v>0.70322499999999999</v>
      </c>
      <c r="D1051" s="2">
        <v>2.006E-3</v>
      </c>
      <c r="E1051" s="2">
        <v>0.69928100000000004</v>
      </c>
      <c r="F1051" s="2">
        <v>0.70716849999999998</v>
      </c>
      <c r="H1051" s="8" t="str">
        <f t="shared" si="43"/>
        <v>0.70 (0.70 to 0.71)</v>
      </c>
    </row>
    <row r="1052" spans="1:8" ht="17.25" thickBot="1" x14ac:dyDescent="0.35">
      <c r="A1052" s="13" t="s">
        <v>68</v>
      </c>
      <c r="B1052" s="2">
        <v>2055</v>
      </c>
      <c r="C1052" s="2">
        <v>0.43850600000000001</v>
      </c>
      <c r="D1052" s="2">
        <v>8.2839999999999997E-3</v>
      </c>
      <c r="E1052" s="2">
        <v>0.4222225</v>
      </c>
      <c r="F1052" s="2">
        <v>0.45478960000000002</v>
      </c>
      <c r="H1052" s="8" t="str">
        <f t="shared" si="43"/>
        <v>0.44 (0.42 to 0.45)</v>
      </c>
    </row>
    <row r="1053" spans="1:8" x14ac:dyDescent="0.3">
      <c r="A1053" s="14" t="s">
        <v>69</v>
      </c>
      <c r="B1053" s="2">
        <v>2055</v>
      </c>
      <c r="C1053" s="2">
        <v>37.060656999999999</v>
      </c>
      <c r="D1053" s="2">
        <v>0.172684</v>
      </c>
      <c r="E1053" s="2">
        <v>36.721202499999997</v>
      </c>
      <c r="F1053" s="2">
        <v>37.400112100000001</v>
      </c>
      <c r="H1053" s="8" t="str">
        <f t="shared" si="43"/>
        <v>37.06 (36.72 to 37.40)</v>
      </c>
    </row>
    <row r="1057" spans="1:6" x14ac:dyDescent="0.3">
      <c r="A1057" s="1" t="s">
        <v>129</v>
      </c>
    </row>
    <row r="1059" spans="1:6" x14ac:dyDescent="0.3">
      <c r="A1059" s="1" t="s">
        <v>186</v>
      </c>
    </row>
    <row r="1060" spans="1:6" ht="17.25" thickBot="1" x14ac:dyDescent="0.35"/>
    <row r="1061" spans="1:6" ht="16.5" customHeight="1" x14ac:dyDescent="0.3">
      <c r="A1061" s="24" t="s">
        <v>75</v>
      </c>
      <c r="B1061" s="26"/>
    </row>
    <row r="1062" spans="1:6" ht="26.25" thickBot="1" x14ac:dyDescent="0.35">
      <c r="A1062" s="13" t="s">
        <v>76</v>
      </c>
      <c r="B1062" s="2">
        <v>25</v>
      </c>
    </row>
    <row r="1063" spans="1:6" ht="26.25" thickBot="1" x14ac:dyDescent="0.35">
      <c r="A1063" s="13" t="s">
        <v>77</v>
      </c>
      <c r="B1063" s="2">
        <v>441</v>
      </c>
    </row>
    <row r="1064" spans="1:6" ht="39" thickBot="1" x14ac:dyDescent="0.35">
      <c r="A1064" s="13" t="s">
        <v>78</v>
      </c>
      <c r="B1064" s="2">
        <v>1494</v>
      </c>
    </row>
    <row r="1065" spans="1:6" ht="25.5" x14ac:dyDescent="0.3">
      <c r="A1065" s="14" t="s">
        <v>79</v>
      </c>
      <c r="B1065" s="2">
        <v>479557.65500000003</v>
      </c>
    </row>
    <row r="1066" spans="1:6" ht="17.25" thickBot="1" x14ac:dyDescent="0.35"/>
    <row r="1067" spans="1:6" ht="33" customHeight="1" x14ac:dyDescent="0.3">
      <c r="A1067" s="24" t="s">
        <v>80</v>
      </c>
      <c r="B1067" s="26"/>
    </row>
    <row r="1068" spans="1:6" ht="33.75" thickBot="1" x14ac:dyDescent="0.35">
      <c r="A1068" s="13" t="s">
        <v>81</v>
      </c>
      <c r="B1068" s="2" t="s">
        <v>82</v>
      </c>
    </row>
    <row r="1069" spans="1:6" ht="25.5" x14ac:dyDescent="0.3">
      <c r="A1069" s="14" t="s">
        <v>83</v>
      </c>
      <c r="B1069" s="2" t="s">
        <v>84</v>
      </c>
    </row>
    <row r="1070" spans="1:6" ht="17.25" thickBot="1" x14ac:dyDescent="0.35"/>
    <row r="1071" spans="1:6" ht="16.5" customHeight="1" x14ac:dyDescent="0.3">
      <c r="A1071" s="24" t="s">
        <v>130</v>
      </c>
      <c r="B1071" s="26"/>
      <c r="C1071" s="26"/>
      <c r="D1071" s="26"/>
      <c r="E1071" s="26"/>
      <c r="F1071" s="26"/>
    </row>
    <row r="1072" spans="1:6" x14ac:dyDescent="0.3">
      <c r="A1072" s="25" t="s">
        <v>131</v>
      </c>
      <c r="B1072" s="27" t="s">
        <v>46</v>
      </c>
      <c r="C1072" s="27" t="s">
        <v>132</v>
      </c>
      <c r="D1072" s="3" t="s">
        <v>133</v>
      </c>
      <c r="E1072" s="27" t="s">
        <v>135</v>
      </c>
      <c r="F1072" s="27"/>
    </row>
    <row r="1073" spans="1:8" x14ac:dyDescent="0.3">
      <c r="A1073" s="25"/>
      <c r="B1073" s="27"/>
      <c r="C1073" s="27"/>
      <c r="D1073" s="3" t="s">
        <v>134</v>
      </c>
      <c r="E1073" s="27"/>
      <c r="F1073" s="27"/>
    </row>
    <row r="1074" spans="1:8" ht="17.25" thickBot="1" x14ac:dyDescent="0.35">
      <c r="A1074" s="13" t="s">
        <v>66</v>
      </c>
      <c r="B1074" s="2">
        <v>1494</v>
      </c>
      <c r="C1074" s="2">
        <v>8.6949500000000004</v>
      </c>
      <c r="D1074" s="2">
        <v>2.1104999999999999E-2</v>
      </c>
      <c r="E1074" s="2">
        <v>8.6534641000000008</v>
      </c>
      <c r="F1074" s="2">
        <v>8.7364362</v>
      </c>
      <c r="H1074" s="8" t="str">
        <f t="shared" ref="H1074:H1077" si="44">TEXT(C1074,"0.00")&amp;" ("&amp;TEXT(E1074,"0.00")&amp;" to "&amp;TEXT(F1074,"0.00")&amp;")"</f>
        <v>8.69 (8.65 to 8.74)</v>
      </c>
    </row>
    <row r="1075" spans="1:8" ht="17.25" thickBot="1" x14ac:dyDescent="0.35">
      <c r="A1075" s="13" t="s">
        <v>67</v>
      </c>
      <c r="B1075" s="2">
        <v>1494</v>
      </c>
      <c r="C1075" s="2">
        <v>0.686442</v>
      </c>
      <c r="D1075" s="2">
        <v>2.3960000000000001E-3</v>
      </c>
      <c r="E1075" s="2">
        <v>0.6817318</v>
      </c>
      <c r="F1075" s="2">
        <v>0.69115170000000004</v>
      </c>
      <c r="H1075" s="8" t="str">
        <f t="shared" si="44"/>
        <v>0.69 (0.68 to 0.69)</v>
      </c>
    </row>
    <row r="1076" spans="1:8" ht="17.25" thickBot="1" x14ac:dyDescent="0.35">
      <c r="A1076" s="13" t="s">
        <v>68</v>
      </c>
      <c r="B1076" s="2">
        <v>1494</v>
      </c>
      <c r="C1076" s="2">
        <v>0.42034100000000002</v>
      </c>
      <c r="D1076" s="2">
        <v>9.8709999999999996E-3</v>
      </c>
      <c r="E1076" s="2">
        <v>0.40093839999999997</v>
      </c>
      <c r="F1076" s="2">
        <v>0.43974429999999998</v>
      </c>
      <c r="H1076" s="8" t="str">
        <f t="shared" si="44"/>
        <v>0.42 (0.40 to 0.44)</v>
      </c>
    </row>
    <row r="1077" spans="1:8" x14ac:dyDescent="0.3">
      <c r="A1077" s="14" t="s">
        <v>69</v>
      </c>
      <c r="B1077" s="2">
        <v>1494</v>
      </c>
      <c r="C1077" s="2">
        <v>36.897531999999998</v>
      </c>
      <c r="D1077" s="2">
        <v>0.187109</v>
      </c>
      <c r="E1077" s="2">
        <v>36.529733999999998</v>
      </c>
      <c r="F1077" s="2">
        <v>37.265329800000004</v>
      </c>
      <c r="H1077" s="8" t="str">
        <f t="shared" si="44"/>
        <v>36.90 (36.53 to 37.27)</v>
      </c>
    </row>
    <row r="1081" spans="1:8" x14ac:dyDescent="0.3">
      <c r="A1081" s="1" t="s">
        <v>129</v>
      </c>
    </row>
    <row r="1083" spans="1:8" x14ac:dyDescent="0.3">
      <c r="A1083" s="1" t="s">
        <v>187</v>
      </c>
    </row>
    <row r="1084" spans="1:8" ht="17.25" thickBot="1" x14ac:dyDescent="0.35"/>
    <row r="1085" spans="1:8" ht="16.5" customHeight="1" x14ac:dyDescent="0.3">
      <c r="A1085" s="24" t="s">
        <v>75</v>
      </c>
      <c r="B1085" s="26"/>
    </row>
    <row r="1086" spans="1:8" ht="26.25" thickBot="1" x14ac:dyDescent="0.35">
      <c r="A1086" s="13" t="s">
        <v>76</v>
      </c>
      <c r="B1086" s="2">
        <v>25</v>
      </c>
    </row>
    <row r="1087" spans="1:8" ht="26.25" thickBot="1" x14ac:dyDescent="0.35">
      <c r="A1087" s="13" t="s">
        <v>77</v>
      </c>
      <c r="B1087" s="2">
        <v>499</v>
      </c>
    </row>
    <row r="1088" spans="1:8" ht="39" thickBot="1" x14ac:dyDescent="0.35">
      <c r="A1088" s="13" t="s">
        <v>78</v>
      </c>
      <c r="B1088" s="2">
        <v>7662</v>
      </c>
    </row>
    <row r="1089" spans="1:8" ht="25.5" x14ac:dyDescent="0.3">
      <c r="A1089" s="14" t="s">
        <v>79</v>
      </c>
      <c r="B1089" s="2">
        <v>3213248.5</v>
      </c>
    </row>
    <row r="1090" spans="1:8" ht="17.25" thickBot="1" x14ac:dyDescent="0.35"/>
    <row r="1091" spans="1:8" ht="33" customHeight="1" x14ac:dyDescent="0.3">
      <c r="A1091" s="24" t="s">
        <v>80</v>
      </c>
      <c r="B1091" s="26"/>
    </row>
    <row r="1092" spans="1:8" ht="33.75" thickBot="1" x14ac:dyDescent="0.35">
      <c r="A1092" s="13" t="s">
        <v>81</v>
      </c>
      <c r="B1092" s="2" t="s">
        <v>82</v>
      </c>
    </row>
    <row r="1093" spans="1:8" ht="25.5" x14ac:dyDescent="0.3">
      <c r="A1093" s="14" t="s">
        <v>83</v>
      </c>
      <c r="B1093" s="2" t="s">
        <v>84</v>
      </c>
    </row>
    <row r="1094" spans="1:8" ht="17.25" thickBot="1" x14ac:dyDescent="0.35"/>
    <row r="1095" spans="1:8" ht="16.5" customHeight="1" x14ac:dyDescent="0.3">
      <c r="A1095" s="24" t="s">
        <v>130</v>
      </c>
      <c r="B1095" s="26"/>
      <c r="C1095" s="26"/>
      <c r="D1095" s="26"/>
      <c r="E1095" s="26"/>
      <c r="F1095" s="26"/>
    </row>
    <row r="1096" spans="1:8" x14ac:dyDescent="0.3">
      <c r="A1096" s="25" t="s">
        <v>131</v>
      </c>
      <c r="B1096" s="27" t="s">
        <v>46</v>
      </c>
      <c r="C1096" s="27" t="s">
        <v>132</v>
      </c>
      <c r="D1096" s="3" t="s">
        <v>133</v>
      </c>
      <c r="E1096" s="27" t="s">
        <v>135</v>
      </c>
      <c r="F1096" s="27"/>
    </row>
    <row r="1097" spans="1:8" x14ac:dyDescent="0.3">
      <c r="A1097" s="25"/>
      <c r="B1097" s="27"/>
      <c r="C1097" s="27"/>
      <c r="D1097" s="3" t="s">
        <v>134</v>
      </c>
      <c r="E1097" s="27"/>
      <c r="F1097" s="27"/>
    </row>
    <row r="1098" spans="1:8" ht="17.25" thickBot="1" x14ac:dyDescent="0.35">
      <c r="A1098" s="13" t="s">
        <v>66</v>
      </c>
      <c r="B1098" s="2">
        <v>7662</v>
      </c>
      <c r="C1098" s="2">
        <v>8.4896340000000006</v>
      </c>
      <c r="D1098" s="2">
        <v>8.9200000000000008E-3</v>
      </c>
      <c r="E1098" s="2">
        <v>8.4721057999999996</v>
      </c>
      <c r="F1098" s="2">
        <v>8.5071621999999998</v>
      </c>
      <c r="H1098" s="8" t="str">
        <f t="shared" ref="H1098:H1101" si="45">TEXT(C1098,"0.00")&amp;" ("&amp;TEXT(E1098,"0.00")&amp;" to "&amp;TEXT(F1098,"0.00")&amp;")"</f>
        <v>8.49 (8.47 to 8.51)</v>
      </c>
    </row>
    <row r="1099" spans="1:8" ht="17.25" thickBot="1" x14ac:dyDescent="0.35">
      <c r="A1099" s="13" t="s">
        <v>67</v>
      </c>
      <c r="B1099" s="2">
        <v>7662</v>
      </c>
      <c r="C1099" s="2">
        <v>0.64676800000000001</v>
      </c>
      <c r="D1099" s="2">
        <v>1.191E-3</v>
      </c>
      <c r="E1099" s="2">
        <v>0.64442699999999997</v>
      </c>
      <c r="F1099" s="2">
        <v>0.64910909999999999</v>
      </c>
      <c r="H1099" s="8" t="str">
        <f t="shared" si="45"/>
        <v>0.65 (0.64 to 0.65)</v>
      </c>
    </row>
    <row r="1100" spans="1:8" ht="17.25" thickBot="1" x14ac:dyDescent="0.35">
      <c r="A1100" s="13" t="s">
        <v>68</v>
      </c>
      <c r="B1100" s="2">
        <v>7662</v>
      </c>
      <c r="C1100" s="2">
        <v>0.34337499999999999</v>
      </c>
      <c r="D1100" s="2">
        <v>4.2960000000000003E-3</v>
      </c>
      <c r="E1100" s="2">
        <v>0.33493400000000001</v>
      </c>
      <c r="F1100" s="2">
        <v>0.35181659999999998</v>
      </c>
      <c r="H1100" s="8" t="str">
        <f t="shared" si="45"/>
        <v>0.34 (0.33 to 0.35)</v>
      </c>
    </row>
    <row r="1101" spans="1:8" x14ac:dyDescent="0.3">
      <c r="A1101" s="14" t="s">
        <v>69</v>
      </c>
      <c r="B1101" s="2">
        <v>7662</v>
      </c>
      <c r="C1101" s="2">
        <v>35.063536999999997</v>
      </c>
      <c r="D1101" s="2">
        <v>9.9887000000000004E-2</v>
      </c>
      <c r="E1101" s="2">
        <v>34.867261300000003</v>
      </c>
      <c r="F1101" s="2">
        <v>35.259813200000004</v>
      </c>
      <c r="H1101" s="8" t="str">
        <f t="shared" si="45"/>
        <v>35.06 (34.87 to 35.26)</v>
      </c>
    </row>
    <row r="1105" spans="1:6" x14ac:dyDescent="0.3">
      <c r="A1105" s="1" t="s">
        <v>129</v>
      </c>
    </row>
    <row r="1107" spans="1:6" x14ac:dyDescent="0.3">
      <c r="A1107" s="1" t="s">
        <v>188</v>
      </c>
    </row>
    <row r="1108" spans="1:6" ht="17.25" thickBot="1" x14ac:dyDescent="0.35"/>
    <row r="1109" spans="1:6" ht="16.5" customHeight="1" x14ac:dyDescent="0.3">
      <c r="A1109" s="24" t="s">
        <v>75</v>
      </c>
      <c r="B1109" s="26"/>
    </row>
    <row r="1110" spans="1:6" ht="26.25" thickBot="1" x14ac:dyDescent="0.35">
      <c r="A1110" s="13" t="s">
        <v>76</v>
      </c>
      <c r="B1110" s="2">
        <v>25</v>
      </c>
    </row>
    <row r="1111" spans="1:6" ht="26.25" thickBot="1" x14ac:dyDescent="0.35">
      <c r="A1111" s="13" t="s">
        <v>77</v>
      </c>
      <c r="B1111" s="2">
        <v>510</v>
      </c>
    </row>
    <row r="1112" spans="1:6" ht="39" thickBot="1" x14ac:dyDescent="0.35">
      <c r="A1112" s="13" t="s">
        <v>78</v>
      </c>
      <c r="B1112" s="2">
        <v>2505</v>
      </c>
    </row>
    <row r="1113" spans="1:6" ht="25.5" x14ac:dyDescent="0.3">
      <c r="A1113" s="14" t="s">
        <v>79</v>
      </c>
      <c r="B1113" s="2">
        <v>748622.495</v>
      </c>
    </row>
    <row r="1114" spans="1:6" ht="17.25" thickBot="1" x14ac:dyDescent="0.35"/>
    <row r="1115" spans="1:6" ht="33" customHeight="1" x14ac:dyDescent="0.3">
      <c r="A1115" s="24" t="s">
        <v>80</v>
      </c>
      <c r="B1115" s="26"/>
    </row>
    <row r="1116" spans="1:6" ht="33.75" thickBot="1" x14ac:dyDescent="0.35">
      <c r="A1116" s="13" t="s">
        <v>81</v>
      </c>
      <c r="B1116" s="2" t="s">
        <v>82</v>
      </c>
    </row>
    <row r="1117" spans="1:6" ht="25.5" x14ac:dyDescent="0.3">
      <c r="A1117" s="14" t="s">
        <v>83</v>
      </c>
      <c r="B1117" s="2" t="s">
        <v>84</v>
      </c>
    </row>
    <row r="1118" spans="1:6" ht="17.25" thickBot="1" x14ac:dyDescent="0.35"/>
    <row r="1119" spans="1:6" ht="16.5" customHeight="1" x14ac:dyDescent="0.3">
      <c r="A1119" s="24" t="s">
        <v>130</v>
      </c>
      <c r="B1119" s="26"/>
      <c r="C1119" s="26"/>
      <c r="D1119" s="26"/>
      <c r="E1119" s="26"/>
      <c r="F1119" s="26"/>
    </row>
    <row r="1120" spans="1:6" x14ac:dyDescent="0.3">
      <c r="A1120" s="25" t="s">
        <v>131</v>
      </c>
      <c r="B1120" s="27" t="s">
        <v>46</v>
      </c>
      <c r="C1120" s="27" t="s">
        <v>132</v>
      </c>
      <c r="D1120" s="3" t="s">
        <v>133</v>
      </c>
      <c r="E1120" s="27" t="s">
        <v>135</v>
      </c>
      <c r="F1120" s="27"/>
    </row>
    <row r="1121" spans="1:8" x14ac:dyDescent="0.3">
      <c r="A1121" s="25"/>
      <c r="B1121" s="27"/>
      <c r="C1121" s="27"/>
      <c r="D1121" s="3" t="s">
        <v>134</v>
      </c>
      <c r="E1121" s="27"/>
      <c r="F1121" s="27"/>
    </row>
    <row r="1122" spans="1:8" ht="17.25" thickBot="1" x14ac:dyDescent="0.35">
      <c r="A1122" s="13" t="s">
        <v>66</v>
      </c>
      <c r="B1122" s="2">
        <v>2505</v>
      </c>
      <c r="C1122" s="2">
        <v>8.7160189999999993</v>
      </c>
      <c r="D1122" s="2">
        <v>1.6754999999999999E-2</v>
      </c>
      <c r="E1122" s="2">
        <v>8.6830967000000001</v>
      </c>
      <c r="F1122" s="2">
        <v>8.7489412000000009</v>
      </c>
      <c r="H1122" s="8" t="str">
        <f t="shared" ref="H1122:H1125" si="46">TEXT(C1122,"0.00")&amp;" ("&amp;TEXT(E1122,"0.00")&amp;" to "&amp;TEXT(F1122,"0.00")&amp;")"</f>
        <v>8.72 (8.68 to 8.75)</v>
      </c>
    </row>
    <row r="1123" spans="1:8" ht="17.25" thickBot="1" x14ac:dyDescent="0.35">
      <c r="A1123" s="13" t="s">
        <v>67</v>
      </c>
      <c r="B1123" s="2">
        <v>2505</v>
      </c>
      <c r="C1123" s="2">
        <v>0.70047300000000001</v>
      </c>
      <c r="D1123" s="2">
        <v>1.902E-3</v>
      </c>
      <c r="E1123" s="2">
        <v>0.69673499999999999</v>
      </c>
      <c r="F1123" s="2">
        <v>0.70421</v>
      </c>
      <c r="H1123" s="8" t="str">
        <f t="shared" si="46"/>
        <v>0.70 (0.70 to 0.70)</v>
      </c>
    </row>
    <row r="1124" spans="1:8" ht="17.25" thickBot="1" x14ac:dyDescent="0.35">
      <c r="A1124" s="13" t="s">
        <v>68</v>
      </c>
      <c r="B1124" s="2">
        <v>2505</v>
      </c>
      <c r="C1124" s="2">
        <v>0.41109499999999999</v>
      </c>
      <c r="D1124" s="2">
        <v>8.4480000000000006E-3</v>
      </c>
      <c r="E1124" s="2">
        <v>0.39449679999999998</v>
      </c>
      <c r="F1124" s="2">
        <v>0.42769410000000002</v>
      </c>
      <c r="H1124" s="8" t="str">
        <f t="shared" si="46"/>
        <v>0.41 (0.39 to 0.43)</v>
      </c>
    </row>
    <row r="1125" spans="1:8" x14ac:dyDescent="0.3">
      <c r="A1125" s="14" t="s">
        <v>69</v>
      </c>
      <c r="B1125" s="2">
        <v>2505</v>
      </c>
      <c r="C1125" s="2">
        <v>36.596331999999997</v>
      </c>
      <c r="D1125" s="2">
        <v>0.166182</v>
      </c>
      <c r="E1125" s="2">
        <v>36.2698064</v>
      </c>
      <c r="F1125" s="2">
        <v>36.922856699999997</v>
      </c>
      <c r="H1125" s="8" t="str">
        <f t="shared" si="46"/>
        <v>36.60 (36.27 to 36.92)</v>
      </c>
    </row>
    <row r="1129" spans="1:8" x14ac:dyDescent="0.3">
      <c r="A1129" s="1" t="s">
        <v>129</v>
      </c>
    </row>
    <row r="1131" spans="1:8" x14ac:dyDescent="0.3">
      <c r="A1131" s="1" t="s">
        <v>189</v>
      </c>
    </row>
    <row r="1132" spans="1:8" ht="17.25" thickBot="1" x14ac:dyDescent="0.35"/>
    <row r="1133" spans="1:8" ht="16.5" customHeight="1" x14ac:dyDescent="0.3">
      <c r="A1133" s="24" t="s">
        <v>75</v>
      </c>
      <c r="B1133" s="26"/>
    </row>
    <row r="1134" spans="1:8" ht="26.25" thickBot="1" x14ac:dyDescent="0.35">
      <c r="A1134" s="13" t="s">
        <v>76</v>
      </c>
      <c r="B1134" s="2">
        <v>25</v>
      </c>
    </row>
    <row r="1135" spans="1:8" ht="26.25" thickBot="1" x14ac:dyDescent="0.35">
      <c r="A1135" s="13" t="s">
        <v>77</v>
      </c>
      <c r="B1135" s="2">
        <v>496</v>
      </c>
    </row>
    <row r="1136" spans="1:8" ht="39" thickBot="1" x14ac:dyDescent="0.35">
      <c r="A1136" s="13" t="s">
        <v>78</v>
      </c>
      <c r="B1136" s="2">
        <v>1481</v>
      </c>
    </row>
    <row r="1137" spans="1:8" ht="25.5" x14ac:dyDescent="0.3">
      <c r="A1137" s="14" t="s">
        <v>79</v>
      </c>
      <c r="B1137" s="2">
        <v>542844.32499999995</v>
      </c>
    </row>
    <row r="1138" spans="1:8" ht="17.25" thickBot="1" x14ac:dyDescent="0.35"/>
    <row r="1139" spans="1:8" ht="33" customHeight="1" x14ac:dyDescent="0.3">
      <c r="A1139" s="24" t="s">
        <v>80</v>
      </c>
      <c r="B1139" s="26"/>
    </row>
    <row r="1140" spans="1:8" ht="33.75" thickBot="1" x14ac:dyDescent="0.35">
      <c r="A1140" s="13" t="s">
        <v>81</v>
      </c>
      <c r="B1140" s="2" t="s">
        <v>82</v>
      </c>
    </row>
    <row r="1141" spans="1:8" ht="25.5" x14ac:dyDescent="0.3">
      <c r="A1141" s="14" t="s">
        <v>83</v>
      </c>
      <c r="B1141" s="2" t="s">
        <v>84</v>
      </c>
    </row>
    <row r="1142" spans="1:8" ht="17.25" thickBot="1" x14ac:dyDescent="0.35"/>
    <row r="1143" spans="1:8" ht="16.5" customHeight="1" x14ac:dyDescent="0.3">
      <c r="A1143" s="24" t="s">
        <v>130</v>
      </c>
      <c r="B1143" s="26"/>
      <c r="C1143" s="26"/>
      <c r="D1143" s="26"/>
      <c r="E1143" s="26"/>
      <c r="F1143" s="26"/>
    </row>
    <row r="1144" spans="1:8" x14ac:dyDescent="0.3">
      <c r="A1144" s="25" t="s">
        <v>131</v>
      </c>
      <c r="B1144" s="27" t="s">
        <v>46</v>
      </c>
      <c r="C1144" s="27" t="s">
        <v>132</v>
      </c>
      <c r="D1144" s="3" t="s">
        <v>133</v>
      </c>
      <c r="E1144" s="27" t="s">
        <v>135</v>
      </c>
      <c r="F1144" s="27"/>
    </row>
    <row r="1145" spans="1:8" x14ac:dyDescent="0.3">
      <c r="A1145" s="25"/>
      <c r="B1145" s="27"/>
      <c r="C1145" s="27"/>
      <c r="D1145" s="3" t="s">
        <v>134</v>
      </c>
      <c r="E1145" s="27"/>
      <c r="F1145" s="27"/>
    </row>
    <row r="1146" spans="1:8" ht="17.25" thickBot="1" x14ac:dyDescent="0.35">
      <c r="A1146" s="13" t="s">
        <v>66</v>
      </c>
      <c r="B1146" s="2">
        <v>1481</v>
      </c>
      <c r="C1146" s="2">
        <v>8.7265999999999995</v>
      </c>
      <c r="D1146" s="2">
        <v>2.2584E-2</v>
      </c>
      <c r="E1146" s="2">
        <v>8.6822228999999993</v>
      </c>
      <c r="F1146" s="2">
        <v>8.7709767999999997</v>
      </c>
      <c r="H1146" s="8" t="str">
        <f t="shared" ref="H1146:H1149" si="47">TEXT(C1146,"0.00")&amp;" ("&amp;TEXT(E1146,"0.00")&amp;" to "&amp;TEXT(F1146,"0.00")&amp;")"</f>
        <v>8.73 (8.68 to 8.77)</v>
      </c>
    </row>
    <row r="1147" spans="1:8" ht="17.25" thickBot="1" x14ac:dyDescent="0.35">
      <c r="A1147" s="13" t="s">
        <v>67</v>
      </c>
      <c r="B1147" s="2">
        <v>1481</v>
      </c>
      <c r="C1147" s="2">
        <v>0.68586499999999995</v>
      </c>
      <c r="D1147" s="2">
        <v>2.4039999999999999E-3</v>
      </c>
      <c r="E1147" s="2">
        <v>0.68114140000000001</v>
      </c>
      <c r="F1147" s="2">
        <v>0.69058909999999996</v>
      </c>
      <c r="H1147" s="8" t="str">
        <f t="shared" si="47"/>
        <v>0.69 (0.68 to 0.69)</v>
      </c>
    </row>
    <row r="1148" spans="1:8" ht="17.25" thickBot="1" x14ac:dyDescent="0.35">
      <c r="A1148" s="13" t="s">
        <v>68</v>
      </c>
      <c r="B1148" s="2">
        <v>1481</v>
      </c>
      <c r="C1148" s="2">
        <v>0.413636</v>
      </c>
      <c r="D1148" s="2">
        <v>1.089E-2</v>
      </c>
      <c r="E1148" s="2">
        <v>0.39223780000000003</v>
      </c>
      <c r="F1148" s="2">
        <v>0.4350347</v>
      </c>
      <c r="H1148" s="8" t="str">
        <f t="shared" si="47"/>
        <v>0.41 (0.39 to 0.44)</v>
      </c>
    </row>
    <row r="1149" spans="1:8" x14ac:dyDescent="0.3">
      <c r="A1149" s="14" t="s">
        <v>69</v>
      </c>
      <c r="B1149" s="2">
        <v>1481</v>
      </c>
      <c r="C1149" s="2">
        <v>36.955317999999998</v>
      </c>
      <c r="D1149" s="2">
        <v>0.231325</v>
      </c>
      <c r="E1149" s="2">
        <v>36.500761099999998</v>
      </c>
      <c r="F1149" s="2">
        <v>37.409875300000003</v>
      </c>
      <c r="H1149" s="8" t="str">
        <f t="shared" si="47"/>
        <v>36.96 (36.50 to 37.41)</v>
      </c>
    </row>
    <row r="1153" spans="1:6" x14ac:dyDescent="0.3">
      <c r="A1153" s="1" t="s">
        <v>129</v>
      </c>
    </row>
    <row r="1155" spans="1:6" x14ac:dyDescent="0.3">
      <c r="A1155" s="1" t="s">
        <v>190</v>
      </c>
    </row>
    <row r="1156" spans="1:6" ht="17.25" thickBot="1" x14ac:dyDescent="0.35"/>
    <row r="1157" spans="1:6" ht="16.5" customHeight="1" x14ac:dyDescent="0.3">
      <c r="A1157" s="24" t="s">
        <v>75</v>
      </c>
      <c r="B1157" s="26"/>
    </row>
    <row r="1158" spans="1:6" ht="26.25" thickBot="1" x14ac:dyDescent="0.35">
      <c r="A1158" s="13" t="s">
        <v>76</v>
      </c>
      <c r="B1158" s="2">
        <v>25</v>
      </c>
    </row>
    <row r="1159" spans="1:6" ht="26.25" thickBot="1" x14ac:dyDescent="0.35">
      <c r="A1159" s="13" t="s">
        <v>77</v>
      </c>
      <c r="B1159" s="2">
        <v>570</v>
      </c>
    </row>
    <row r="1160" spans="1:6" ht="39" thickBot="1" x14ac:dyDescent="0.35">
      <c r="A1160" s="13" t="s">
        <v>78</v>
      </c>
      <c r="B1160" s="2">
        <v>3868</v>
      </c>
    </row>
    <row r="1161" spans="1:6" ht="25.5" x14ac:dyDescent="0.3">
      <c r="A1161" s="14" t="s">
        <v>79</v>
      </c>
      <c r="B1161" s="2">
        <v>1706524.24</v>
      </c>
    </row>
    <row r="1162" spans="1:6" ht="17.25" thickBot="1" x14ac:dyDescent="0.35"/>
    <row r="1163" spans="1:6" ht="33" customHeight="1" x14ac:dyDescent="0.3">
      <c r="A1163" s="24" t="s">
        <v>80</v>
      </c>
      <c r="B1163" s="26"/>
    </row>
    <row r="1164" spans="1:6" ht="33.75" thickBot="1" x14ac:dyDescent="0.35">
      <c r="A1164" s="13" t="s">
        <v>81</v>
      </c>
      <c r="B1164" s="2" t="s">
        <v>82</v>
      </c>
    </row>
    <row r="1165" spans="1:6" ht="25.5" x14ac:dyDescent="0.3">
      <c r="A1165" s="14" t="s">
        <v>83</v>
      </c>
      <c r="B1165" s="2" t="s">
        <v>84</v>
      </c>
    </row>
    <row r="1166" spans="1:6" ht="17.25" thickBot="1" x14ac:dyDescent="0.35"/>
    <row r="1167" spans="1:6" ht="16.5" customHeight="1" x14ac:dyDescent="0.3">
      <c r="A1167" s="24" t="s">
        <v>130</v>
      </c>
      <c r="B1167" s="26"/>
      <c r="C1167" s="26"/>
      <c r="D1167" s="26"/>
      <c r="E1167" s="26"/>
      <c r="F1167" s="26"/>
    </row>
    <row r="1168" spans="1:6" x14ac:dyDescent="0.3">
      <c r="A1168" s="25" t="s">
        <v>131</v>
      </c>
      <c r="B1168" s="27" t="s">
        <v>46</v>
      </c>
      <c r="C1168" s="27" t="s">
        <v>132</v>
      </c>
      <c r="D1168" s="3" t="s">
        <v>133</v>
      </c>
      <c r="E1168" s="27" t="s">
        <v>135</v>
      </c>
      <c r="F1168" s="27"/>
    </row>
    <row r="1169" spans="1:8" x14ac:dyDescent="0.3">
      <c r="A1169" s="25"/>
      <c r="B1169" s="27"/>
      <c r="C1169" s="27"/>
      <c r="D1169" s="3" t="s">
        <v>134</v>
      </c>
      <c r="E1169" s="27"/>
      <c r="F1169" s="27"/>
    </row>
    <row r="1170" spans="1:8" ht="17.25" thickBot="1" x14ac:dyDescent="0.35">
      <c r="A1170" s="13" t="s">
        <v>66</v>
      </c>
      <c r="B1170" s="2">
        <v>3868</v>
      </c>
      <c r="C1170" s="2">
        <v>8.6030820000000006</v>
      </c>
      <c r="D1170" s="2">
        <v>1.3723000000000001E-2</v>
      </c>
      <c r="E1170" s="2">
        <v>8.5761254000000005</v>
      </c>
      <c r="F1170" s="2">
        <v>8.6300378999999996</v>
      </c>
      <c r="H1170" s="8" t="str">
        <f t="shared" ref="H1170:H1173" si="48">TEXT(C1170,"0.00")&amp;" ("&amp;TEXT(E1170,"0.00")&amp;" to "&amp;TEXT(F1170,"0.00")&amp;")"</f>
        <v>8.60 (8.58 to 8.63)</v>
      </c>
    </row>
    <row r="1171" spans="1:8" ht="17.25" thickBot="1" x14ac:dyDescent="0.35">
      <c r="A1171" s="13" t="s">
        <v>67</v>
      </c>
      <c r="B1171" s="2">
        <v>3868</v>
      </c>
      <c r="C1171" s="2">
        <v>0.65855699999999995</v>
      </c>
      <c r="D1171" s="2">
        <v>1.482E-3</v>
      </c>
      <c r="E1171" s="2">
        <v>0.65564599999999995</v>
      </c>
      <c r="F1171" s="2">
        <v>0.66146720000000003</v>
      </c>
      <c r="H1171" s="8" t="str">
        <f t="shared" si="48"/>
        <v>0.66 (0.66 to 0.66)</v>
      </c>
    </row>
    <row r="1172" spans="1:8" ht="17.25" thickBot="1" x14ac:dyDescent="0.35">
      <c r="A1172" s="13" t="s">
        <v>68</v>
      </c>
      <c r="B1172" s="2">
        <v>3868</v>
      </c>
      <c r="C1172" s="2">
        <v>0.37045299999999998</v>
      </c>
      <c r="D1172" s="2">
        <v>6.535E-3</v>
      </c>
      <c r="E1172" s="2">
        <v>0.35761520000000002</v>
      </c>
      <c r="F1172" s="2">
        <v>0.38329039999999998</v>
      </c>
      <c r="H1172" s="8" t="str">
        <f t="shared" si="48"/>
        <v>0.37 (0.36 to 0.38)</v>
      </c>
    </row>
    <row r="1173" spans="1:8" x14ac:dyDescent="0.3">
      <c r="A1173" s="14" t="s">
        <v>69</v>
      </c>
      <c r="B1173" s="2">
        <v>3868</v>
      </c>
      <c r="C1173" s="2">
        <v>35.931279000000004</v>
      </c>
      <c r="D1173" s="2">
        <v>0.159723</v>
      </c>
      <c r="E1173" s="2">
        <v>35.617530600000002</v>
      </c>
      <c r="F1173" s="2">
        <v>36.245027100000001</v>
      </c>
      <c r="H1173" s="8" t="str">
        <f t="shared" si="48"/>
        <v>35.93 (35.62 to 36.25)</v>
      </c>
    </row>
    <row r="1177" spans="1:8" x14ac:dyDescent="0.3">
      <c r="A1177" s="1" t="s">
        <v>129</v>
      </c>
    </row>
    <row r="1179" spans="1:8" x14ac:dyDescent="0.3">
      <c r="A1179" s="1" t="s">
        <v>191</v>
      </c>
    </row>
    <row r="1180" spans="1:8" ht="17.25" thickBot="1" x14ac:dyDescent="0.35"/>
    <row r="1181" spans="1:8" ht="16.5" customHeight="1" x14ac:dyDescent="0.3">
      <c r="A1181" s="24" t="s">
        <v>75</v>
      </c>
      <c r="B1181" s="26"/>
    </row>
    <row r="1182" spans="1:8" ht="26.25" thickBot="1" x14ac:dyDescent="0.35">
      <c r="A1182" s="13" t="s">
        <v>76</v>
      </c>
      <c r="B1182" s="2">
        <v>25</v>
      </c>
    </row>
    <row r="1183" spans="1:8" ht="26.25" thickBot="1" x14ac:dyDescent="0.35">
      <c r="A1183" s="13" t="s">
        <v>77</v>
      </c>
      <c r="B1183" s="2">
        <v>563</v>
      </c>
    </row>
    <row r="1184" spans="1:8" ht="39" thickBot="1" x14ac:dyDescent="0.35">
      <c r="A1184" s="13" t="s">
        <v>78</v>
      </c>
      <c r="B1184" s="2">
        <v>5262</v>
      </c>
    </row>
    <row r="1185" spans="1:8" ht="25.5" x14ac:dyDescent="0.3">
      <c r="A1185" s="14" t="s">
        <v>79</v>
      </c>
      <c r="B1185" s="2">
        <v>2462673.89</v>
      </c>
    </row>
    <row r="1186" spans="1:8" ht="17.25" thickBot="1" x14ac:dyDescent="0.35"/>
    <row r="1187" spans="1:8" ht="33" customHeight="1" x14ac:dyDescent="0.3">
      <c r="A1187" s="24" t="s">
        <v>80</v>
      </c>
      <c r="B1187" s="26"/>
    </row>
    <row r="1188" spans="1:8" ht="33.75" thickBot="1" x14ac:dyDescent="0.35">
      <c r="A1188" s="13" t="s">
        <v>81</v>
      </c>
      <c r="B1188" s="2" t="s">
        <v>82</v>
      </c>
    </row>
    <row r="1189" spans="1:8" ht="25.5" x14ac:dyDescent="0.3">
      <c r="A1189" s="14" t="s">
        <v>83</v>
      </c>
      <c r="B1189" s="2" t="s">
        <v>84</v>
      </c>
    </row>
    <row r="1190" spans="1:8" ht="17.25" thickBot="1" x14ac:dyDescent="0.35"/>
    <row r="1191" spans="1:8" ht="16.5" customHeight="1" x14ac:dyDescent="0.3">
      <c r="A1191" s="24" t="s">
        <v>130</v>
      </c>
      <c r="B1191" s="26"/>
      <c r="C1191" s="26"/>
      <c r="D1191" s="26"/>
      <c r="E1191" s="26"/>
      <c r="F1191" s="26"/>
    </row>
    <row r="1192" spans="1:8" x14ac:dyDescent="0.3">
      <c r="A1192" s="25" t="s">
        <v>131</v>
      </c>
      <c r="B1192" s="27" t="s">
        <v>46</v>
      </c>
      <c r="C1192" s="27" t="s">
        <v>132</v>
      </c>
      <c r="D1192" s="3" t="s">
        <v>133</v>
      </c>
      <c r="E1192" s="27" t="s">
        <v>135</v>
      </c>
      <c r="F1192" s="27"/>
    </row>
    <row r="1193" spans="1:8" x14ac:dyDescent="0.3">
      <c r="A1193" s="25"/>
      <c r="B1193" s="27"/>
      <c r="C1193" s="27"/>
      <c r="D1193" s="3" t="s">
        <v>134</v>
      </c>
      <c r="E1193" s="27"/>
      <c r="F1193" s="27"/>
    </row>
    <row r="1194" spans="1:8" ht="17.25" thickBot="1" x14ac:dyDescent="0.35">
      <c r="A1194" s="13" t="s">
        <v>66</v>
      </c>
      <c r="B1194" s="2">
        <v>5262</v>
      </c>
      <c r="C1194" s="2">
        <v>8.4449629999999996</v>
      </c>
      <c r="D1194" s="2">
        <v>1.1283E-2</v>
      </c>
      <c r="E1194" s="2">
        <v>8.4227983000000002</v>
      </c>
      <c r="F1194" s="2">
        <v>8.4671280000000007</v>
      </c>
      <c r="H1194" s="8" t="str">
        <f t="shared" ref="H1194:H1197" si="49">TEXT(C1194,"0.00")&amp;" ("&amp;TEXT(E1194,"0.00")&amp;" to "&amp;TEXT(F1194,"0.00")&amp;")"</f>
        <v>8.44 (8.42 to 8.47)</v>
      </c>
    </row>
    <row r="1195" spans="1:8" ht="17.25" thickBot="1" x14ac:dyDescent="0.35">
      <c r="A1195" s="13" t="s">
        <v>67</v>
      </c>
      <c r="B1195" s="2">
        <v>5262</v>
      </c>
      <c r="C1195" s="2">
        <v>0.63781200000000005</v>
      </c>
      <c r="D1195" s="2">
        <v>1.224E-3</v>
      </c>
      <c r="E1195" s="2">
        <v>0.63540680000000005</v>
      </c>
      <c r="F1195" s="2">
        <v>0.64021620000000001</v>
      </c>
      <c r="H1195" s="8" t="str">
        <f t="shared" si="49"/>
        <v>0.64 (0.64 to 0.64)</v>
      </c>
    </row>
    <row r="1196" spans="1:8" ht="17.25" thickBot="1" x14ac:dyDescent="0.35">
      <c r="A1196" s="13" t="s">
        <v>68</v>
      </c>
      <c r="B1196" s="2">
        <v>5262</v>
      </c>
      <c r="C1196" s="2">
        <v>0.318158</v>
      </c>
      <c r="D1196" s="2">
        <v>5.3660000000000001E-3</v>
      </c>
      <c r="E1196" s="2">
        <v>0.30761660000000002</v>
      </c>
      <c r="F1196" s="2">
        <v>0.3286984</v>
      </c>
      <c r="H1196" s="8" t="str">
        <f t="shared" si="49"/>
        <v>0.32 (0.31 to 0.33)</v>
      </c>
    </row>
    <row r="1197" spans="1:8" x14ac:dyDescent="0.3">
      <c r="A1197" s="14" t="s">
        <v>69</v>
      </c>
      <c r="B1197" s="2">
        <v>5262</v>
      </c>
      <c r="C1197" s="2">
        <v>34.653157</v>
      </c>
      <c r="D1197" s="2">
        <v>0.13797999999999999</v>
      </c>
      <c r="E1197" s="2">
        <v>34.382111600000002</v>
      </c>
      <c r="F1197" s="2">
        <v>34.924203400000003</v>
      </c>
      <c r="H1197" s="8" t="str">
        <f t="shared" si="49"/>
        <v>34.65 (34.38 to 34.92)</v>
      </c>
    </row>
    <row r="1201" spans="1:6" x14ac:dyDescent="0.3">
      <c r="A1201" s="1" t="s">
        <v>129</v>
      </c>
    </row>
    <row r="1203" spans="1:6" x14ac:dyDescent="0.3">
      <c r="A1203" s="1" t="s">
        <v>192</v>
      </c>
    </row>
    <row r="1204" spans="1:6" ht="17.25" thickBot="1" x14ac:dyDescent="0.35"/>
    <row r="1205" spans="1:6" ht="16.5" customHeight="1" x14ac:dyDescent="0.3">
      <c r="A1205" s="24" t="s">
        <v>75</v>
      </c>
      <c r="B1205" s="26"/>
    </row>
    <row r="1206" spans="1:6" ht="26.25" thickBot="1" x14ac:dyDescent="0.35">
      <c r="A1206" s="13" t="s">
        <v>76</v>
      </c>
      <c r="B1206" s="2">
        <v>25</v>
      </c>
    </row>
    <row r="1207" spans="1:6" ht="26.25" thickBot="1" x14ac:dyDescent="0.35">
      <c r="A1207" s="13" t="s">
        <v>77</v>
      </c>
      <c r="B1207" s="2">
        <v>479</v>
      </c>
    </row>
    <row r="1208" spans="1:6" ht="39" thickBot="1" x14ac:dyDescent="0.35">
      <c r="A1208" s="13" t="s">
        <v>78</v>
      </c>
      <c r="B1208" s="2">
        <v>1862</v>
      </c>
    </row>
    <row r="1209" spans="1:6" ht="25.5" x14ac:dyDescent="0.3">
      <c r="A1209" s="14" t="s">
        <v>79</v>
      </c>
      <c r="B1209" s="2">
        <v>605303.98400000005</v>
      </c>
    </row>
    <row r="1210" spans="1:6" ht="17.25" thickBot="1" x14ac:dyDescent="0.35"/>
    <row r="1211" spans="1:6" ht="33" customHeight="1" x14ac:dyDescent="0.3">
      <c r="A1211" s="24" t="s">
        <v>80</v>
      </c>
      <c r="B1211" s="26"/>
    </row>
    <row r="1212" spans="1:6" ht="33.75" thickBot="1" x14ac:dyDescent="0.35">
      <c r="A1212" s="13" t="s">
        <v>81</v>
      </c>
      <c r="B1212" s="2" t="s">
        <v>82</v>
      </c>
    </row>
    <row r="1213" spans="1:6" ht="25.5" x14ac:dyDescent="0.3">
      <c r="A1213" s="14" t="s">
        <v>83</v>
      </c>
      <c r="B1213" s="2" t="s">
        <v>84</v>
      </c>
    </row>
    <row r="1214" spans="1:6" ht="17.25" thickBot="1" x14ac:dyDescent="0.35"/>
    <row r="1215" spans="1:6" ht="16.5" customHeight="1" x14ac:dyDescent="0.3">
      <c r="A1215" s="24" t="s">
        <v>130</v>
      </c>
      <c r="B1215" s="26"/>
      <c r="C1215" s="26"/>
      <c r="D1215" s="26"/>
      <c r="E1215" s="26"/>
      <c r="F1215" s="26"/>
    </row>
    <row r="1216" spans="1:6" x14ac:dyDescent="0.3">
      <c r="A1216" s="25" t="s">
        <v>131</v>
      </c>
      <c r="B1216" s="27" t="s">
        <v>46</v>
      </c>
      <c r="C1216" s="27" t="s">
        <v>132</v>
      </c>
      <c r="D1216" s="3" t="s">
        <v>133</v>
      </c>
      <c r="E1216" s="27" t="s">
        <v>135</v>
      </c>
      <c r="F1216" s="27"/>
    </row>
    <row r="1217" spans="1:8" x14ac:dyDescent="0.3">
      <c r="A1217" s="25"/>
      <c r="B1217" s="27"/>
      <c r="C1217" s="27"/>
      <c r="D1217" s="3" t="s">
        <v>134</v>
      </c>
      <c r="E1217" s="27"/>
      <c r="F1217" s="27"/>
    </row>
    <row r="1218" spans="1:8" ht="17.25" thickBot="1" x14ac:dyDescent="0.35">
      <c r="A1218" s="13" t="s">
        <v>66</v>
      </c>
      <c r="B1218" s="2">
        <v>1862</v>
      </c>
      <c r="C1218" s="2">
        <v>8.7918210000000006</v>
      </c>
      <c r="D1218" s="2">
        <v>1.9532000000000001E-2</v>
      </c>
      <c r="E1218" s="2">
        <v>8.7534361000000001</v>
      </c>
      <c r="F1218" s="2">
        <v>8.8302054999999999</v>
      </c>
      <c r="H1218" s="8" t="str">
        <f t="shared" ref="H1218:H1221" si="50">TEXT(C1218,"0.00")&amp;" ("&amp;TEXT(E1218,"0.00")&amp;" to "&amp;TEXT(F1218,"0.00")&amp;")"</f>
        <v>8.79 (8.75 to 8.83)</v>
      </c>
    </row>
    <row r="1219" spans="1:8" ht="17.25" thickBot="1" x14ac:dyDescent="0.35">
      <c r="A1219" s="13" t="s">
        <v>67</v>
      </c>
      <c r="B1219" s="2">
        <v>1862</v>
      </c>
      <c r="C1219" s="2">
        <v>0.70123999999999997</v>
      </c>
      <c r="D1219" s="2">
        <v>2.4629999999999999E-3</v>
      </c>
      <c r="E1219" s="2">
        <v>0.69639899999999999</v>
      </c>
      <c r="F1219" s="2">
        <v>0.70608119999999996</v>
      </c>
      <c r="H1219" s="8" t="str">
        <f t="shared" si="50"/>
        <v>0.70 (0.70 to 0.71)</v>
      </c>
    </row>
    <row r="1220" spans="1:8" ht="17.25" thickBot="1" x14ac:dyDescent="0.35">
      <c r="A1220" s="13" t="s">
        <v>68</v>
      </c>
      <c r="B1220" s="2">
        <v>1862</v>
      </c>
      <c r="C1220" s="2">
        <v>0.42563000000000001</v>
      </c>
      <c r="D1220" s="2">
        <v>8.8920000000000006E-3</v>
      </c>
      <c r="E1220" s="2">
        <v>0.40815610000000002</v>
      </c>
      <c r="F1220" s="2">
        <v>0.4431041</v>
      </c>
      <c r="H1220" s="8" t="str">
        <f t="shared" si="50"/>
        <v>0.43 (0.41 to 0.44)</v>
      </c>
    </row>
    <row r="1221" spans="1:8" x14ac:dyDescent="0.3">
      <c r="A1221" s="14" t="s">
        <v>69</v>
      </c>
      <c r="B1221" s="2">
        <v>1862</v>
      </c>
      <c r="C1221" s="2">
        <v>37.278592000000003</v>
      </c>
      <c r="D1221" s="2">
        <v>0.18987899999999999</v>
      </c>
      <c r="E1221" s="2">
        <v>36.905440400000003</v>
      </c>
      <c r="F1221" s="2">
        <v>37.651743699999997</v>
      </c>
      <c r="H1221" s="8" t="str">
        <f t="shared" si="50"/>
        <v>37.28 (36.91 to 37.65)</v>
      </c>
    </row>
    <row r="1225" spans="1:8" x14ac:dyDescent="0.3">
      <c r="A1225" s="1" t="s">
        <v>129</v>
      </c>
    </row>
    <row r="1227" spans="1:8" x14ac:dyDescent="0.3">
      <c r="A1227" s="1" t="s">
        <v>193</v>
      </c>
    </row>
    <row r="1228" spans="1:8" ht="17.25" thickBot="1" x14ac:dyDescent="0.35"/>
    <row r="1229" spans="1:8" ht="16.5" customHeight="1" x14ac:dyDescent="0.3">
      <c r="A1229" s="24" t="s">
        <v>75</v>
      </c>
      <c r="B1229" s="26"/>
    </row>
    <row r="1230" spans="1:8" ht="26.25" thickBot="1" x14ac:dyDescent="0.35">
      <c r="A1230" s="13" t="s">
        <v>76</v>
      </c>
      <c r="B1230" s="2">
        <v>25</v>
      </c>
    </row>
    <row r="1231" spans="1:8" ht="26.25" thickBot="1" x14ac:dyDescent="0.35">
      <c r="A1231" s="13" t="s">
        <v>77</v>
      </c>
      <c r="B1231" s="2">
        <v>467</v>
      </c>
    </row>
    <row r="1232" spans="1:8" ht="39" thickBot="1" x14ac:dyDescent="0.35">
      <c r="A1232" s="13" t="s">
        <v>78</v>
      </c>
      <c r="B1232" s="2">
        <v>1253</v>
      </c>
    </row>
    <row r="1233" spans="1:8" ht="25.5" x14ac:dyDescent="0.3">
      <c r="A1233" s="14" t="s">
        <v>79</v>
      </c>
      <c r="B1233" s="2">
        <v>472471.75099999999</v>
      </c>
    </row>
    <row r="1234" spans="1:8" ht="17.25" thickBot="1" x14ac:dyDescent="0.35"/>
    <row r="1235" spans="1:8" ht="33" customHeight="1" x14ac:dyDescent="0.3">
      <c r="A1235" s="24" t="s">
        <v>80</v>
      </c>
      <c r="B1235" s="26"/>
    </row>
    <row r="1236" spans="1:8" ht="33.75" thickBot="1" x14ac:dyDescent="0.35">
      <c r="A1236" s="13" t="s">
        <v>81</v>
      </c>
      <c r="B1236" s="2" t="s">
        <v>82</v>
      </c>
    </row>
    <row r="1237" spans="1:8" ht="25.5" x14ac:dyDescent="0.3">
      <c r="A1237" s="14" t="s">
        <v>83</v>
      </c>
      <c r="B1237" s="2" t="s">
        <v>84</v>
      </c>
    </row>
    <row r="1238" spans="1:8" ht="17.25" thickBot="1" x14ac:dyDescent="0.35"/>
    <row r="1239" spans="1:8" ht="16.5" customHeight="1" x14ac:dyDescent="0.3">
      <c r="A1239" s="24" t="s">
        <v>130</v>
      </c>
      <c r="B1239" s="26"/>
      <c r="C1239" s="26"/>
      <c r="D1239" s="26"/>
      <c r="E1239" s="26"/>
      <c r="F1239" s="26"/>
    </row>
    <row r="1240" spans="1:8" x14ac:dyDescent="0.3">
      <c r="A1240" s="25" t="s">
        <v>131</v>
      </c>
      <c r="B1240" s="27" t="s">
        <v>46</v>
      </c>
      <c r="C1240" s="27" t="s">
        <v>132</v>
      </c>
      <c r="D1240" s="3" t="s">
        <v>133</v>
      </c>
      <c r="E1240" s="27" t="s">
        <v>135</v>
      </c>
      <c r="F1240" s="27"/>
    </row>
    <row r="1241" spans="1:8" x14ac:dyDescent="0.3">
      <c r="A1241" s="25"/>
      <c r="B1241" s="27"/>
      <c r="C1241" s="27"/>
      <c r="D1241" s="3" t="s">
        <v>134</v>
      </c>
      <c r="E1241" s="27"/>
      <c r="F1241" s="27"/>
    </row>
    <row r="1242" spans="1:8" ht="17.25" thickBot="1" x14ac:dyDescent="0.35">
      <c r="A1242" s="13" t="s">
        <v>66</v>
      </c>
      <c r="B1242" s="2">
        <v>1253</v>
      </c>
      <c r="C1242" s="2">
        <v>8.7668870000000005</v>
      </c>
      <c r="D1242" s="2">
        <v>2.3266999999999999E-2</v>
      </c>
      <c r="E1242" s="2">
        <v>8.7211592000000007</v>
      </c>
      <c r="F1242" s="2">
        <v>8.8126143999999993</v>
      </c>
      <c r="H1242" s="8" t="str">
        <f t="shared" ref="H1242:H1245" si="51">TEXT(C1242,"0.00")&amp;" ("&amp;TEXT(E1242,"0.00")&amp;" to "&amp;TEXT(F1242,"0.00")&amp;")"</f>
        <v>8.77 (8.72 to 8.81)</v>
      </c>
    </row>
    <row r="1243" spans="1:8" ht="17.25" thickBot="1" x14ac:dyDescent="0.35">
      <c r="A1243" s="13" t="s">
        <v>67</v>
      </c>
      <c r="B1243" s="2">
        <v>1253</v>
      </c>
      <c r="C1243" s="2">
        <v>0.68692299999999995</v>
      </c>
      <c r="D1243" s="2">
        <v>2.3500000000000001E-3</v>
      </c>
      <c r="E1243" s="2">
        <v>0.68230409999999997</v>
      </c>
      <c r="F1243" s="2">
        <v>0.69154139999999997</v>
      </c>
      <c r="H1243" s="8" t="str">
        <f t="shared" si="51"/>
        <v>0.69 (0.68 to 0.69)</v>
      </c>
    </row>
    <row r="1244" spans="1:8" ht="17.25" thickBot="1" x14ac:dyDescent="0.35">
      <c r="A1244" s="13" t="s">
        <v>68</v>
      </c>
      <c r="B1244" s="2">
        <v>1253</v>
      </c>
      <c r="C1244" s="2">
        <v>0.41893399999999997</v>
      </c>
      <c r="D1244" s="2">
        <v>1.1117999999999999E-2</v>
      </c>
      <c r="E1244" s="2">
        <v>0.3970825</v>
      </c>
      <c r="F1244" s="2">
        <v>0.44078509999999999</v>
      </c>
      <c r="H1244" s="8" t="str">
        <f t="shared" si="51"/>
        <v>0.42 (0.40 to 0.44)</v>
      </c>
    </row>
    <row r="1245" spans="1:8" x14ac:dyDescent="0.3">
      <c r="A1245" s="14" t="s">
        <v>69</v>
      </c>
      <c r="B1245" s="2">
        <v>1253</v>
      </c>
      <c r="C1245" s="2">
        <v>36.921506000000001</v>
      </c>
      <c r="D1245" s="2">
        <v>0.22967799999999999</v>
      </c>
      <c r="E1245" s="2">
        <v>36.470108799999998</v>
      </c>
      <c r="F1245" s="2">
        <v>37.372903800000003</v>
      </c>
      <c r="H1245" s="8" t="str">
        <f t="shared" si="51"/>
        <v>36.92 (36.47 to 37.37)</v>
      </c>
    </row>
    <row r="1249" spans="1:6" x14ac:dyDescent="0.3">
      <c r="A1249" s="1" t="s">
        <v>129</v>
      </c>
    </row>
    <row r="1251" spans="1:6" x14ac:dyDescent="0.3">
      <c r="A1251" s="1" t="s">
        <v>194</v>
      </c>
    </row>
    <row r="1252" spans="1:6" ht="17.25" thickBot="1" x14ac:dyDescent="0.35"/>
    <row r="1253" spans="1:6" ht="16.5" customHeight="1" x14ac:dyDescent="0.3">
      <c r="A1253" s="24" t="s">
        <v>75</v>
      </c>
      <c r="B1253" s="26"/>
    </row>
    <row r="1254" spans="1:6" ht="26.25" thickBot="1" x14ac:dyDescent="0.35">
      <c r="A1254" s="13" t="s">
        <v>76</v>
      </c>
      <c r="B1254" s="2">
        <v>25</v>
      </c>
    </row>
    <row r="1255" spans="1:6" ht="26.25" thickBot="1" x14ac:dyDescent="0.35">
      <c r="A1255" s="13" t="s">
        <v>77</v>
      </c>
      <c r="B1255" s="2">
        <v>570</v>
      </c>
    </row>
    <row r="1256" spans="1:6" ht="39" thickBot="1" x14ac:dyDescent="0.35">
      <c r="A1256" s="13" t="s">
        <v>78</v>
      </c>
      <c r="B1256" s="2">
        <v>3362</v>
      </c>
    </row>
    <row r="1257" spans="1:6" ht="25.5" x14ac:dyDescent="0.3">
      <c r="A1257" s="14" t="s">
        <v>79</v>
      </c>
      <c r="B1257" s="2">
        <v>1594047.1</v>
      </c>
    </row>
    <row r="1258" spans="1:6" ht="17.25" thickBot="1" x14ac:dyDescent="0.35"/>
    <row r="1259" spans="1:6" ht="33" customHeight="1" x14ac:dyDescent="0.3">
      <c r="A1259" s="24" t="s">
        <v>80</v>
      </c>
      <c r="B1259" s="26"/>
    </row>
    <row r="1260" spans="1:6" ht="33.75" thickBot="1" x14ac:dyDescent="0.35">
      <c r="A1260" s="13" t="s">
        <v>81</v>
      </c>
      <c r="B1260" s="2" t="s">
        <v>82</v>
      </c>
    </row>
    <row r="1261" spans="1:6" ht="25.5" x14ac:dyDescent="0.3">
      <c r="A1261" s="14" t="s">
        <v>83</v>
      </c>
      <c r="B1261" s="2" t="s">
        <v>84</v>
      </c>
    </row>
    <row r="1262" spans="1:6" ht="17.25" thickBot="1" x14ac:dyDescent="0.35"/>
    <row r="1263" spans="1:6" ht="16.5" customHeight="1" x14ac:dyDescent="0.3">
      <c r="A1263" s="24" t="s">
        <v>130</v>
      </c>
      <c r="B1263" s="26"/>
      <c r="C1263" s="26"/>
      <c r="D1263" s="26"/>
      <c r="E1263" s="26"/>
      <c r="F1263" s="26"/>
    </row>
    <row r="1264" spans="1:6" x14ac:dyDescent="0.3">
      <c r="A1264" s="25" t="s">
        <v>131</v>
      </c>
      <c r="B1264" s="27" t="s">
        <v>46</v>
      </c>
      <c r="C1264" s="27" t="s">
        <v>132</v>
      </c>
      <c r="D1264" s="3" t="s">
        <v>133</v>
      </c>
      <c r="E1264" s="27" t="s">
        <v>135</v>
      </c>
      <c r="F1264" s="27"/>
    </row>
    <row r="1265" spans="1:8" x14ac:dyDescent="0.3">
      <c r="A1265" s="25"/>
      <c r="B1265" s="27"/>
      <c r="C1265" s="27"/>
      <c r="D1265" s="3" t="s">
        <v>134</v>
      </c>
      <c r="E1265" s="27"/>
      <c r="F1265" s="27"/>
    </row>
    <row r="1266" spans="1:8" ht="17.25" thickBot="1" x14ac:dyDescent="0.35">
      <c r="A1266" s="13" t="s">
        <v>66</v>
      </c>
      <c r="B1266" s="2">
        <v>3362</v>
      </c>
      <c r="C1266" s="2">
        <v>8.6523769999999995</v>
      </c>
      <c r="D1266" s="2">
        <v>1.3608E-2</v>
      </c>
      <c r="E1266" s="2">
        <v>8.6256459999999997</v>
      </c>
      <c r="F1266" s="2">
        <v>8.6791076</v>
      </c>
      <c r="H1266" s="8" t="str">
        <f t="shared" ref="H1266:H1269" si="52">TEXT(C1266,"0.00")&amp;" ("&amp;TEXT(E1266,"0.00")&amp;" to "&amp;TEXT(F1266,"0.00")&amp;")"</f>
        <v>8.65 (8.63 to 8.68)</v>
      </c>
    </row>
    <row r="1267" spans="1:8" ht="17.25" thickBot="1" x14ac:dyDescent="0.35">
      <c r="A1267" s="13" t="s">
        <v>67</v>
      </c>
      <c r="B1267" s="2">
        <v>3362</v>
      </c>
      <c r="C1267" s="2">
        <v>0.66495599999999999</v>
      </c>
      <c r="D1267" s="2">
        <v>1.565E-3</v>
      </c>
      <c r="E1267" s="2">
        <v>0.66188190000000002</v>
      </c>
      <c r="F1267" s="2">
        <v>0.66803009999999996</v>
      </c>
      <c r="H1267" s="8" t="str">
        <f t="shared" si="52"/>
        <v>0.66 (0.66 to 0.67)</v>
      </c>
    </row>
    <row r="1268" spans="1:8" ht="17.25" thickBot="1" x14ac:dyDescent="0.35">
      <c r="A1268" s="13" t="s">
        <v>68</v>
      </c>
      <c r="B1268" s="2">
        <v>3362</v>
      </c>
      <c r="C1268" s="2">
        <v>0.37067499999999998</v>
      </c>
      <c r="D1268" s="2">
        <v>6.4250000000000002E-3</v>
      </c>
      <c r="E1268" s="2">
        <v>0.35805350000000002</v>
      </c>
      <c r="F1268" s="2">
        <v>0.38329679999999999</v>
      </c>
      <c r="H1268" s="8" t="str">
        <f t="shared" si="52"/>
        <v>0.37 (0.36 to 0.38)</v>
      </c>
    </row>
    <row r="1269" spans="1:8" x14ac:dyDescent="0.3">
      <c r="A1269" s="14" t="s">
        <v>69</v>
      </c>
      <c r="B1269" s="2">
        <v>3362</v>
      </c>
      <c r="C1269" s="2">
        <v>35.667811999999998</v>
      </c>
      <c r="D1269" s="2">
        <v>0.13603000000000001</v>
      </c>
      <c r="E1269" s="2">
        <v>35.400605300000002</v>
      </c>
      <c r="F1269" s="2">
        <v>35.935019400000002</v>
      </c>
      <c r="H1269" s="8" t="str">
        <f t="shared" si="52"/>
        <v>35.67 (35.40 to 35.94)</v>
      </c>
    </row>
    <row r="1273" spans="1:8" x14ac:dyDescent="0.3">
      <c r="A1273" s="1" t="s">
        <v>129</v>
      </c>
    </row>
    <row r="1275" spans="1:8" x14ac:dyDescent="0.3">
      <c r="A1275" s="1" t="s">
        <v>195</v>
      </c>
    </row>
    <row r="1276" spans="1:8" ht="17.25" thickBot="1" x14ac:dyDescent="0.35"/>
    <row r="1277" spans="1:8" ht="16.5" customHeight="1" x14ac:dyDescent="0.3">
      <c r="A1277" s="24" t="s">
        <v>75</v>
      </c>
      <c r="B1277" s="26"/>
    </row>
    <row r="1278" spans="1:8" ht="26.25" thickBot="1" x14ac:dyDescent="0.35">
      <c r="A1278" s="13" t="s">
        <v>76</v>
      </c>
      <c r="B1278" s="2">
        <v>25</v>
      </c>
    </row>
    <row r="1279" spans="1:8" ht="26.25" thickBot="1" x14ac:dyDescent="0.35">
      <c r="A1279" s="13" t="s">
        <v>77</v>
      </c>
      <c r="B1279" s="2">
        <v>555</v>
      </c>
    </row>
    <row r="1280" spans="1:8" ht="39" thickBot="1" x14ac:dyDescent="0.35">
      <c r="A1280" s="13" t="s">
        <v>78</v>
      </c>
      <c r="B1280" s="2">
        <v>4998</v>
      </c>
    </row>
    <row r="1281" spans="1:8" ht="25.5" x14ac:dyDescent="0.3">
      <c r="A1281" s="14" t="s">
        <v>79</v>
      </c>
      <c r="B1281" s="2">
        <v>2722706.18</v>
      </c>
    </row>
    <row r="1282" spans="1:8" ht="17.25" thickBot="1" x14ac:dyDescent="0.35"/>
    <row r="1283" spans="1:8" ht="33" customHeight="1" x14ac:dyDescent="0.3">
      <c r="A1283" s="24" t="s">
        <v>80</v>
      </c>
      <c r="B1283" s="26"/>
    </row>
    <row r="1284" spans="1:8" ht="33.75" thickBot="1" x14ac:dyDescent="0.35">
      <c r="A1284" s="13" t="s">
        <v>81</v>
      </c>
      <c r="B1284" s="2" t="s">
        <v>82</v>
      </c>
    </row>
    <row r="1285" spans="1:8" ht="25.5" x14ac:dyDescent="0.3">
      <c r="A1285" s="14" t="s">
        <v>83</v>
      </c>
      <c r="B1285" s="2" t="s">
        <v>84</v>
      </c>
    </row>
    <row r="1286" spans="1:8" ht="17.25" thickBot="1" x14ac:dyDescent="0.35"/>
    <row r="1287" spans="1:8" ht="16.5" customHeight="1" x14ac:dyDescent="0.3">
      <c r="A1287" s="24" t="s">
        <v>130</v>
      </c>
      <c r="B1287" s="26"/>
      <c r="C1287" s="26"/>
      <c r="D1287" s="26"/>
      <c r="E1287" s="26"/>
      <c r="F1287" s="26"/>
    </row>
    <row r="1288" spans="1:8" x14ac:dyDescent="0.3">
      <c r="A1288" s="25" t="s">
        <v>131</v>
      </c>
      <c r="B1288" s="27" t="s">
        <v>46</v>
      </c>
      <c r="C1288" s="27" t="s">
        <v>132</v>
      </c>
      <c r="D1288" s="3" t="s">
        <v>133</v>
      </c>
      <c r="E1288" s="27" t="s">
        <v>135</v>
      </c>
      <c r="F1288" s="27"/>
    </row>
    <row r="1289" spans="1:8" x14ac:dyDescent="0.3">
      <c r="A1289" s="25"/>
      <c r="B1289" s="27"/>
      <c r="C1289" s="27"/>
      <c r="D1289" s="3" t="s">
        <v>134</v>
      </c>
      <c r="E1289" s="27"/>
      <c r="F1289" s="27"/>
    </row>
    <row r="1290" spans="1:8" ht="17.25" thickBot="1" x14ac:dyDescent="0.35">
      <c r="A1290" s="13" t="s">
        <v>66</v>
      </c>
      <c r="B1290" s="2">
        <v>4998</v>
      </c>
      <c r="C1290" s="2">
        <v>8.4760399999999994</v>
      </c>
      <c r="D1290" s="2">
        <v>1.0954999999999999E-2</v>
      </c>
      <c r="E1290" s="2">
        <v>8.4545195999999994</v>
      </c>
      <c r="F1290" s="2">
        <v>8.4975596000000007</v>
      </c>
      <c r="H1290" s="8" t="str">
        <f t="shared" ref="H1290:H1293" si="53">TEXT(C1290,"0.00")&amp;" ("&amp;TEXT(E1290,"0.00")&amp;" to "&amp;TEXT(F1290,"0.00")&amp;")"</f>
        <v>8.48 (8.45 to 8.50)</v>
      </c>
    </row>
    <row r="1291" spans="1:8" ht="17.25" thickBot="1" x14ac:dyDescent="0.35">
      <c r="A1291" s="13" t="s">
        <v>67</v>
      </c>
      <c r="B1291" s="2">
        <v>4998</v>
      </c>
      <c r="C1291" s="2">
        <v>0.64116099999999998</v>
      </c>
      <c r="D1291" s="2">
        <v>1.2359999999999999E-3</v>
      </c>
      <c r="E1291" s="2">
        <v>0.63873190000000002</v>
      </c>
      <c r="F1291" s="2">
        <v>0.64358979999999999</v>
      </c>
      <c r="H1291" s="8" t="str">
        <f t="shared" si="53"/>
        <v>0.64 (0.64 to 0.64)</v>
      </c>
    </row>
    <row r="1292" spans="1:8" ht="17.25" thickBot="1" x14ac:dyDescent="0.35">
      <c r="A1292" s="13" t="s">
        <v>68</v>
      </c>
      <c r="B1292" s="2">
        <v>4998</v>
      </c>
      <c r="C1292" s="2">
        <v>0.30596800000000002</v>
      </c>
      <c r="D1292" s="2">
        <v>5.3569999999999998E-3</v>
      </c>
      <c r="E1292" s="2">
        <v>0.29544510000000002</v>
      </c>
      <c r="F1292" s="2">
        <v>0.31649169999999999</v>
      </c>
      <c r="H1292" s="8" t="str">
        <f t="shared" si="53"/>
        <v>0.31 (0.30 to 0.32)</v>
      </c>
    </row>
    <row r="1293" spans="1:8" x14ac:dyDescent="0.3">
      <c r="A1293" s="14" t="s">
        <v>69</v>
      </c>
      <c r="B1293" s="2">
        <v>4998</v>
      </c>
      <c r="C1293" s="2">
        <v>34.540787999999999</v>
      </c>
      <c r="D1293" s="2">
        <v>0.12997</v>
      </c>
      <c r="E1293" s="2">
        <v>34.285468199999997</v>
      </c>
      <c r="F1293" s="2">
        <v>34.7961071</v>
      </c>
      <c r="H1293" s="8" t="str">
        <f t="shared" si="53"/>
        <v>34.54 (34.29 to 34.80)</v>
      </c>
    </row>
    <row r="1297" spans="1:6" x14ac:dyDescent="0.3">
      <c r="A1297" s="1" t="s">
        <v>129</v>
      </c>
    </row>
    <row r="1299" spans="1:6" x14ac:dyDescent="0.3">
      <c r="A1299" s="1" t="s">
        <v>196</v>
      </c>
    </row>
    <row r="1300" spans="1:6" ht="17.25" thickBot="1" x14ac:dyDescent="0.35"/>
    <row r="1301" spans="1:6" ht="16.5" customHeight="1" x14ac:dyDescent="0.3">
      <c r="A1301" s="24" t="s">
        <v>75</v>
      </c>
      <c r="B1301" s="26"/>
    </row>
    <row r="1302" spans="1:6" ht="26.25" thickBot="1" x14ac:dyDescent="0.35">
      <c r="A1302" s="13" t="s">
        <v>76</v>
      </c>
      <c r="B1302" s="2">
        <v>54</v>
      </c>
    </row>
    <row r="1303" spans="1:6" ht="26.25" thickBot="1" x14ac:dyDescent="0.35">
      <c r="A1303" s="13" t="s">
        <v>77</v>
      </c>
      <c r="B1303" s="2">
        <v>489</v>
      </c>
    </row>
    <row r="1304" spans="1:6" ht="39" thickBot="1" x14ac:dyDescent="0.35">
      <c r="A1304" s="13" t="s">
        <v>78</v>
      </c>
      <c r="B1304" s="2">
        <v>2027</v>
      </c>
    </row>
    <row r="1305" spans="1:6" ht="25.5" x14ac:dyDescent="0.3">
      <c r="A1305" s="14" t="s">
        <v>79</v>
      </c>
      <c r="B1305" s="2">
        <v>618434.65599999996</v>
      </c>
    </row>
    <row r="1306" spans="1:6" ht="17.25" thickBot="1" x14ac:dyDescent="0.35"/>
    <row r="1307" spans="1:6" ht="33" customHeight="1" x14ac:dyDescent="0.3">
      <c r="A1307" s="24" t="s">
        <v>80</v>
      </c>
      <c r="B1307" s="26"/>
    </row>
    <row r="1308" spans="1:6" ht="33.75" thickBot="1" x14ac:dyDescent="0.35">
      <c r="A1308" s="13" t="s">
        <v>81</v>
      </c>
      <c r="B1308" s="2" t="s">
        <v>82</v>
      </c>
    </row>
    <row r="1309" spans="1:6" ht="25.5" x14ac:dyDescent="0.3">
      <c r="A1309" s="14" t="s">
        <v>83</v>
      </c>
      <c r="B1309" s="2" t="s">
        <v>84</v>
      </c>
    </row>
    <row r="1310" spans="1:6" ht="17.25" thickBot="1" x14ac:dyDescent="0.35"/>
    <row r="1311" spans="1:6" ht="16.5" customHeight="1" x14ac:dyDescent="0.3">
      <c r="A1311" s="24" t="s">
        <v>130</v>
      </c>
      <c r="B1311" s="26"/>
      <c r="C1311" s="26"/>
      <c r="D1311" s="26"/>
      <c r="E1311" s="26"/>
      <c r="F1311" s="26"/>
    </row>
    <row r="1312" spans="1:6" x14ac:dyDescent="0.3">
      <c r="A1312" s="25" t="s">
        <v>131</v>
      </c>
      <c r="B1312" s="27" t="s">
        <v>46</v>
      </c>
      <c r="C1312" s="27" t="s">
        <v>132</v>
      </c>
      <c r="D1312" s="3" t="s">
        <v>133</v>
      </c>
      <c r="E1312" s="27" t="s">
        <v>135</v>
      </c>
      <c r="F1312" s="27"/>
    </row>
    <row r="1313" spans="1:8" x14ac:dyDescent="0.3">
      <c r="A1313" s="25"/>
      <c r="B1313" s="27"/>
      <c r="C1313" s="27"/>
      <c r="D1313" s="3" t="s">
        <v>134</v>
      </c>
      <c r="E1313" s="27"/>
      <c r="F1313" s="27"/>
    </row>
    <row r="1314" spans="1:8" ht="17.25" thickBot="1" x14ac:dyDescent="0.35">
      <c r="A1314" s="13" t="s">
        <v>66</v>
      </c>
      <c r="B1314" s="2">
        <v>2027</v>
      </c>
      <c r="C1314" s="2">
        <v>8.7533759999999994</v>
      </c>
      <c r="D1314" s="2">
        <v>1.8187999999999999E-2</v>
      </c>
      <c r="E1314" s="2">
        <v>8.7176279999999995</v>
      </c>
      <c r="F1314" s="2">
        <v>8.7891235999999999</v>
      </c>
      <c r="H1314" s="8" t="str">
        <f t="shared" ref="H1314:H1317" si="54">TEXT(C1314,"0.00")&amp;" ("&amp;TEXT(E1314,"0.00")&amp;" to "&amp;TEXT(F1314,"0.00")&amp;")"</f>
        <v>8.75 (8.72 to 8.79)</v>
      </c>
    </row>
    <row r="1315" spans="1:8" ht="17.25" thickBot="1" x14ac:dyDescent="0.35">
      <c r="A1315" s="13" t="s">
        <v>67</v>
      </c>
      <c r="B1315" s="2">
        <v>2027</v>
      </c>
      <c r="C1315" s="2">
        <v>0.70706899999999995</v>
      </c>
      <c r="D1315" s="2">
        <v>2E-3</v>
      </c>
      <c r="E1315" s="2">
        <v>0.70313840000000005</v>
      </c>
      <c r="F1315" s="2">
        <v>0.71100030000000003</v>
      </c>
      <c r="H1315" s="8" t="str">
        <f t="shared" si="54"/>
        <v>0.71 (0.70 to 0.71)</v>
      </c>
    </row>
    <row r="1316" spans="1:8" ht="17.25" thickBot="1" x14ac:dyDescent="0.35">
      <c r="A1316" s="13" t="s">
        <v>68</v>
      </c>
      <c r="B1316" s="2">
        <v>2027</v>
      </c>
      <c r="C1316" s="2">
        <v>0.406495</v>
      </c>
      <c r="D1316" s="2">
        <v>8.6269999999999993E-3</v>
      </c>
      <c r="E1316" s="2">
        <v>0.38953860000000001</v>
      </c>
      <c r="F1316" s="2">
        <v>0.42345070000000001</v>
      </c>
      <c r="H1316" s="8" t="str">
        <f t="shared" si="54"/>
        <v>0.41 (0.39 to 0.42)</v>
      </c>
    </row>
    <row r="1317" spans="1:8" x14ac:dyDescent="0.3">
      <c r="A1317" s="14" t="s">
        <v>69</v>
      </c>
      <c r="B1317" s="2">
        <v>2027</v>
      </c>
      <c r="C1317" s="2">
        <v>37.226365999999999</v>
      </c>
      <c r="D1317" s="2">
        <v>0.19136500000000001</v>
      </c>
      <c r="E1317" s="2">
        <v>36.850251999999998</v>
      </c>
      <c r="F1317" s="2">
        <v>37.602480300000003</v>
      </c>
      <c r="H1317" s="8" t="str">
        <f t="shared" si="54"/>
        <v>37.23 (36.85 to 37.60)</v>
      </c>
    </row>
    <row r="1321" spans="1:8" x14ac:dyDescent="0.3">
      <c r="A1321" s="1" t="s">
        <v>129</v>
      </c>
    </row>
    <row r="1323" spans="1:8" x14ac:dyDescent="0.3">
      <c r="A1323" s="1" t="s">
        <v>197</v>
      </c>
    </row>
    <row r="1324" spans="1:8" ht="17.25" thickBot="1" x14ac:dyDescent="0.35"/>
    <row r="1325" spans="1:8" ht="16.5" customHeight="1" x14ac:dyDescent="0.3">
      <c r="A1325" s="24" t="s">
        <v>75</v>
      </c>
      <c r="B1325" s="26"/>
    </row>
    <row r="1326" spans="1:8" ht="26.25" thickBot="1" x14ac:dyDescent="0.35">
      <c r="A1326" s="13" t="s">
        <v>76</v>
      </c>
      <c r="B1326" s="2">
        <v>54</v>
      </c>
    </row>
    <row r="1327" spans="1:8" ht="26.25" thickBot="1" x14ac:dyDescent="0.35">
      <c r="A1327" s="13" t="s">
        <v>77</v>
      </c>
      <c r="B1327" s="2">
        <v>472</v>
      </c>
    </row>
    <row r="1328" spans="1:8" ht="39" thickBot="1" x14ac:dyDescent="0.35">
      <c r="A1328" s="13" t="s">
        <v>78</v>
      </c>
      <c r="B1328" s="2">
        <v>1440</v>
      </c>
    </row>
    <row r="1329" spans="1:8" ht="25.5" x14ac:dyDescent="0.3">
      <c r="A1329" s="14" t="s">
        <v>79</v>
      </c>
      <c r="B1329" s="2">
        <v>524272.79499999998</v>
      </c>
    </row>
    <row r="1330" spans="1:8" ht="17.25" thickBot="1" x14ac:dyDescent="0.35"/>
    <row r="1331" spans="1:8" ht="33" customHeight="1" x14ac:dyDescent="0.3">
      <c r="A1331" s="24" t="s">
        <v>80</v>
      </c>
      <c r="B1331" s="26"/>
    </row>
    <row r="1332" spans="1:8" ht="33.75" thickBot="1" x14ac:dyDescent="0.35">
      <c r="A1332" s="13" t="s">
        <v>81</v>
      </c>
      <c r="B1332" s="2" t="s">
        <v>82</v>
      </c>
    </row>
    <row r="1333" spans="1:8" ht="25.5" x14ac:dyDescent="0.3">
      <c r="A1333" s="14" t="s">
        <v>83</v>
      </c>
      <c r="B1333" s="2" t="s">
        <v>84</v>
      </c>
    </row>
    <row r="1334" spans="1:8" ht="17.25" thickBot="1" x14ac:dyDescent="0.35"/>
    <row r="1335" spans="1:8" ht="16.5" customHeight="1" x14ac:dyDescent="0.3">
      <c r="A1335" s="24" t="s">
        <v>130</v>
      </c>
      <c r="B1335" s="26"/>
      <c r="C1335" s="26"/>
      <c r="D1335" s="26"/>
      <c r="E1335" s="26"/>
      <c r="F1335" s="26"/>
    </row>
    <row r="1336" spans="1:8" x14ac:dyDescent="0.3">
      <c r="A1336" s="25" t="s">
        <v>131</v>
      </c>
      <c r="B1336" s="27" t="s">
        <v>46</v>
      </c>
      <c r="C1336" s="27" t="s">
        <v>132</v>
      </c>
      <c r="D1336" s="3" t="s">
        <v>133</v>
      </c>
      <c r="E1336" s="27" t="s">
        <v>135</v>
      </c>
      <c r="F1336" s="27"/>
    </row>
    <row r="1337" spans="1:8" x14ac:dyDescent="0.3">
      <c r="A1337" s="25"/>
      <c r="B1337" s="27"/>
      <c r="C1337" s="27"/>
      <c r="D1337" s="3" t="s">
        <v>134</v>
      </c>
      <c r="E1337" s="27"/>
      <c r="F1337" s="27"/>
    </row>
    <row r="1338" spans="1:8" ht="17.25" thickBot="1" x14ac:dyDescent="0.35">
      <c r="A1338" s="13" t="s">
        <v>66</v>
      </c>
      <c r="B1338" s="2">
        <v>1440</v>
      </c>
      <c r="C1338" s="2">
        <v>8.7749500000000005</v>
      </c>
      <c r="D1338" s="2">
        <v>2.1083000000000001E-2</v>
      </c>
      <c r="E1338" s="2">
        <v>8.7335086000000004</v>
      </c>
      <c r="F1338" s="2">
        <v>8.8163905000000007</v>
      </c>
      <c r="H1338" s="8" t="str">
        <f t="shared" ref="H1338:H1341" si="55">TEXT(C1338,"0.00")&amp;" ("&amp;TEXT(E1338,"0.00")&amp;" to "&amp;TEXT(F1338,"0.00")&amp;")"</f>
        <v>8.77 (8.73 to 8.82)</v>
      </c>
    </row>
    <row r="1339" spans="1:8" ht="17.25" thickBot="1" x14ac:dyDescent="0.35">
      <c r="A1339" s="13" t="s">
        <v>67</v>
      </c>
      <c r="B1339" s="2">
        <v>1440</v>
      </c>
      <c r="C1339" s="2">
        <v>0.69552599999999998</v>
      </c>
      <c r="D1339" s="2">
        <v>2.2629999999999998E-3</v>
      </c>
      <c r="E1339" s="2">
        <v>0.691079</v>
      </c>
      <c r="F1339" s="2">
        <v>0.69997379999999998</v>
      </c>
      <c r="H1339" s="8" t="str">
        <f t="shared" si="55"/>
        <v>0.70 (0.69 to 0.70)</v>
      </c>
    </row>
    <row r="1340" spans="1:8" ht="17.25" thickBot="1" x14ac:dyDescent="0.35">
      <c r="A1340" s="13" t="s">
        <v>68</v>
      </c>
      <c r="B1340" s="2">
        <v>1440</v>
      </c>
      <c r="C1340" s="2">
        <v>0.41419</v>
      </c>
      <c r="D1340" s="2">
        <v>1.0309E-2</v>
      </c>
      <c r="E1340" s="2">
        <v>0.39392569999999999</v>
      </c>
      <c r="F1340" s="2">
        <v>0.43445339999999999</v>
      </c>
      <c r="H1340" s="8" t="str">
        <f t="shared" si="55"/>
        <v>0.41 (0.39 to 0.43)</v>
      </c>
    </row>
    <row r="1341" spans="1:8" x14ac:dyDescent="0.3">
      <c r="A1341" s="14" t="s">
        <v>69</v>
      </c>
      <c r="B1341" s="2">
        <v>1440</v>
      </c>
      <c r="C1341" s="2">
        <v>37.202325999999999</v>
      </c>
      <c r="D1341" s="2">
        <v>0.23511499999999999</v>
      </c>
      <c r="E1341" s="2">
        <v>36.740170999999997</v>
      </c>
      <c r="F1341" s="2">
        <v>37.664481700000003</v>
      </c>
      <c r="H1341" s="8" t="str">
        <f t="shared" si="55"/>
        <v>37.20 (36.74 to 37.66)</v>
      </c>
    </row>
    <row r="1345" spans="1:6" x14ac:dyDescent="0.3">
      <c r="A1345" s="1" t="s">
        <v>129</v>
      </c>
    </row>
    <row r="1347" spans="1:6" x14ac:dyDescent="0.3">
      <c r="A1347" s="1" t="s">
        <v>198</v>
      </c>
    </row>
    <row r="1348" spans="1:6" ht="17.25" thickBot="1" x14ac:dyDescent="0.35"/>
    <row r="1349" spans="1:6" ht="16.5" customHeight="1" x14ac:dyDescent="0.3">
      <c r="A1349" s="24" t="s">
        <v>75</v>
      </c>
      <c r="B1349" s="26"/>
    </row>
    <row r="1350" spans="1:6" ht="26.25" thickBot="1" x14ac:dyDescent="0.35">
      <c r="A1350" s="13" t="s">
        <v>76</v>
      </c>
      <c r="B1350" s="2">
        <v>54</v>
      </c>
    </row>
    <row r="1351" spans="1:6" ht="26.25" thickBot="1" x14ac:dyDescent="0.35">
      <c r="A1351" s="13" t="s">
        <v>77</v>
      </c>
      <c r="B1351" s="2">
        <v>564</v>
      </c>
    </row>
    <row r="1352" spans="1:6" ht="39" thickBot="1" x14ac:dyDescent="0.35">
      <c r="A1352" s="13" t="s">
        <v>78</v>
      </c>
      <c r="B1352" s="2">
        <v>3929</v>
      </c>
    </row>
    <row r="1353" spans="1:6" ht="25.5" x14ac:dyDescent="0.3">
      <c r="A1353" s="14" t="s">
        <v>79</v>
      </c>
      <c r="B1353" s="2">
        <v>1750911.52</v>
      </c>
    </row>
    <row r="1354" spans="1:6" ht="17.25" thickBot="1" x14ac:dyDescent="0.35"/>
    <row r="1355" spans="1:6" ht="33" customHeight="1" x14ac:dyDescent="0.3">
      <c r="A1355" s="24" t="s">
        <v>80</v>
      </c>
      <c r="B1355" s="26"/>
    </row>
    <row r="1356" spans="1:6" ht="33.75" thickBot="1" x14ac:dyDescent="0.35">
      <c r="A1356" s="13" t="s">
        <v>81</v>
      </c>
      <c r="B1356" s="2" t="s">
        <v>82</v>
      </c>
    </row>
    <row r="1357" spans="1:6" ht="25.5" x14ac:dyDescent="0.3">
      <c r="A1357" s="14" t="s">
        <v>83</v>
      </c>
      <c r="B1357" s="2" t="s">
        <v>84</v>
      </c>
    </row>
    <row r="1358" spans="1:6" ht="17.25" thickBot="1" x14ac:dyDescent="0.35"/>
    <row r="1359" spans="1:6" ht="16.5" customHeight="1" x14ac:dyDescent="0.3">
      <c r="A1359" s="24" t="s">
        <v>130</v>
      </c>
      <c r="B1359" s="26"/>
      <c r="C1359" s="26"/>
      <c r="D1359" s="26"/>
      <c r="E1359" s="26"/>
      <c r="F1359" s="26"/>
    </row>
    <row r="1360" spans="1:6" x14ac:dyDescent="0.3">
      <c r="A1360" s="25" t="s">
        <v>131</v>
      </c>
      <c r="B1360" s="27" t="s">
        <v>46</v>
      </c>
      <c r="C1360" s="27" t="s">
        <v>132</v>
      </c>
      <c r="D1360" s="3" t="s">
        <v>133</v>
      </c>
      <c r="E1360" s="27" t="s">
        <v>135</v>
      </c>
      <c r="F1360" s="27"/>
    </row>
    <row r="1361" spans="1:8" x14ac:dyDescent="0.3">
      <c r="A1361" s="25"/>
      <c r="B1361" s="27"/>
      <c r="C1361" s="27"/>
      <c r="D1361" s="3" t="s">
        <v>134</v>
      </c>
      <c r="E1361" s="27"/>
      <c r="F1361" s="27"/>
    </row>
    <row r="1362" spans="1:8" ht="17.25" thickBot="1" x14ac:dyDescent="0.35">
      <c r="A1362" s="13" t="s">
        <v>66</v>
      </c>
      <c r="B1362" s="2">
        <v>3929</v>
      </c>
      <c r="C1362" s="2">
        <v>8.6838870000000004</v>
      </c>
      <c r="D1362" s="2">
        <v>1.3944E-2</v>
      </c>
      <c r="E1362" s="2">
        <v>8.6564928000000005</v>
      </c>
      <c r="F1362" s="2">
        <v>8.7112820000000006</v>
      </c>
      <c r="H1362" s="8" t="str">
        <f t="shared" ref="H1362:H1365" si="56">TEXT(C1362,"0.00")&amp;" ("&amp;TEXT(E1362,"0.00")&amp;" to "&amp;TEXT(F1362,"0.00")&amp;")"</f>
        <v>8.68 (8.66 to 8.71)</v>
      </c>
    </row>
    <row r="1363" spans="1:8" ht="17.25" thickBot="1" x14ac:dyDescent="0.35">
      <c r="A1363" s="13" t="s">
        <v>67</v>
      </c>
      <c r="B1363" s="2">
        <v>3929</v>
      </c>
      <c r="C1363" s="2">
        <v>0.67217800000000005</v>
      </c>
      <c r="D1363" s="2">
        <v>1.5E-3</v>
      </c>
      <c r="E1363" s="2">
        <v>0.66923129999999997</v>
      </c>
      <c r="F1363" s="2">
        <v>0.67512510000000003</v>
      </c>
      <c r="H1363" s="8" t="str">
        <f t="shared" si="56"/>
        <v>0.67 (0.67 to 0.68)</v>
      </c>
    </row>
    <row r="1364" spans="1:8" ht="17.25" thickBot="1" x14ac:dyDescent="0.35">
      <c r="A1364" s="13" t="s">
        <v>68</v>
      </c>
      <c r="B1364" s="2">
        <v>3929</v>
      </c>
      <c r="C1364" s="2">
        <v>0.37442599999999998</v>
      </c>
      <c r="D1364" s="2">
        <v>6.7939999999999997E-3</v>
      </c>
      <c r="E1364" s="2">
        <v>0.36107869999999997</v>
      </c>
      <c r="F1364" s="2">
        <v>0.38777349999999999</v>
      </c>
      <c r="H1364" s="8" t="str">
        <f t="shared" si="56"/>
        <v>0.37 (0.36 to 0.39)</v>
      </c>
    </row>
    <row r="1365" spans="1:8" x14ac:dyDescent="0.3">
      <c r="A1365" s="14" t="s">
        <v>69</v>
      </c>
      <c r="B1365" s="2">
        <v>3929</v>
      </c>
      <c r="C1365" s="2">
        <v>36.242514999999997</v>
      </c>
      <c r="D1365" s="2">
        <v>0.14956700000000001</v>
      </c>
      <c r="E1365" s="2">
        <v>35.948671599999997</v>
      </c>
      <c r="F1365" s="2">
        <v>36.536358900000003</v>
      </c>
      <c r="H1365" s="8" t="str">
        <f t="shared" si="56"/>
        <v>36.24 (35.95 to 36.54)</v>
      </c>
    </row>
    <row r="1369" spans="1:8" x14ac:dyDescent="0.3">
      <c r="A1369" s="1" t="s">
        <v>129</v>
      </c>
    </row>
    <row r="1371" spans="1:8" x14ac:dyDescent="0.3">
      <c r="A1371" s="1" t="s">
        <v>199</v>
      </c>
    </row>
    <row r="1372" spans="1:8" ht="17.25" thickBot="1" x14ac:dyDescent="0.35"/>
    <row r="1373" spans="1:8" ht="16.5" customHeight="1" x14ac:dyDescent="0.3">
      <c r="A1373" s="24" t="s">
        <v>75</v>
      </c>
      <c r="B1373" s="26"/>
    </row>
    <row r="1374" spans="1:8" ht="26.25" thickBot="1" x14ac:dyDescent="0.35">
      <c r="A1374" s="13" t="s">
        <v>76</v>
      </c>
      <c r="B1374" s="2">
        <v>54</v>
      </c>
    </row>
    <row r="1375" spans="1:8" ht="26.25" thickBot="1" x14ac:dyDescent="0.35">
      <c r="A1375" s="13" t="s">
        <v>77</v>
      </c>
      <c r="B1375" s="2">
        <v>565</v>
      </c>
    </row>
    <row r="1376" spans="1:8" ht="39" thickBot="1" x14ac:dyDescent="0.35">
      <c r="A1376" s="13" t="s">
        <v>78</v>
      </c>
      <c r="B1376" s="2">
        <v>6762</v>
      </c>
    </row>
    <row r="1377" spans="1:8" ht="25.5" x14ac:dyDescent="0.3">
      <c r="A1377" s="14" t="s">
        <v>79</v>
      </c>
      <c r="B1377" s="2">
        <v>3427341.54</v>
      </c>
    </row>
    <row r="1378" spans="1:8" ht="17.25" thickBot="1" x14ac:dyDescent="0.35"/>
    <row r="1379" spans="1:8" ht="33" customHeight="1" x14ac:dyDescent="0.3">
      <c r="A1379" s="24" t="s">
        <v>80</v>
      </c>
      <c r="B1379" s="26"/>
    </row>
    <row r="1380" spans="1:8" ht="33.75" thickBot="1" x14ac:dyDescent="0.35">
      <c r="A1380" s="13" t="s">
        <v>81</v>
      </c>
      <c r="B1380" s="2" t="s">
        <v>82</v>
      </c>
    </row>
    <row r="1381" spans="1:8" ht="25.5" x14ac:dyDescent="0.3">
      <c r="A1381" s="14" t="s">
        <v>83</v>
      </c>
      <c r="B1381" s="2" t="s">
        <v>84</v>
      </c>
    </row>
    <row r="1382" spans="1:8" ht="17.25" thickBot="1" x14ac:dyDescent="0.35"/>
    <row r="1383" spans="1:8" ht="16.5" customHeight="1" x14ac:dyDescent="0.3">
      <c r="A1383" s="24" t="s">
        <v>130</v>
      </c>
      <c r="B1383" s="26"/>
      <c r="C1383" s="26"/>
      <c r="D1383" s="26"/>
      <c r="E1383" s="26"/>
      <c r="F1383" s="26"/>
    </row>
    <row r="1384" spans="1:8" x14ac:dyDescent="0.3">
      <c r="A1384" s="25" t="s">
        <v>131</v>
      </c>
      <c r="B1384" s="27" t="s">
        <v>46</v>
      </c>
      <c r="C1384" s="27" t="s">
        <v>132</v>
      </c>
      <c r="D1384" s="3" t="s">
        <v>133</v>
      </c>
      <c r="E1384" s="27" t="s">
        <v>135</v>
      </c>
      <c r="F1384" s="27"/>
    </row>
    <row r="1385" spans="1:8" x14ac:dyDescent="0.3">
      <c r="A1385" s="25"/>
      <c r="B1385" s="27"/>
      <c r="C1385" s="27"/>
      <c r="D1385" s="3" t="s">
        <v>134</v>
      </c>
      <c r="E1385" s="27"/>
      <c r="F1385" s="27"/>
    </row>
    <row r="1386" spans="1:8" ht="17.25" thickBot="1" x14ac:dyDescent="0.35">
      <c r="A1386" s="13" t="s">
        <v>66</v>
      </c>
      <c r="B1386" s="2">
        <v>6762</v>
      </c>
      <c r="C1386" s="2">
        <v>8.5205870000000008</v>
      </c>
      <c r="D1386" s="2">
        <v>9.8119999999999995E-3</v>
      </c>
      <c r="E1386" s="2">
        <v>8.5013105000000007</v>
      </c>
      <c r="F1386" s="2">
        <v>8.5398639999999997</v>
      </c>
      <c r="H1386" s="8" t="str">
        <f t="shared" ref="H1386:H1389" si="57">TEXT(C1386,"0.00")&amp;" ("&amp;TEXT(E1386,"0.00")&amp;" to "&amp;TEXT(F1386,"0.00")&amp;")"</f>
        <v>8.52 (8.50 to 8.54)</v>
      </c>
    </row>
    <row r="1387" spans="1:8" ht="17.25" thickBot="1" x14ac:dyDescent="0.35">
      <c r="A1387" s="13" t="s">
        <v>67</v>
      </c>
      <c r="B1387" s="2">
        <v>6762</v>
      </c>
      <c r="C1387" s="2">
        <v>0.64823399999999998</v>
      </c>
      <c r="D1387" s="2">
        <v>1.1559999999999999E-3</v>
      </c>
      <c r="E1387" s="2">
        <v>0.64596290000000001</v>
      </c>
      <c r="F1387" s="2">
        <v>0.65050509999999995</v>
      </c>
      <c r="H1387" s="8" t="str">
        <f t="shared" si="57"/>
        <v>0.65 (0.65 to 0.65)</v>
      </c>
    </row>
    <row r="1388" spans="1:8" ht="17.25" thickBot="1" x14ac:dyDescent="0.35">
      <c r="A1388" s="13" t="s">
        <v>68</v>
      </c>
      <c r="B1388" s="2">
        <v>6762</v>
      </c>
      <c r="C1388" s="2">
        <v>0.32299099999999997</v>
      </c>
      <c r="D1388" s="2">
        <v>4.9379999999999997E-3</v>
      </c>
      <c r="E1388" s="2">
        <v>0.3132894</v>
      </c>
      <c r="F1388" s="2">
        <v>0.33269280000000001</v>
      </c>
      <c r="H1388" s="8" t="str">
        <f t="shared" si="57"/>
        <v>0.32 (0.31 to 0.33)</v>
      </c>
    </row>
    <row r="1389" spans="1:8" x14ac:dyDescent="0.3">
      <c r="A1389" s="14" t="s">
        <v>69</v>
      </c>
      <c r="B1389" s="2">
        <v>6762</v>
      </c>
      <c r="C1389" s="2">
        <v>34.991695999999997</v>
      </c>
      <c r="D1389" s="2">
        <v>0.113871</v>
      </c>
      <c r="E1389" s="2">
        <v>34.767983700000002</v>
      </c>
      <c r="F1389" s="2">
        <v>35.215408400000001</v>
      </c>
      <c r="H1389" s="8" t="str">
        <f t="shared" si="57"/>
        <v>34.99 (34.77 to 35.22)</v>
      </c>
    </row>
    <row r="1393" spans="1:6" x14ac:dyDescent="0.3">
      <c r="A1393" s="1" t="s">
        <v>129</v>
      </c>
    </row>
    <row r="1395" spans="1:6" x14ac:dyDescent="0.3">
      <c r="A1395" s="1" t="s">
        <v>200</v>
      </c>
    </row>
    <row r="1396" spans="1:6" ht="17.25" thickBot="1" x14ac:dyDescent="0.35"/>
    <row r="1397" spans="1:6" ht="16.5" customHeight="1" x14ac:dyDescent="0.3">
      <c r="A1397" s="24" t="s">
        <v>75</v>
      </c>
      <c r="B1397" s="26"/>
    </row>
    <row r="1398" spans="1:6" ht="26.25" thickBot="1" x14ac:dyDescent="0.35">
      <c r="A1398" s="13" t="s">
        <v>76</v>
      </c>
      <c r="B1398" s="2">
        <v>27</v>
      </c>
    </row>
    <row r="1399" spans="1:6" ht="26.25" thickBot="1" x14ac:dyDescent="0.35">
      <c r="A1399" s="13" t="s">
        <v>77</v>
      </c>
      <c r="B1399" s="2">
        <v>435</v>
      </c>
    </row>
    <row r="1400" spans="1:6" ht="39" thickBot="1" x14ac:dyDescent="0.35">
      <c r="A1400" s="13" t="s">
        <v>78</v>
      </c>
      <c r="B1400" s="2">
        <v>1623</v>
      </c>
    </row>
    <row r="1401" spans="1:6" ht="25.5" x14ac:dyDescent="0.3">
      <c r="A1401" s="14" t="s">
        <v>79</v>
      </c>
      <c r="B1401" s="2">
        <v>505993.94500000001</v>
      </c>
    </row>
    <row r="1402" spans="1:6" ht="17.25" thickBot="1" x14ac:dyDescent="0.35"/>
    <row r="1403" spans="1:6" ht="33" customHeight="1" x14ac:dyDescent="0.3">
      <c r="A1403" s="24" t="s">
        <v>80</v>
      </c>
      <c r="B1403" s="26"/>
    </row>
    <row r="1404" spans="1:6" ht="33.75" thickBot="1" x14ac:dyDescent="0.35">
      <c r="A1404" s="13" t="s">
        <v>81</v>
      </c>
      <c r="B1404" s="2" t="s">
        <v>82</v>
      </c>
    </row>
    <row r="1405" spans="1:6" ht="25.5" x14ac:dyDescent="0.3">
      <c r="A1405" s="14" t="s">
        <v>83</v>
      </c>
      <c r="B1405" s="2" t="s">
        <v>84</v>
      </c>
    </row>
    <row r="1406" spans="1:6" ht="17.25" thickBot="1" x14ac:dyDescent="0.35"/>
    <row r="1407" spans="1:6" ht="16.5" customHeight="1" x14ac:dyDescent="0.3">
      <c r="A1407" s="24" t="s">
        <v>130</v>
      </c>
      <c r="B1407" s="26"/>
      <c r="C1407" s="26"/>
      <c r="D1407" s="26"/>
      <c r="E1407" s="26"/>
      <c r="F1407" s="26"/>
    </row>
    <row r="1408" spans="1:6" x14ac:dyDescent="0.3">
      <c r="A1408" s="25" t="s">
        <v>131</v>
      </c>
      <c r="B1408" s="27" t="s">
        <v>46</v>
      </c>
      <c r="C1408" s="27" t="s">
        <v>132</v>
      </c>
      <c r="D1408" s="3" t="s">
        <v>133</v>
      </c>
      <c r="E1408" s="27" t="s">
        <v>135</v>
      </c>
      <c r="F1408" s="27"/>
    </row>
    <row r="1409" spans="1:8" x14ac:dyDescent="0.3">
      <c r="A1409" s="25"/>
      <c r="B1409" s="27"/>
      <c r="C1409" s="27"/>
      <c r="D1409" s="3" t="s">
        <v>134</v>
      </c>
      <c r="E1409" s="27"/>
      <c r="F1409" s="27"/>
    </row>
    <row r="1410" spans="1:8" ht="17.25" thickBot="1" x14ac:dyDescent="0.35">
      <c r="A1410" s="13" t="s">
        <v>66</v>
      </c>
      <c r="B1410" s="2">
        <v>1623</v>
      </c>
      <c r="C1410" s="2">
        <v>8.7232710000000004</v>
      </c>
      <c r="D1410" s="2">
        <v>1.8359E-2</v>
      </c>
      <c r="E1410" s="2">
        <v>8.6871820999999994</v>
      </c>
      <c r="F1410" s="2">
        <v>8.7593603000000009</v>
      </c>
      <c r="H1410" s="8" t="str">
        <f t="shared" ref="H1410:H1413" si="58">TEXT(C1410,"0.00")&amp;" ("&amp;TEXT(E1410,"0.00")&amp;" to "&amp;TEXT(F1410,"0.00")&amp;")"</f>
        <v>8.72 (8.69 to 8.76)</v>
      </c>
    </row>
    <row r="1411" spans="1:8" ht="17.25" thickBot="1" x14ac:dyDescent="0.35">
      <c r="A1411" s="13" t="s">
        <v>67</v>
      </c>
      <c r="B1411" s="2">
        <v>1623</v>
      </c>
      <c r="C1411" s="2">
        <v>0.72227300000000005</v>
      </c>
      <c r="D1411" s="2">
        <v>1.9480000000000001E-3</v>
      </c>
      <c r="E1411" s="2">
        <v>0.71844339999999995</v>
      </c>
      <c r="F1411" s="2">
        <v>0.72610229999999998</v>
      </c>
      <c r="H1411" s="8" t="str">
        <f t="shared" si="58"/>
        <v>0.72 (0.72 to 0.73)</v>
      </c>
    </row>
    <row r="1412" spans="1:8" ht="17.25" thickBot="1" x14ac:dyDescent="0.35">
      <c r="A1412" s="13" t="s">
        <v>68</v>
      </c>
      <c r="B1412" s="2">
        <v>1623</v>
      </c>
      <c r="C1412" s="2">
        <v>0.383654</v>
      </c>
      <c r="D1412" s="2">
        <v>9.2969999999999997E-3</v>
      </c>
      <c r="E1412" s="2">
        <v>0.36537760000000002</v>
      </c>
      <c r="F1412" s="2">
        <v>0.40193060000000003</v>
      </c>
      <c r="H1412" s="8" t="str">
        <f t="shared" si="58"/>
        <v>0.38 (0.37 to 0.40)</v>
      </c>
    </row>
    <row r="1413" spans="1:8" x14ac:dyDescent="0.3">
      <c r="A1413" s="14" t="s">
        <v>69</v>
      </c>
      <c r="B1413" s="2">
        <v>1623</v>
      </c>
      <c r="C1413" s="2">
        <v>37.182011000000003</v>
      </c>
      <c r="D1413" s="2">
        <v>0.20097699999999999</v>
      </c>
      <c r="E1413" s="2">
        <v>36.786930599999998</v>
      </c>
      <c r="F1413" s="2">
        <v>37.577091899999999</v>
      </c>
      <c r="H1413" s="8" t="str">
        <f t="shared" si="58"/>
        <v>37.18 (36.79 to 37.58)</v>
      </c>
    </row>
    <row r="1417" spans="1:8" x14ac:dyDescent="0.3">
      <c r="A1417" s="1" t="s">
        <v>129</v>
      </c>
    </row>
    <row r="1419" spans="1:8" x14ac:dyDescent="0.3">
      <c r="A1419" s="1" t="s">
        <v>201</v>
      </c>
    </row>
    <row r="1420" spans="1:8" ht="17.25" thickBot="1" x14ac:dyDescent="0.35"/>
    <row r="1421" spans="1:8" ht="16.5" customHeight="1" x14ac:dyDescent="0.3">
      <c r="A1421" s="24" t="s">
        <v>75</v>
      </c>
      <c r="B1421" s="26"/>
    </row>
    <row r="1422" spans="1:8" ht="26.25" thickBot="1" x14ac:dyDescent="0.35">
      <c r="A1422" s="13" t="s">
        <v>76</v>
      </c>
      <c r="B1422" s="2">
        <v>27</v>
      </c>
    </row>
    <row r="1423" spans="1:8" ht="26.25" thickBot="1" x14ac:dyDescent="0.35">
      <c r="A1423" s="13" t="s">
        <v>77</v>
      </c>
      <c r="B1423" s="2">
        <v>451</v>
      </c>
    </row>
    <row r="1424" spans="1:8" ht="39" thickBot="1" x14ac:dyDescent="0.35">
      <c r="A1424" s="13" t="s">
        <v>78</v>
      </c>
      <c r="B1424" s="2">
        <v>1268</v>
      </c>
    </row>
    <row r="1425" spans="1:8" ht="25.5" x14ac:dyDescent="0.3">
      <c r="A1425" s="14" t="s">
        <v>79</v>
      </c>
      <c r="B1425" s="2">
        <v>450107.07</v>
      </c>
    </row>
    <row r="1426" spans="1:8" ht="17.25" thickBot="1" x14ac:dyDescent="0.35"/>
    <row r="1427" spans="1:8" ht="33" customHeight="1" x14ac:dyDescent="0.3">
      <c r="A1427" s="24" t="s">
        <v>80</v>
      </c>
      <c r="B1427" s="26"/>
    </row>
    <row r="1428" spans="1:8" ht="33.75" thickBot="1" x14ac:dyDescent="0.35">
      <c r="A1428" s="13" t="s">
        <v>81</v>
      </c>
      <c r="B1428" s="2" t="s">
        <v>82</v>
      </c>
    </row>
    <row r="1429" spans="1:8" ht="25.5" x14ac:dyDescent="0.3">
      <c r="A1429" s="14" t="s">
        <v>83</v>
      </c>
      <c r="B1429" s="2" t="s">
        <v>84</v>
      </c>
    </row>
    <row r="1430" spans="1:8" ht="17.25" thickBot="1" x14ac:dyDescent="0.35"/>
    <row r="1431" spans="1:8" ht="16.5" customHeight="1" x14ac:dyDescent="0.3">
      <c r="A1431" s="24" t="s">
        <v>130</v>
      </c>
      <c r="B1431" s="26"/>
      <c r="C1431" s="26"/>
      <c r="D1431" s="26"/>
      <c r="E1431" s="26"/>
      <c r="F1431" s="26"/>
    </row>
    <row r="1432" spans="1:8" x14ac:dyDescent="0.3">
      <c r="A1432" s="25" t="s">
        <v>131</v>
      </c>
      <c r="B1432" s="27" t="s">
        <v>46</v>
      </c>
      <c r="C1432" s="27" t="s">
        <v>132</v>
      </c>
      <c r="D1432" s="3" t="s">
        <v>133</v>
      </c>
      <c r="E1432" s="27" t="s">
        <v>135</v>
      </c>
      <c r="F1432" s="27"/>
    </row>
    <row r="1433" spans="1:8" x14ac:dyDescent="0.3">
      <c r="A1433" s="25"/>
      <c r="B1433" s="27"/>
      <c r="C1433" s="27"/>
      <c r="D1433" s="3" t="s">
        <v>134</v>
      </c>
      <c r="E1433" s="27"/>
      <c r="F1433" s="27"/>
    </row>
    <row r="1434" spans="1:8" ht="17.25" thickBot="1" x14ac:dyDescent="0.35">
      <c r="A1434" s="13" t="s">
        <v>66</v>
      </c>
      <c r="B1434" s="2">
        <v>1268</v>
      </c>
      <c r="C1434" s="2">
        <v>8.7289600000000007</v>
      </c>
      <c r="D1434" s="2">
        <v>2.1749999999999999E-2</v>
      </c>
      <c r="E1434" s="2">
        <v>8.6862081999999994</v>
      </c>
      <c r="F1434" s="2">
        <v>8.7717124000000002</v>
      </c>
      <c r="H1434" s="8" t="str">
        <f t="shared" ref="H1434:H1437" si="59">TEXT(C1434,"0.00")&amp;" ("&amp;TEXT(E1434,"0.00")&amp;" to "&amp;TEXT(F1434,"0.00")&amp;")"</f>
        <v>8.73 (8.69 to 8.77)</v>
      </c>
    </row>
    <row r="1435" spans="1:8" ht="17.25" thickBot="1" x14ac:dyDescent="0.35">
      <c r="A1435" s="13" t="s">
        <v>67</v>
      </c>
      <c r="B1435" s="2">
        <v>1268</v>
      </c>
      <c r="C1435" s="2">
        <v>0.71042799999999995</v>
      </c>
      <c r="D1435" s="2">
        <v>2.4239999999999999E-3</v>
      </c>
      <c r="E1435" s="2">
        <v>0.70566260000000003</v>
      </c>
      <c r="F1435" s="2">
        <v>0.71519279999999996</v>
      </c>
      <c r="H1435" s="8" t="str">
        <f t="shared" si="59"/>
        <v>0.71 (0.71 to 0.72)</v>
      </c>
    </row>
    <row r="1436" spans="1:8" ht="17.25" thickBot="1" x14ac:dyDescent="0.35">
      <c r="A1436" s="13" t="s">
        <v>68</v>
      </c>
      <c r="B1436" s="2">
        <v>1268</v>
      </c>
      <c r="C1436" s="2">
        <v>0.373867</v>
      </c>
      <c r="D1436" s="2">
        <v>1.0697E-2</v>
      </c>
      <c r="E1436" s="2">
        <v>0.35284149999999997</v>
      </c>
      <c r="F1436" s="2">
        <v>0.39489249999999998</v>
      </c>
      <c r="H1436" s="8" t="str">
        <f t="shared" si="59"/>
        <v>0.37 (0.35 to 0.39)</v>
      </c>
    </row>
    <row r="1437" spans="1:8" x14ac:dyDescent="0.3">
      <c r="A1437" s="14" t="s">
        <v>69</v>
      </c>
      <c r="B1437" s="2">
        <v>1268</v>
      </c>
      <c r="C1437" s="2">
        <v>36.877667000000002</v>
      </c>
      <c r="D1437" s="2">
        <v>0.22284499999999999</v>
      </c>
      <c r="E1437" s="2">
        <v>36.439647999999998</v>
      </c>
      <c r="F1437" s="2">
        <v>37.315685000000002</v>
      </c>
      <c r="H1437" s="8" t="str">
        <f t="shared" si="59"/>
        <v>36.88 (36.44 to 37.32)</v>
      </c>
    </row>
    <row r="1441" spans="1:6" x14ac:dyDescent="0.3">
      <c r="A1441" s="1" t="s">
        <v>129</v>
      </c>
    </row>
    <row r="1443" spans="1:6" x14ac:dyDescent="0.3">
      <c r="A1443" s="1" t="s">
        <v>202</v>
      </c>
    </row>
    <row r="1444" spans="1:6" ht="17.25" thickBot="1" x14ac:dyDescent="0.35"/>
    <row r="1445" spans="1:6" ht="16.5" customHeight="1" x14ac:dyDescent="0.3">
      <c r="A1445" s="24" t="s">
        <v>75</v>
      </c>
      <c r="B1445" s="26"/>
    </row>
    <row r="1446" spans="1:6" ht="26.25" thickBot="1" x14ac:dyDescent="0.35">
      <c r="A1446" s="13" t="s">
        <v>76</v>
      </c>
      <c r="B1446" s="2">
        <v>27</v>
      </c>
    </row>
    <row r="1447" spans="1:6" ht="26.25" thickBot="1" x14ac:dyDescent="0.35">
      <c r="A1447" s="13" t="s">
        <v>77</v>
      </c>
      <c r="B1447" s="2">
        <v>556</v>
      </c>
    </row>
    <row r="1448" spans="1:6" ht="39" thickBot="1" x14ac:dyDescent="0.35">
      <c r="A1448" s="13" t="s">
        <v>78</v>
      </c>
      <c r="B1448" s="2">
        <v>3878</v>
      </c>
    </row>
    <row r="1449" spans="1:6" ht="25.5" x14ac:dyDescent="0.3">
      <c r="A1449" s="14" t="s">
        <v>79</v>
      </c>
      <c r="B1449" s="2">
        <v>1895810.81</v>
      </c>
    </row>
    <row r="1450" spans="1:6" ht="17.25" thickBot="1" x14ac:dyDescent="0.35"/>
    <row r="1451" spans="1:6" ht="33" customHeight="1" x14ac:dyDescent="0.3">
      <c r="A1451" s="24" t="s">
        <v>80</v>
      </c>
      <c r="B1451" s="26"/>
    </row>
    <row r="1452" spans="1:6" ht="33.75" thickBot="1" x14ac:dyDescent="0.35">
      <c r="A1452" s="13" t="s">
        <v>81</v>
      </c>
      <c r="B1452" s="2" t="s">
        <v>82</v>
      </c>
    </row>
    <row r="1453" spans="1:6" ht="25.5" x14ac:dyDescent="0.3">
      <c r="A1453" s="14" t="s">
        <v>83</v>
      </c>
      <c r="B1453" s="2" t="s">
        <v>84</v>
      </c>
    </row>
    <row r="1454" spans="1:6" ht="17.25" thickBot="1" x14ac:dyDescent="0.35"/>
    <row r="1455" spans="1:6" ht="16.5" customHeight="1" x14ac:dyDescent="0.3">
      <c r="A1455" s="24" t="s">
        <v>130</v>
      </c>
      <c r="B1455" s="26"/>
      <c r="C1455" s="26"/>
      <c r="D1455" s="26"/>
      <c r="E1455" s="26"/>
      <c r="F1455" s="26"/>
    </row>
    <row r="1456" spans="1:6" x14ac:dyDescent="0.3">
      <c r="A1456" s="25" t="s">
        <v>131</v>
      </c>
      <c r="B1456" s="27" t="s">
        <v>46</v>
      </c>
      <c r="C1456" s="27" t="s">
        <v>132</v>
      </c>
      <c r="D1456" s="3" t="s">
        <v>133</v>
      </c>
      <c r="E1456" s="27" t="s">
        <v>135</v>
      </c>
      <c r="F1456" s="27"/>
    </row>
    <row r="1457" spans="1:8" x14ac:dyDescent="0.3">
      <c r="A1457" s="25"/>
      <c r="B1457" s="27"/>
      <c r="C1457" s="27"/>
      <c r="D1457" s="3" t="s">
        <v>134</v>
      </c>
      <c r="E1457" s="27"/>
      <c r="F1457" s="27"/>
    </row>
    <row r="1458" spans="1:8" ht="17.25" thickBot="1" x14ac:dyDescent="0.35">
      <c r="A1458" s="13" t="s">
        <v>66</v>
      </c>
      <c r="B1458" s="2">
        <v>3878</v>
      </c>
      <c r="C1458" s="2">
        <v>8.6747540000000001</v>
      </c>
      <c r="D1458" s="2">
        <v>1.3582E-2</v>
      </c>
      <c r="E1458" s="2">
        <v>8.6480713999999992</v>
      </c>
      <c r="F1458" s="2">
        <v>8.7014356999999993</v>
      </c>
      <c r="H1458" s="8" t="str">
        <f t="shared" ref="H1458:H1461" si="60">TEXT(C1458,"0.00")&amp;" ("&amp;TEXT(E1458,"0.00")&amp;" to "&amp;TEXT(F1458,"0.00")&amp;")"</f>
        <v>8.67 (8.65 to 8.70)</v>
      </c>
    </row>
    <row r="1459" spans="1:8" ht="17.25" thickBot="1" x14ac:dyDescent="0.35">
      <c r="A1459" s="13" t="s">
        <v>67</v>
      </c>
      <c r="B1459" s="2">
        <v>3878</v>
      </c>
      <c r="C1459" s="2">
        <v>0.68283499999999997</v>
      </c>
      <c r="D1459" s="2">
        <v>1.3860000000000001E-3</v>
      </c>
      <c r="E1459" s="2">
        <v>0.68011290000000002</v>
      </c>
      <c r="F1459" s="2">
        <v>0.68555730000000004</v>
      </c>
      <c r="H1459" s="8" t="str">
        <f t="shared" si="60"/>
        <v>0.68 (0.68 to 0.69)</v>
      </c>
    </row>
    <row r="1460" spans="1:8" ht="17.25" thickBot="1" x14ac:dyDescent="0.35">
      <c r="A1460" s="13" t="s">
        <v>68</v>
      </c>
      <c r="B1460" s="2">
        <v>3878</v>
      </c>
      <c r="C1460" s="2">
        <v>0.36251899999999998</v>
      </c>
      <c r="D1460" s="2">
        <v>6.509E-3</v>
      </c>
      <c r="E1460" s="2">
        <v>0.34973310000000002</v>
      </c>
      <c r="F1460" s="2">
        <v>0.37530540000000001</v>
      </c>
      <c r="H1460" s="8" t="str">
        <f t="shared" si="60"/>
        <v>0.36 (0.35 to 0.38)</v>
      </c>
    </row>
    <row r="1461" spans="1:8" x14ac:dyDescent="0.3">
      <c r="A1461" s="14" t="s">
        <v>69</v>
      </c>
      <c r="B1461" s="2">
        <v>3878</v>
      </c>
      <c r="C1461" s="2">
        <v>36.530746000000001</v>
      </c>
      <c r="D1461" s="2">
        <v>0.15179200000000001</v>
      </c>
      <c r="E1461" s="2">
        <v>36.232555900000001</v>
      </c>
      <c r="F1461" s="2">
        <v>36.8289355</v>
      </c>
      <c r="H1461" s="8" t="str">
        <f t="shared" si="60"/>
        <v>36.53 (36.23 to 36.83)</v>
      </c>
    </row>
    <row r="1465" spans="1:8" x14ac:dyDescent="0.3">
      <c r="A1465" s="1" t="s">
        <v>129</v>
      </c>
    </row>
    <row r="1467" spans="1:8" x14ac:dyDescent="0.3">
      <c r="A1467" s="1" t="s">
        <v>203</v>
      </c>
    </row>
    <row r="1468" spans="1:8" ht="17.25" thickBot="1" x14ac:dyDescent="0.35"/>
    <row r="1469" spans="1:8" ht="16.5" customHeight="1" x14ac:dyDescent="0.3">
      <c r="A1469" s="24" t="s">
        <v>75</v>
      </c>
      <c r="B1469" s="26"/>
    </row>
    <row r="1470" spans="1:8" ht="26.25" thickBot="1" x14ac:dyDescent="0.35">
      <c r="A1470" s="13" t="s">
        <v>76</v>
      </c>
      <c r="B1470" s="2">
        <v>27</v>
      </c>
    </row>
    <row r="1471" spans="1:8" ht="26.25" thickBot="1" x14ac:dyDescent="0.35">
      <c r="A1471" s="13" t="s">
        <v>77</v>
      </c>
      <c r="B1471" s="2">
        <v>558</v>
      </c>
    </row>
    <row r="1472" spans="1:8" ht="39" thickBot="1" x14ac:dyDescent="0.35">
      <c r="A1472" s="13" t="s">
        <v>78</v>
      </c>
      <c r="B1472" s="2">
        <v>6786</v>
      </c>
    </row>
    <row r="1473" spans="1:8" ht="25.5" x14ac:dyDescent="0.3">
      <c r="A1473" s="14" t="s">
        <v>79</v>
      </c>
      <c r="B1473" s="2">
        <v>3702786.99</v>
      </c>
    </row>
    <row r="1474" spans="1:8" ht="17.25" thickBot="1" x14ac:dyDescent="0.35"/>
    <row r="1475" spans="1:8" ht="33" customHeight="1" x14ac:dyDescent="0.3">
      <c r="A1475" s="24" t="s">
        <v>80</v>
      </c>
      <c r="B1475" s="26"/>
    </row>
    <row r="1476" spans="1:8" ht="33.75" thickBot="1" x14ac:dyDescent="0.35">
      <c r="A1476" s="13" t="s">
        <v>81</v>
      </c>
      <c r="B1476" s="2" t="s">
        <v>82</v>
      </c>
    </row>
    <row r="1477" spans="1:8" ht="25.5" x14ac:dyDescent="0.3">
      <c r="A1477" s="14" t="s">
        <v>83</v>
      </c>
      <c r="B1477" s="2" t="s">
        <v>84</v>
      </c>
    </row>
    <row r="1478" spans="1:8" ht="17.25" thickBot="1" x14ac:dyDescent="0.35"/>
    <row r="1479" spans="1:8" ht="16.5" customHeight="1" x14ac:dyDescent="0.3">
      <c r="A1479" s="24" t="s">
        <v>130</v>
      </c>
      <c r="B1479" s="26"/>
      <c r="C1479" s="26"/>
      <c r="D1479" s="26"/>
      <c r="E1479" s="26"/>
      <c r="F1479" s="26"/>
    </row>
    <row r="1480" spans="1:8" x14ac:dyDescent="0.3">
      <c r="A1480" s="25" t="s">
        <v>131</v>
      </c>
      <c r="B1480" s="27" t="s">
        <v>46</v>
      </c>
      <c r="C1480" s="27" t="s">
        <v>132</v>
      </c>
      <c r="D1480" s="3" t="s">
        <v>133</v>
      </c>
      <c r="E1480" s="27" t="s">
        <v>135</v>
      </c>
      <c r="F1480" s="27"/>
    </row>
    <row r="1481" spans="1:8" x14ac:dyDescent="0.3">
      <c r="A1481" s="25"/>
      <c r="B1481" s="27"/>
      <c r="C1481" s="27"/>
      <c r="D1481" s="3" t="s">
        <v>134</v>
      </c>
      <c r="E1481" s="27"/>
      <c r="F1481" s="27"/>
    </row>
    <row r="1482" spans="1:8" ht="17.25" thickBot="1" x14ac:dyDescent="0.35">
      <c r="A1482" s="13" t="s">
        <v>66</v>
      </c>
      <c r="B1482" s="2">
        <v>6786</v>
      </c>
      <c r="C1482" s="2">
        <v>8.5042609999999996</v>
      </c>
      <c r="D1482" s="2">
        <v>9.5049999999999996E-3</v>
      </c>
      <c r="E1482" s="2">
        <v>8.4855883999999993</v>
      </c>
      <c r="F1482" s="2">
        <v>8.5229335000000006</v>
      </c>
      <c r="H1482" s="8" t="str">
        <f t="shared" ref="H1482:H1485" si="61">TEXT(C1482,"0.00")&amp;" ("&amp;TEXT(E1482,"0.00")&amp;" to "&amp;TEXT(F1482,"0.00")&amp;")"</f>
        <v>8.50 (8.49 to 8.52)</v>
      </c>
    </row>
    <row r="1483" spans="1:8" ht="17.25" thickBot="1" x14ac:dyDescent="0.35">
      <c r="A1483" s="13" t="s">
        <v>67</v>
      </c>
      <c r="B1483" s="2">
        <v>6786</v>
      </c>
      <c r="C1483" s="2">
        <v>0.65547</v>
      </c>
      <c r="D1483" s="2">
        <v>1.0460000000000001E-3</v>
      </c>
      <c r="E1483" s="2">
        <v>0.6534143</v>
      </c>
      <c r="F1483" s="2">
        <v>0.65752520000000003</v>
      </c>
      <c r="H1483" s="8" t="str">
        <f t="shared" si="61"/>
        <v>0.66 (0.65 to 0.66)</v>
      </c>
    </row>
    <row r="1484" spans="1:8" ht="17.25" thickBot="1" x14ac:dyDescent="0.35">
      <c r="A1484" s="13" t="s">
        <v>68</v>
      </c>
      <c r="B1484" s="2">
        <v>6786</v>
      </c>
      <c r="C1484" s="2">
        <v>0.29772300000000002</v>
      </c>
      <c r="D1484" s="2">
        <v>4.7720000000000002E-3</v>
      </c>
      <c r="E1484" s="2">
        <v>0.28834880000000002</v>
      </c>
      <c r="F1484" s="2">
        <v>0.30709740000000002</v>
      </c>
      <c r="H1484" s="8" t="str">
        <f t="shared" si="61"/>
        <v>0.30 (0.29 to 0.31)</v>
      </c>
    </row>
    <row r="1485" spans="1:8" x14ac:dyDescent="0.3">
      <c r="A1485" s="14" t="s">
        <v>69</v>
      </c>
      <c r="B1485" s="2">
        <v>6786</v>
      </c>
      <c r="C1485" s="2">
        <v>35.115934000000003</v>
      </c>
      <c r="D1485" s="2">
        <v>0.120376</v>
      </c>
      <c r="E1485" s="2">
        <v>34.8794623</v>
      </c>
      <c r="F1485" s="2">
        <v>35.352405500000003</v>
      </c>
      <c r="H1485" s="8" t="str">
        <f t="shared" si="61"/>
        <v>35.12 (34.88 to 35.35)</v>
      </c>
    </row>
    <row r="1489" spans="1:6" x14ac:dyDescent="0.3">
      <c r="A1489" s="1" t="s">
        <v>129</v>
      </c>
    </row>
    <row r="1491" spans="1:6" x14ac:dyDescent="0.3">
      <c r="A1491" s="1" t="s">
        <v>204</v>
      </c>
    </row>
    <row r="1492" spans="1:6" ht="17.25" thickBot="1" x14ac:dyDescent="0.35"/>
    <row r="1493" spans="1:6" ht="16.5" customHeight="1" x14ac:dyDescent="0.3">
      <c r="A1493" s="24" t="s">
        <v>75</v>
      </c>
      <c r="B1493" s="26"/>
    </row>
    <row r="1494" spans="1:6" ht="26.25" thickBot="1" x14ac:dyDescent="0.35">
      <c r="A1494" s="13" t="s">
        <v>76</v>
      </c>
      <c r="B1494" s="2">
        <v>27</v>
      </c>
    </row>
    <row r="1495" spans="1:6" ht="26.25" thickBot="1" x14ac:dyDescent="0.35">
      <c r="A1495" s="13" t="s">
        <v>77</v>
      </c>
      <c r="B1495" s="2">
        <v>151</v>
      </c>
    </row>
    <row r="1496" spans="1:6" ht="39" thickBot="1" x14ac:dyDescent="0.35">
      <c r="A1496" s="13" t="s">
        <v>78</v>
      </c>
      <c r="B1496" s="2">
        <v>478</v>
      </c>
    </row>
    <row r="1497" spans="1:6" ht="25.5" x14ac:dyDescent="0.3">
      <c r="A1497" s="14" t="s">
        <v>79</v>
      </c>
      <c r="B1497" s="2">
        <v>156617.94899999999</v>
      </c>
    </row>
    <row r="1498" spans="1:6" ht="17.25" thickBot="1" x14ac:dyDescent="0.35"/>
    <row r="1499" spans="1:6" ht="33" customHeight="1" x14ac:dyDescent="0.3">
      <c r="A1499" s="24" t="s">
        <v>80</v>
      </c>
      <c r="B1499" s="26"/>
    </row>
    <row r="1500" spans="1:6" ht="33.75" thickBot="1" x14ac:dyDescent="0.35">
      <c r="A1500" s="13" t="s">
        <v>81</v>
      </c>
      <c r="B1500" s="2" t="s">
        <v>82</v>
      </c>
    </row>
    <row r="1501" spans="1:6" ht="25.5" x14ac:dyDescent="0.3">
      <c r="A1501" s="14" t="s">
        <v>83</v>
      </c>
      <c r="B1501" s="2" t="s">
        <v>84</v>
      </c>
    </row>
    <row r="1502" spans="1:6" ht="17.25" thickBot="1" x14ac:dyDescent="0.35"/>
    <row r="1503" spans="1:6" ht="16.5" customHeight="1" x14ac:dyDescent="0.3">
      <c r="A1503" s="24" t="s">
        <v>130</v>
      </c>
      <c r="B1503" s="26"/>
      <c r="C1503" s="26"/>
      <c r="D1503" s="26"/>
      <c r="E1503" s="26"/>
      <c r="F1503" s="26"/>
    </row>
    <row r="1504" spans="1:6" x14ac:dyDescent="0.3">
      <c r="A1504" s="25" t="s">
        <v>131</v>
      </c>
      <c r="B1504" s="27" t="s">
        <v>46</v>
      </c>
      <c r="C1504" s="27" t="s">
        <v>132</v>
      </c>
      <c r="D1504" s="3" t="s">
        <v>133</v>
      </c>
      <c r="E1504" s="27" t="s">
        <v>135</v>
      </c>
      <c r="F1504" s="27"/>
    </row>
    <row r="1505" spans="1:8" x14ac:dyDescent="0.3">
      <c r="A1505" s="25"/>
      <c r="B1505" s="27"/>
      <c r="C1505" s="27"/>
      <c r="D1505" s="3" t="s">
        <v>134</v>
      </c>
      <c r="E1505" s="27"/>
      <c r="F1505" s="27"/>
    </row>
    <row r="1506" spans="1:8" ht="17.25" thickBot="1" x14ac:dyDescent="0.35">
      <c r="A1506" s="13" t="s">
        <v>66</v>
      </c>
      <c r="B1506" s="2">
        <v>478</v>
      </c>
      <c r="C1506" s="2">
        <v>8.6696860000000004</v>
      </c>
      <c r="D1506" s="2">
        <v>2.7203999999999999E-2</v>
      </c>
      <c r="E1506" s="2">
        <v>8.6158420000000007</v>
      </c>
      <c r="F1506" s="2">
        <v>8.7235296000000009</v>
      </c>
      <c r="H1506" s="8" t="str">
        <f t="shared" ref="H1506:H1509" si="62">TEXT(C1506,"0.00")&amp;" ("&amp;TEXT(E1506,"0.00")&amp;" to "&amp;TEXT(F1506,"0.00")&amp;")"</f>
        <v>8.67 (8.62 to 8.72)</v>
      </c>
    </row>
    <row r="1507" spans="1:8" ht="17.25" thickBot="1" x14ac:dyDescent="0.35">
      <c r="A1507" s="13" t="s">
        <v>67</v>
      </c>
      <c r="B1507" s="2">
        <v>478</v>
      </c>
      <c r="C1507" s="2">
        <v>0.71174499999999996</v>
      </c>
      <c r="D1507" s="2">
        <v>3.1740000000000002E-3</v>
      </c>
      <c r="E1507" s="2">
        <v>0.70546299999999995</v>
      </c>
      <c r="F1507" s="2">
        <v>0.718028</v>
      </c>
      <c r="H1507" s="8" t="str">
        <f t="shared" si="62"/>
        <v>0.71 (0.71 to 0.72)</v>
      </c>
    </row>
    <row r="1508" spans="1:8" ht="17.25" thickBot="1" x14ac:dyDescent="0.35">
      <c r="A1508" s="13" t="s">
        <v>68</v>
      </c>
      <c r="B1508" s="2">
        <v>478</v>
      </c>
      <c r="C1508" s="2">
        <v>0.31093999999999999</v>
      </c>
      <c r="D1508" s="2">
        <v>1.3743E-2</v>
      </c>
      <c r="E1508" s="2">
        <v>0.2837385</v>
      </c>
      <c r="F1508" s="2">
        <v>0.33814149999999998</v>
      </c>
      <c r="H1508" s="8" t="str">
        <f t="shared" si="62"/>
        <v>0.31 (0.28 to 0.34)</v>
      </c>
    </row>
    <row r="1509" spans="1:8" x14ac:dyDescent="0.3">
      <c r="A1509" s="14" t="s">
        <v>69</v>
      </c>
      <c r="B1509" s="2">
        <v>478</v>
      </c>
      <c r="C1509" s="2">
        <v>36.299368000000001</v>
      </c>
      <c r="D1509" s="2">
        <v>0.39582299999999998</v>
      </c>
      <c r="E1509" s="2">
        <v>35.515922799999998</v>
      </c>
      <c r="F1509" s="2">
        <v>37.082812799999999</v>
      </c>
      <c r="H1509" s="8" t="str">
        <f t="shared" si="62"/>
        <v>36.30 (35.52 to 37.08)</v>
      </c>
    </row>
    <row r="1513" spans="1:8" x14ac:dyDescent="0.3">
      <c r="A1513" s="1" t="s">
        <v>129</v>
      </c>
    </row>
    <row r="1515" spans="1:8" x14ac:dyDescent="0.3">
      <c r="A1515" s="1" t="s">
        <v>205</v>
      </c>
    </row>
    <row r="1516" spans="1:8" ht="17.25" thickBot="1" x14ac:dyDescent="0.35"/>
    <row r="1517" spans="1:8" ht="16.5" customHeight="1" x14ac:dyDescent="0.3">
      <c r="A1517" s="24" t="s">
        <v>75</v>
      </c>
      <c r="B1517" s="26"/>
    </row>
    <row r="1518" spans="1:8" ht="26.25" thickBot="1" x14ac:dyDescent="0.35">
      <c r="A1518" s="13" t="s">
        <v>76</v>
      </c>
      <c r="B1518" s="2">
        <v>27</v>
      </c>
    </row>
    <row r="1519" spans="1:8" ht="26.25" thickBot="1" x14ac:dyDescent="0.35">
      <c r="A1519" s="13" t="s">
        <v>77</v>
      </c>
      <c r="B1519" s="2">
        <v>155</v>
      </c>
    </row>
    <row r="1520" spans="1:8" ht="39" thickBot="1" x14ac:dyDescent="0.35">
      <c r="A1520" s="13" t="s">
        <v>78</v>
      </c>
      <c r="B1520" s="2">
        <v>440</v>
      </c>
    </row>
    <row r="1521" spans="1:8" ht="25.5" x14ac:dyDescent="0.3">
      <c r="A1521" s="14" t="s">
        <v>79</v>
      </c>
      <c r="B1521" s="2">
        <v>159181.073</v>
      </c>
    </row>
    <row r="1522" spans="1:8" ht="17.25" thickBot="1" x14ac:dyDescent="0.35"/>
    <row r="1523" spans="1:8" ht="33" customHeight="1" x14ac:dyDescent="0.3">
      <c r="A1523" s="24" t="s">
        <v>80</v>
      </c>
      <c r="B1523" s="26"/>
    </row>
    <row r="1524" spans="1:8" ht="33.75" thickBot="1" x14ac:dyDescent="0.35">
      <c r="A1524" s="13" t="s">
        <v>81</v>
      </c>
      <c r="B1524" s="2" t="s">
        <v>82</v>
      </c>
    </row>
    <row r="1525" spans="1:8" ht="25.5" x14ac:dyDescent="0.3">
      <c r="A1525" s="14" t="s">
        <v>83</v>
      </c>
      <c r="B1525" s="2" t="s">
        <v>84</v>
      </c>
    </row>
    <row r="1526" spans="1:8" ht="17.25" thickBot="1" x14ac:dyDescent="0.35"/>
    <row r="1527" spans="1:8" ht="16.5" customHeight="1" x14ac:dyDescent="0.3">
      <c r="A1527" s="24" t="s">
        <v>130</v>
      </c>
      <c r="B1527" s="26"/>
      <c r="C1527" s="26"/>
      <c r="D1527" s="26"/>
      <c r="E1527" s="26"/>
      <c r="F1527" s="26"/>
    </row>
    <row r="1528" spans="1:8" x14ac:dyDescent="0.3">
      <c r="A1528" s="25" t="s">
        <v>131</v>
      </c>
      <c r="B1528" s="27" t="s">
        <v>46</v>
      </c>
      <c r="C1528" s="27" t="s">
        <v>132</v>
      </c>
      <c r="D1528" s="3" t="s">
        <v>133</v>
      </c>
      <c r="E1528" s="27" t="s">
        <v>135</v>
      </c>
      <c r="F1528" s="27"/>
    </row>
    <row r="1529" spans="1:8" x14ac:dyDescent="0.3">
      <c r="A1529" s="25"/>
      <c r="B1529" s="27"/>
      <c r="C1529" s="27"/>
      <c r="D1529" s="3" t="s">
        <v>134</v>
      </c>
      <c r="E1529" s="27"/>
      <c r="F1529" s="27"/>
    </row>
    <row r="1530" spans="1:8" ht="17.25" thickBot="1" x14ac:dyDescent="0.35">
      <c r="A1530" s="13" t="s">
        <v>66</v>
      </c>
      <c r="B1530" s="2">
        <v>440</v>
      </c>
      <c r="C1530" s="2">
        <v>8.6874040000000008</v>
      </c>
      <c r="D1530" s="2">
        <v>2.6072000000000001E-2</v>
      </c>
      <c r="E1530" s="2">
        <v>8.6358156000000008</v>
      </c>
      <c r="F1530" s="2">
        <v>8.7389931999999995</v>
      </c>
      <c r="H1530" s="8" t="str">
        <f t="shared" ref="H1530:H1533" si="63">TEXT(C1530,"0.00")&amp;" ("&amp;TEXT(E1530,"0.00")&amp;" to "&amp;TEXT(F1530,"0.00")&amp;")"</f>
        <v>8.69 (8.64 to 8.74)</v>
      </c>
    </row>
    <row r="1531" spans="1:8" ht="17.25" thickBot="1" x14ac:dyDescent="0.35">
      <c r="A1531" s="13" t="s">
        <v>67</v>
      </c>
      <c r="B1531" s="2">
        <v>440</v>
      </c>
      <c r="C1531" s="2">
        <v>0.70734600000000003</v>
      </c>
      <c r="D1531" s="2">
        <v>2.908E-3</v>
      </c>
      <c r="E1531" s="2">
        <v>0.70159300000000002</v>
      </c>
      <c r="F1531" s="2">
        <v>0.71309920000000004</v>
      </c>
      <c r="H1531" s="8" t="str">
        <f t="shared" si="63"/>
        <v>0.71 (0.70 to 0.71)</v>
      </c>
    </row>
    <row r="1532" spans="1:8" ht="17.25" thickBot="1" x14ac:dyDescent="0.35">
      <c r="A1532" s="13" t="s">
        <v>68</v>
      </c>
      <c r="B1532" s="2">
        <v>440</v>
      </c>
      <c r="C1532" s="2">
        <v>0.32101000000000002</v>
      </c>
      <c r="D1532" s="2">
        <v>1.4491E-2</v>
      </c>
      <c r="E1532" s="2">
        <v>0.29233809999999999</v>
      </c>
      <c r="F1532" s="2">
        <v>0.34968260000000001</v>
      </c>
      <c r="H1532" s="8" t="str">
        <f t="shared" si="63"/>
        <v>0.32 (0.29 to 0.35)</v>
      </c>
    </row>
    <row r="1533" spans="1:8" x14ac:dyDescent="0.3">
      <c r="A1533" s="14" t="s">
        <v>69</v>
      </c>
      <c r="B1533" s="2">
        <v>440</v>
      </c>
      <c r="C1533" s="2">
        <v>35.752972</v>
      </c>
      <c r="D1533" s="2">
        <v>0.36471300000000001</v>
      </c>
      <c r="E1533" s="2">
        <v>35.0313248</v>
      </c>
      <c r="F1533" s="2">
        <v>36.474619400000002</v>
      </c>
      <c r="H1533" s="8" t="str">
        <f t="shared" si="63"/>
        <v>35.75 (35.03 to 36.47)</v>
      </c>
    </row>
    <row r="1537" spans="1:6" x14ac:dyDescent="0.3">
      <c r="A1537" s="1" t="s">
        <v>129</v>
      </c>
    </row>
    <row r="1539" spans="1:6" x14ac:dyDescent="0.3">
      <c r="A1539" s="1" t="s">
        <v>206</v>
      </c>
    </row>
    <row r="1540" spans="1:6" ht="17.25" thickBot="1" x14ac:dyDescent="0.35"/>
    <row r="1541" spans="1:6" ht="16.5" customHeight="1" x14ac:dyDescent="0.3">
      <c r="A1541" s="24" t="s">
        <v>75</v>
      </c>
      <c r="B1541" s="26"/>
    </row>
    <row r="1542" spans="1:6" ht="26.25" thickBot="1" x14ac:dyDescent="0.35">
      <c r="A1542" s="13" t="s">
        <v>76</v>
      </c>
      <c r="B1542" s="2">
        <v>27</v>
      </c>
    </row>
    <row r="1543" spans="1:6" ht="26.25" thickBot="1" x14ac:dyDescent="0.35">
      <c r="A1543" s="13" t="s">
        <v>77</v>
      </c>
      <c r="B1543" s="2">
        <v>187</v>
      </c>
    </row>
    <row r="1544" spans="1:6" ht="39" thickBot="1" x14ac:dyDescent="0.35">
      <c r="A1544" s="13" t="s">
        <v>78</v>
      </c>
      <c r="B1544" s="2">
        <v>1227</v>
      </c>
    </row>
    <row r="1545" spans="1:6" ht="25.5" x14ac:dyDescent="0.3">
      <c r="A1545" s="14" t="s">
        <v>79</v>
      </c>
      <c r="B1545" s="2">
        <v>560944.53500000003</v>
      </c>
    </row>
    <row r="1546" spans="1:6" ht="17.25" thickBot="1" x14ac:dyDescent="0.35"/>
    <row r="1547" spans="1:6" ht="33" customHeight="1" x14ac:dyDescent="0.3">
      <c r="A1547" s="24" t="s">
        <v>80</v>
      </c>
      <c r="B1547" s="26"/>
    </row>
    <row r="1548" spans="1:6" ht="33.75" thickBot="1" x14ac:dyDescent="0.35">
      <c r="A1548" s="13" t="s">
        <v>81</v>
      </c>
      <c r="B1548" s="2" t="s">
        <v>82</v>
      </c>
    </row>
    <row r="1549" spans="1:6" ht="25.5" x14ac:dyDescent="0.3">
      <c r="A1549" s="14" t="s">
        <v>83</v>
      </c>
      <c r="B1549" s="2" t="s">
        <v>84</v>
      </c>
    </row>
    <row r="1550" spans="1:6" ht="17.25" thickBot="1" x14ac:dyDescent="0.35"/>
    <row r="1551" spans="1:6" ht="16.5" customHeight="1" x14ac:dyDescent="0.3">
      <c r="A1551" s="24" t="s">
        <v>130</v>
      </c>
      <c r="B1551" s="26"/>
      <c r="C1551" s="26"/>
      <c r="D1551" s="26"/>
      <c r="E1551" s="26"/>
      <c r="F1551" s="26"/>
    </row>
    <row r="1552" spans="1:6" x14ac:dyDescent="0.3">
      <c r="A1552" s="25" t="s">
        <v>131</v>
      </c>
      <c r="B1552" s="27" t="s">
        <v>46</v>
      </c>
      <c r="C1552" s="27" t="s">
        <v>132</v>
      </c>
      <c r="D1552" s="3" t="s">
        <v>133</v>
      </c>
      <c r="E1552" s="27" t="s">
        <v>135</v>
      </c>
      <c r="F1552" s="27"/>
    </row>
    <row r="1553" spans="1:8" x14ac:dyDescent="0.3">
      <c r="A1553" s="25"/>
      <c r="B1553" s="27"/>
      <c r="C1553" s="27"/>
      <c r="D1553" s="3" t="s">
        <v>134</v>
      </c>
      <c r="E1553" s="27"/>
      <c r="F1553" s="27"/>
    </row>
    <row r="1554" spans="1:8" ht="17.25" thickBot="1" x14ac:dyDescent="0.35">
      <c r="A1554" s="13" t="s">
        <v>66</v>
      </c>
      <c r="B1554" s="2">
        <v>1227</v>
      </c>
      <c r="C1554" s="2">
        <v>8.6814999999999998</v>
      </c>
      <c r="D1554" s="2">
        <v>1.8881999999999999E-2</v>
      </c>
      <c r="E1554" s="2">
        <v>8.6442105999999992</v>
      </c>
      <c r="F1554" s="2">
        <v>8.7187889999999992</v>
      </c>
      <c r="H1554" s="8" t="str">
        <f t="shared" ref="H1554:H1557" si="64">TEXT(C1554,"0.00")&amp;" ("&amp;TEXT(E1554,"0.00")&amp;" to "&amp;TEXT(F1554,"0.00")&amp;")"</f>
        <v>8.68 (8.64 to 8.72)</v>
      </c>
    </row>
    <row r="1555" spans="1:8" ht="17.25" thickBot="1" x14ac:dyDescent="0.35">
      <c r="A1555" s="13" t="s">
        <v>67</v>
      </c>
      <c r="B1555" s="2">
        <v>1227</v>
      </c>
      <c r="C1555" s="2">
        <v>0.68134300000000003</v>
      </c>
      <c r="D1555" s="2">
        <v>2.2560000000000002E-3</v>
      </c>
      <c r="E1555" s="2">
        <v>0.67688789999999999</v>
      </c>
      <c r="F1555" s="2">
        <v>0.68579749999999995</v>
      </c>
      <c r="H1555" s="8" t="str">
        <f t="shared" si="64"/>
        <v>0.68 (0.68 to 0.69)</v>
      </c>
    </row>
    <row r="1556" spans="1:8" ht="17.25" thickBot="1" x14ac:dyDescent="0.35">
      <c r="A1556" s="13" t="s">
        <v>68</v>
      </c>
      <c r="B1556" s="2">
        <v>1227</v>
      </c>
      <c r="C1556" s="2">
        <v>0.322241</v>
      </c>
      <c r="D1556" s="2">
        <v>1.0064999999999999E-2</v>
      </c>
      <c r="E1556" s="2">
        <v>0.30236380000000002</v>
      </c>
      <c r="F1556" s="2">
        <v>0.34211740000000002</v>
      </c>
      <c r="H1556" s="8" t="str">
        <f t="shared" si="64"/>
        <v>0.32 (0.30 to 0.34)</v>
      </c>
    </row>
    <row r="1557" spans="1:8" x14ac:dyDescent="0.3">
      <c r="A1557" s="14" t="s">
        <v>69</v>
      </c>
      <c r="B1557" s="2">
        <v>1227</v>
      </c>
      <c r="C1557" s="2">
        <v>35.973571999999997</v>
      </c>
      <c r="D1557" s="2">
        <v>0.277893</v>
      </c>
      <c r="E1557" s="2">
        <v>35.424761799999999</v>
      </c>
      <c r="F1557" s="2">
        <v>36.522382999999998</v>
      </c>
      <c r="H1557" s="8" t="str">
        <f t="shared" si="64"/>
        <v>35.97 (35.42 to 36.52)</v>
      </c>
    </row>
    <row r="1561" spans="1:8" x14ac:dyDescent="0.3">
      <c r="A1561" s="1" t="s">
        <v>129</v>
      </c>
    </row>
    <row r="1563" spans="1:8" x14ac:dyDescent="0.3">
      <c r="A1563" s="1" t="s">
        <v>207</v>
      </c>
    </row>
    <row r="1564" spans="1:8" ht="17.25" thickBot="1" x14ac:dyDescent="0.35"/>
    <row r="1565" spans="1:8" ht="16.5" customHeight="1" x14ac:dyDescent="0.3">
      <c r="A1565" s="24" t="s">
        <v>75</v>
      </c>
      <c r="B1565" s="26"/>
    </row>
    <row r="1566" spans="1:8" ht="26.25" thickBot="1" x14ac:dyDescent="0.35">
      <c r="A1566" s="13" t="s">
        <v>76</v>
      </c>
      <c r="B1566" s="2">
        <v>27</v>
      </c>
    </row>
    <row r="1567" spans="1:8" ht="26.25" thickBot="1" x14ac:dyDescent="0.35">
      <c r="A1567" s="13" t="s">
        <v>77</v>
      </c>
      <c r="B1567" s="2">
        <v>185</v>
      </c>
    </row>
    <row r="1568" spans="1:8" ht="39" thickBot="1" x14ac:dyDescent="0.35">
      <c r="A1568" s="13" t="s">
        <v>78</v>
      </c>
      <c r="B1568" s="2">
        <v>2271</v>
      </c>
    </row>
    <row r="1569" spans="1:8" ht="25.5" x14ac:dyDescent="0.3">
      <c r="A1569" s="14" t="s">
        <v>79</v>
      </c>
      <c r="B1569" s="2">
        <v>1274170.1200000001</v>
      </c>
    </row>
    <row r="1570" spans="1:8" ht="17.25" thickBot="1" x14ac:dyDescent="0.35"/>
    <row r="1571" spans="1:8" ht="33" customHeight="1" x14ac:dyDescent="0.3">
      <c r="A1571" s="24" t="s">
        <v>80</v>
      </c>
      <c r="B1571" s="26"/>
    </row>
    <row r="1572" spans="1:8" ht="33.75" thickBot="1" x14ac:dyDescent="0.35">
      <c r="A1572" s="13" t="s">
        <v>81</v>
      </c>
      <c r="B1572" s="2" t="s">
        <v>82</v>
      </c>
    </row>
    <row r="1573" spans="1:8" ht="25.5" x14ac:dyDescent="0.3">
      <c r="A1573" s="14" t="s">
        <v>83</v>
      </c>
      <c r="B1573" s="2" t="s">
        <v>84</v>
      </c>
    </row>
    <row r="1574" spans="1:8" ht="17.25" thickBot="1" x14ac:dyDescent="0.35"/>
    <row r="1575" spans="1:8" ht="16.5" customHeight="1" x14ac:dyDescent="0.3">
      <c r="A1575" s="24" t="s">
        <v>130</v>
      </c>
      <c r="B1575" s="26"/>
      <c r="C1575" s="26"/>
      <c r="D1575" s="26"/>
      <c r="E1575" s="26"/>
      <c r="F1575" s="26"/>
    </row>
    <row r="1576" spans="1:8" x14ac:dyDescent="0.3">
      <c r="A1576" s="25" t="s">
        <v>131</v>
      </c>
      <c r="B1576" s="27" t="s">
        <v>46</v>
      </c>
      <c r="C1576" s="27" t="s">
        <v>132</v>
      </c>
      <c r="D1576" s="3" t="s">
        <v>133</v>
      </c>
      <c r="E1576" s="27" t="s">
        <v>135</v>
      </c>
      <c r="F1576" s="27"/>
    </row>
    <row r="1577" spans="1:8" x14ac:dyDescent="0.3">
      <c r="A1577" s="25"/>
      <c r="B1577" s="27"/>
      <c r="C1577" s="27"/>
      <c r="D1577" s="3" t="s">
        <v>134</v>
      </c>
      <c r="E1577" s="27"/>
      <c r="F1577" s="27"/>
    </row>
    <row r="1578" spans="1:8" ht="17.25" thickBot="1" x14ac:dyDescent="0.35">
      <c r="A1578" s="13" t="s">
        <v>66</v>
      </c>
      <c r="B1578" s="2">
        <v>2271</v>
      </c>
      <c r="C1578" s="2">
        <v>8.5337080000000007</v>
      </c>
      <c r="D1578" s="2">
        <v>1.5748999999999999E-2</v>
      </c>
      <c r="E1578" s="2">
        <v>8.5026025999999995</v>
      </c>
      <c r="F1578" s="2">
        <v>8.5648128999999997</v>
      </c>
      <c r="H1578" s="8" t="str">
        <f t="shared" ref="H1578:H1581" si="65">TEXT(C1578,"0.00")&amp;" ("&amp;TEXT(E1578,"0.00")&amp;" to "&amp;TEXT(F1578,"0.00")&amp;")"</f>
        <v>8.53 (8.50 to 8.56)</v>
      </c>
    </row>
    <row r="1579" spans="1:8" ht="17.25" thickBot="1" x14ac:dyDescent="0.35">
      <c r="A1579" s="13" t="s">
        <v>67</v>
      </c>
      <c r="B1579" s="2">
        <v>2271</v>
      </c>
      <c r="C1579" s="2">
        <v>0.65339700000000001</v>
      </c>
      <c r="D1579" s="2">
        <v>1.802E-3</v>
      </c>
      <c r="E1579" s="2">
        <v>0.64983829999999998</v>
      </c>
      <c r="F1579" s="2">
        <v>0.65695590000000004</v>
      </c>
      <c r="H1579" s="8" t="str">
        <f t="shared" si="65"/>
        <v>0.65 (0.65 to 0.66)</v>
      </c>
    </row>
    <row r="1580" spans="1:8" ht="17.25" thickBot="1" x14ac:dyDescent="0.35">
      <c r="A1580" s="13" t="s">
        <v>68</v>
      </c>
      <c r="B1580" s="2">
        <v>2271</v>
      </c>
      <c r="C1580" s="2">
        <v>0.27077499999999999</v>
      </c>
      <c r="D1580" s="2">
        <v>8.6140000000000001E-3</v>
      </c>
      <c r="E1580" s="2">
        <v>0.2537625</v>
      </c>
      <c r="F1580" s="2">
        <v>0.2877883</v>
      </c>
      <c r="H1580" s="8" t="str">
        <f t="shared" si="65"/>
        <v>0.27 (0.25 to 0.29)</v>
      </c>
    </row>
    <row r="1581" spans="1:8" x14ac:dyDescent="0.3">
      <c r="A1581" s="14" t="s">
        <v>69</v>
      </c>
      <c r="B1581" s="2">
        <v>2271</v>
      </c>
      <c r="C1581" s="2">
        <v>34.797514999999997</v>
      </c>
      <c r="D1581" s="2">
        <v>0.23049</v>
      </c>
      <c r="E1581" s="2">
        <v>34.342275200000003</v>
      </c>
      <c r="F1581" s="2">
        <v>35.252753900000002</v>
      </c>
      <c r="H1581" s="8" t="str">
        <f t="shared" si="65"/>
        <v>34.80 (34.34 to 35.25)</v>
      </c>
    </row>
    <row r="1585" spans="1:6" x14ac:dyDescent="0.3">
      <c r="A1585" s="1" t="s">
        <v>129</v>
      </c>
    </row>
    <row r="1587" spans="1:6" x14ac:dyDescent="0.3">
      <c r="A1587" s="1" t="s">
        <v>208</v>
      </c>
    </row>
    <row r="1588" spans="1:6" ht="17.25" thickBot="1" x14ac:dyDescent="0.35"/>
    <row r="1589" spans="1:6" ht="16.5" customHeight="1" x14ac:dyDescent="0.3">
      <c r="A1589" s="24" t="s">
        <v>75</v>
      </c>
      <c r="B1589" s="26"/>
    </row>
    <row r="1590" spans="1:6" ht="26.25" thickBot="1" x14ac:dyDescent="0.35">
      <c r="A1590" s="13" t="s">
        <v>76</v>
      </c>
      <c r="B1590" s="2">
        <v>25</v>
      </c>
    </row>
    <row r="1591" spans="1:6" ht="26.25" thickBot="1" x14ac:dyDescent="0.35">
      <c r="A1591" s="13" t="s">
        <v>77</v>
      </c>
      <c r="B1591" s="2">
        <v>414</v>
      </c>
    </row>
    <row r="1592" spans="1:6" ht="39" thickBot="1" x14ac:dyDescent="0.35">
      <c r="A1592" s="13" t="s">
        <v>78</v>
      </c>
      <c r="B1592" s="2">
        <v>2306</v>
      </c>
    </row>
    <row r="1593" spans="1:6" ht="25.5" x14ac:dyDescent="0.3">
      <c r="A1593" s="14" t="s">
        <v>79</v>
      </c>
      <c r="B1593" s="2">
        <v>643765.62100000004</v>
      </c>
    </row>
    <row r="1594" spans="1:6" ht="17.25" thickBot="1" x14ac:dyDescent="0.35"/>
    <row r="1595" spans="1:6" ht="33" customHeight="1" x14ac:dyDescent="0.3">
      <c r="A1595" s="24" t="s">
        <v>80</v>
      </c>
      <c r="B1595" s="26"/>
    </row>
    <row r="1596" spans="1:6" ht="33.75" thickBot="1" x14ac:dyDescent="0.35">
      <c r="A1596" s="13" t="s">
        <v>81</v>
      </c>
      <c r="B1596" s="2" t="s">
        <v>82</v>
      </c>
    </row>
    <row r="1597" spans="1:6" ht="25.5" x14ac:dyDescent="0.3">
      <c r="A1597" s="14" t="s">
        <v>83</v>
      </c>
      <c r="B1597" s="2" t="s">
        <v>84</v>
      </c>
    </row>
    <row r="1598" spans="1:6" ht="17.25" thickBot="1" x14ac:dyDescent="0.35"/>
    <row r="1599" spans="1:6" ht="16.5" customHeight="1" x14ac:dyDescent="0.3">
      <c r="A1599" s="24" t="s">
        <v>130</v>
      </c>
      <c r="B1599" s="26"/>
      <c r="C1599" s="26"/>
      <c r="D1599" s="26"/>
      <c r="E1599" s="26"/>
      <c r="F1599" s="26"/>
    </row>
    <row r="1600" spans="1:6" x14ac:dyDescent="0.3">
      <c r="A1600" s="25" t="s">
        <v>131</v>
      </c>
      <c r="B1600" s="27" t="s">
        <v>46</v>
      </c>
      <c r="C1600" s="27" t="s">
        <v>132</v>
      </c>
      <c r="D1600" s="3" t="s">
        <v>133</v>
      </c>
      <c r="E1600" s="27" t="s">
        <v>135</v>
      </c>
      <c r="F1600" s="27"/>
    </row>
    <row r="1601" spans="1:8" x14ac:dyDescent="0.3">
      <c r="A1601" s="25"/>
      <c r="B1601" s="27"/>
      <c r="C1601" s="27"/>
      <c r="D1601" s="3" t="s">
        <v>134</v>
      </c>
      <c r="E1601" s="27"/>
      <c r="F1601" s="27"/>
    </row>
    <row r="1602" spans="1:8" ht="17.25" thickBot="1" x14ac:dyDescent="0.35">
      <c r="A1602" s="13" t="s">
        <v>66</v>
      </c>
      <c r="B1602" s="2">
        <v>2306</v>
      </c>
      <c r="C1602" s="2">
        <v>8.6395160000000004</v>
      </c>
      <c r="D1602" s="2">
        <v>1.8346999999999999E-2</v>
      </c>
      <c r="E1602" s="2">
        <v>8.6034439999999996</v>
      </c>
      <c r="F1602" s="2">
        <v>8.6755872000000007</v>
      </c>
      <c r="H1602" s="8" t="str">
        <f t="shared" ref="H1602:H1605" si="66">TEXT(C1602,"0.00")&amp;" ("&amp;TEXT(E1602,"0.00")&amp;" to "&amp;TEXT(F1602,"0.00")&amp;")"</f>
        <v>8.64 (8.60 to 8.68)</v>
      </c>
    </row>
    <row r="1603" spans="1:8" ht="17.25" thickBot="1" x14ac:dyDescent="0.35">
      <c r="A1603" s="13" t="s">
        <v>67</v>
      </c>
      <c r="B1603" s="2">
        <v>2306</v>
      </c>
      <c r="C1603" s="2">
        <v>0.68388599999999999</v>
      </c>
      <c r="D1603" s="2">
        <v>2.63E-3</v>
      </c>
      <c r="E1603" s="2">
        <v>0.67871490000000001</v>
      </c>
      <c r="F1603" s="2">
        <v>0.68905740000000004</v>
      </c>
      <c r="H1603" s="8" t="str">
        <f t="shared" si="66"/>
        <v>0.68 (0.68 to 0.69)</v>
      </c>
    </row>
    <row r="1604" spans="1:8" ht="17.25" thickBot="1" x14ac:dyDescent="0.35">
      <c r="A1604" s="13" t="s">
        <v>68</v>
      </c>
      <c r="B1604" s="2">
        <v>2306</v>
      </c>
      <c r="C1604" s="2">
        <v>0.39923700000000001</v>
      </c>
      <c r="D1604" s="2">
        <v>8.9529999999999992E-3</v>
      </c>
      <c r="E1604" s="2">
        <v>0.3816349</v>
      </c>
      <c r="F1604" s="2">
        <v>0.41683930000000002</v>
      </c>
      <c r="H1604" s="8" t="str">
        <f t="shared" si="66"/>
        <v>0.40 (0.38 to 0.42)</v>
      </c>
    </row>
    <row r="1605" spans="1:8" x14ac:dyDescent="0.3">
      <c r="A1605" s="14" t="s">
        <v>69</v>
      </c>
      <c r="B1605" s="2">
        <v>2306</v>
      </c>
      <c r="C1605" s="2">
        <v>35.928378000000002</v>
      </c>
      <c r="D1605" s="2">
        <v>0.203037</v>
      </c>
      <c r="E1605" s="2">
        <v>35.529190399999997</v>
      </c>
      <c r="F1605" s="2">
        <v>36.3275662</v>
      </c>
      <c r="H1605" s="8" t="str">
        <f t="shared" si="66"/>
        <v>35.93 (35.53 to 36.33)</v>
      </c>
    </row>
    <row r="1609" spans="1:8" x14ac:dyDescent="0.3">
      <c r="A1609" s="1" t="s">
        <v>129</v>
      </c>
    </row>
    <row r="1611" spans="1:8" x14ac:dyDescent="0.3">
      <c r="A1611" s="1" t="s">
        <v>209</v>
      </c>
    </row>
    <row r="1612" spans="1:8" ht="17.25" thickBot="1" x14ac:dyDescent="0.35"/>
    <row r="1613" spans="1:8" ht="16.5" customHeight="1" x14ac:dyDescent="0.3">
      <c r="A1613" s="24" t="s">
        <v>75</v>
      </c>
      <c r="B1613" s="26"/>
    </row>
    <row r="1614" spans="1:8" ht="26.25" thickBot="1" x14ac:dyDescent="0.35">
      <c r="A1614" s="13" t="s">
        <v>76</v>
      </c>
      <c r="B1614" s="2">
        <v>25</v>
      </c>
    </row>
    <row r="1615" spans="1:8" ht="26.25" thickBot="1" x14ac:dyDescent="0.35">
      <c r="A1615" s="13" t="s">
        <v>77</v>
      </c>
      <c r="B1615" s="2">
        <v>465</v>
      </c>
    </row>
    <row r="1616" spans="1:8" ht="39" thickBot="1" x14ac:dyDescent="0.35">
      <c r="A1616" s="13" t="s">
        <v>78</v>
      </c>
      <c r="B1616" s="2">
        <v>2964</v>
      </c>
    </row>
    <row r="1617" spans="1:8" ht="25.5" x14ac:dyDescent="0.3">
      <c r="A1617" s="14" t="s">
        <v>79</v>
      </c>
      <c r="B1617" s="2">
        <v>1083010.22</v>
      </c>
    </row>
    <row r="1618" spans="1:8" ht="17.25" thickBot="1" x14ac:dyDescent="0.35"/>
    <row r="1619" spans="1:8" ht="33" customHeight="1" x14ac:dyDescent="0.3">
      <c r="A1619" s="24" t="s">
        <v>80</v>
      </c>
      <c r="B1619" s="26"/>
    </row>
    <row r="1620" spans="1:8" ht="33.75" thickBot="1" x14ac:dyDescent="0.35">
      <c r="A1620" s="13" t="s">
        <v>81</v>
      </c>
      <c r="B1620" s="2" t="s">
        <v>82</v>
      </c>
    </row>
    <row r="1621" spans="1:8" ht="25.5" x14ac:dyDescent="0.3">
      <c r="A1621" s="14" t="s">
        <v>83</v>
      </c>
      <c r="B1621" s="2" t="s">
        <v>84</v>
      </c>
    </row>
    <row r="1622" spans="1:8" ht="17.25" thickBot="1" x14ac:dyDescent="0.35"/>
    <row r="1623" spans="1:8" ht="16.5" customHeight="1" x14ac:dyDescent="0.3">
      <c r="A1623" s="24" t="s">
        <v>130</v>
      </c>
      <c r="B1623" s="26"/>
      <c r="C1623" s="26"/>
      <c r="D1623" s="26"/>
      <c r="E1623" s="26"/>
      <c r="F1623" s="26"/>
    </row>
    <row r="1624" spans="1:8" x14ac:dyDescent="0.3">
      <c r="A1624" s="25" t="s">
        <v>131</v>
      </c>
      <c r="B1624" s="27" t="s">
        <v>46</v>
      </c>
      <c r="C1624" s="27" t="s">
        <v>132</v>
      </c>
      <c r="D1624" s="3" t="s">
        <v>133</v>
      </c>
      <c r="E1624" s="27" t="s">
        <v>135</v>
      </c>
      <c r="F1624" s="27"/>
    </row>
    <row r="1625" spans="1:8" x14ac:dyDescent="0.3">
      <c r="A1625" s="25"/>
      <c r="B1625" s="27"/>
      <c r="C1625" s="27"/>
      <c r="D1625" s="3" t="s">
        <v>134</v>
      </c>
      <c r="E1625" s="27"/>
      <c r="F1625" s="27"/>
    </row>
    <row r="1626" spans="1:8" ht="17.25" thickBot="1" x14ac:dyDescent="0.35">
      <c r="A1626" s="13" t="s">
        <v>66</v>
      </c>
      <c r="B1626" s="2">
        <v>2964</v>
      </c>
      <c r="C1626" s="2">
        <v>8.5930979999999995</v>
      </c>
      <c r="D1626" s="2">
        <v>1.6823000000000001E-2</v>
      </c>
      <c r="E1626" s="2">
        <v>8.5600342000000005</v>
      </c>
      <c r="F1626" s="2">
        <v>8.6261618999999996</v>
      </c>
      <c r="H1626" s="8" t="str">
        <f t="shared" ref="H1626:H1629" si="67">TEXT(C1626,"0.00")&amp;" ("&amp;TEXT(E1626,"0.00")&amp;" to "&amp;TEXT(F1626,"0.00")&amp;")"</f>
        <v>8.59 (8.56 to 8.63)</v>
      </c>
    </row>
    <row r="1627" spans="1:8" ht="17.25" thickBot="1" x14ac:dyDescent="0.35">
      <c r="A1627" s="13" t="s">
        <v>67</v>
      </c>
      <c r="B1627" s="2">
        <v>2964</v>
      </c>
      <c r="C1627" s="2">
        <v>0.66586000000000001</v>
      </c>
      <c r="D1627" s="2">
        <v>2.124E-3</v>
      </c>
      <c r="E1627" s="2">
        <v>0.66168550000000004</v>
      </c>
      <c r="F1627" s="2">
        <v>0.67003440000000003</v>
      </c>
      <c r="H1627" s="8" t="str">
        <f t="shared" si="67"/>
        <v>0.67 (0.66 to 0.67)</v>
      </c>
    </row>
    <row r="1628" spans="1:8" ht="17.25" thickBot="1" x14ac:dyDescent="0.35">
      <c r="A1628" s="13" t="s">
        <v>68</v>
      </c>
      <c r="B1628" s="2">
        <v>2964</v>
      </c>
      <c r="C1628" s="2">
        <v>0.38384800000000002</v>
      </c>
      <c r="D1628" s="2">
        <v>7.7079999999999996E-3</v>
      </c>
      <c r="E1628" s="2">
        <v>0.36869940000000001</v>
      </c>
      <c r="F1628" s="2">
        <v>0.39899570000000001</v>
      </c>
      <c r="H1628" s="8" t="str">
        <f t="shared" si="67"/>
        <v>0.38 (0.37 to 0.40)</v>
      </c>
    </row>
    <row r="1629" spans="1:8" x14ac:dyDescent="0.3">
      <c r="A1629" s="14" t="s">
        <v>69</v>
      </c>
      <c r="B1629" s="2">
        <v>2964</v>
      </c>
      <c r="C1629" s="2">
        <v>36.050821999999997</v>
      </c>
      <c r="D1629" s="2">
        <v>0.16927600000000001</v>
      </c>
      <c r="E1629" s="2">
        <v>35.718132799999999</v>
      </c>
      <c r="F1629" s="2">
        <v>36.383511599999999</v>
      </c>
      <c r="H1629" s="8" t="str">
        <f t="shared" si="67"/>
        <v>36.05 (35.72 to 36.38)</v>
      </c>
    </row>
    <row r="1633" spans="1:6" x14ac:dyDescent="0.3">
      <c r="A1633" s="1" t="s">
        <v>129</v>
      </c>
    </row>
    <row r="1635" spans="1:6" x14ac:dyDescent="0.3">
      <c r="A1635" s="1" t="s">
        <v>210</v>
      </c>
    </row>
    <row r="1636" spans="1:6" ht="17.25" thickBot="1" x14ac:dyDescent="0.35"/>
    <row r="1637" spans="1:6" ht="16.5" customHeight="1" x14ac:dyDescent="0.3">
      <c r="A1637" s="24" t="s">
        <v>75</v>
      </c>
      <c r="B1637" s="26"/>
    </row>
    <row r="1638" spans="1:6" ht="26.25" thickBot="1" x14ac:dyDescent="0.35">
      <c r="A1638" s="13" t="s">
        <v>76</v>
      </c>
      <c r="B1638" s="2">
        <v>25</v>
      </c>
    </row>
    <row r="1639" spans="1:6" ht="26.25" thickBot="1" x14ac:dyDescent="0.35">
      <c r="A1639" s="13" t="s">
        <v>77</v>
      </c>
      <c r="B1639" s="2">
        <v>481</v>
      </c>
    </row>
    <row r="1640" spans="1:6" ht="39" thickBot="1" x14ac:dyDescent="0.35">
      <c r="A1640" s="13" t="s">
        <v>78</v>
      </c>
      <c r="B1640" s="2">
        <v>3319</v>
      </c>
    </row>
    <row r="1641" spans="1:6" ht="25.5" x14ac:dyDescent="0.3">
      <c r="A1641" s="14" t="s">
        <v>79</v>
      </c>
      <c r="B1641" s="2">
        <v>1302369.5900000001</v>
      </c>
    </row>
    <row r="1642" spans="1:6" ht="17.25" thickBot="1" x14ac:dyDescent="0.35"/>
    <row r="1643" spans="1:6" ht="33" customHeight="1" x14ac:dyDescent="0.3">
      <c r="A1643" s="24" t="s">
        <v>80</v>
      </c>
      <c r="B1643" s="26"/>
    </row>
    <row r="1644" spans="1:6" ht="33.75" thickBot="1" x14ac:dyDescent="0.35">
      <c r="A1644" s="13" t="s">
        <v>81</v>
      </c>
      <c r="B1644" s="2" t="s">
        <v>82</v>
      </c>
    </row>
    <row r="1645" spans="1:6" ht="25.5" x14ac:dyDescent="0.3">
      <c r="A1645" s="14" t="s">
        <v>83</v>
      </c>
      <c r="B1645" s="2" t="s">
        <v>84</v>
      </c>
    </row>
    <row r="1646" spans="1:6" ht="17.25" thickBot="1" x14ac:dyDescent="0.35"/>
    <row r="1647" spans="1:6" ht="16.5" customHeight="1" x14ac:dyDescent="0.3">
      <c r="A1647" s="24" t="s">
        <v>130</v>
      </c>
      <c r="B1647" s="26"/>
      <c r="C1647" s="26"/>
      <c r="D1647" s="26"/>
      <c r="E1647" s="26"/>
      <c r="F1647" s="26"/>
    </row>
    <row r="1648" spans="1:6" x14ac:dyDescent="0.3">
      <c r="A1648" s="25" t="s">
        <v>131</v>
      </c>
      <c r="B1648" s="27" t="s">
        <v>46</v>
      </c>
      <c r="C1648" s="27" t="s">
        <v>132</v>
      </c>
      <c r="D1648" s="3" t="s">
        <v>133</v>
      </c>
      <c r="E1648" s="27" t="s">
        <v>135</v>
      </c>
      <c r="F1648" s="27"/>
    </row>
    <row r="1649" spans="1:8" x14ac:dyDescent="0.3">
      <c r="A1649" s="25"/>
      <c r="B1649" s="27"/>
      <c r="C1649" s="27"/>
      <c r="D1649" s="3" t="s">
        <v>134</v>
      </c>
      <c r="E1649" s="27"/>
      <c r="F1649" s="27"/>
    </row>
    <row r="1650" spans="1:8" ht="17.25" thickBot="1" x14ac:dyDescent="0.35">
      <c r="A1650" s="13" t="s">
        <v>66</v>
      </c>
      <c r="B1650" s="2">
        <v>3319</v>
      </c>
      <c r="C1650" s="2">
        <v>8.5279159999999994</v>
      </c>
      <c r="D1650" s="2">
        <v>1.4331E-2</v>
      </c>
      <c r="E1650" s="2">
        <v>8.4997530999999995</v>
      </c>
      <c r="F1650" s="2">
        <v>8.5560787000000005</v>
      </c>
      <c r="H1650" s="8" t="str">
        <f t="shared" ref="H1650:H1653" si="68">TEXT(C1650,"0.00")&amp;" ("&amp;TEXT(E1650,"0.00")&amp;" to "&amp;TEXT(F1650,"0.00")&amp;")"</f>
        <v>8.53 (8.50 to 8.56)</v>
      </c>
    </row>
    <row r="1651" spans="1:8" ht="17.25" thickBot="1" x14ac:dyDescent="0.35">
      <c r="A1651" s="13" t="s">
        <v>67</v>
      </c>
      <c r="B1651" s="2">
        <v>3319</v>
      </c>
      <c r="C1651" s="2">
        <v>0.65502300000000002</v>
      </c>
      <c r="D1651" s="2">
        <v>1.642E-3</v>
      </c>
      <c r="E1651" s="2">
        <v>0.65179759999999998</v>
      </c>
      <c r="F1651" s="2">
        <v>0.65824939999999998</v>
      </c>
      <c r="H1651" s="8" t="str">
        <f t="shared" si="68"/>
        <v>0.66 (0.65 to 0.66)</v>
      </c>
    </row>
    <row r="1652" spans="1:8" ht="17.25" thickBot="1" x14ac:dyDescent="0.35">
      <c r="A1652" s="13" t="s">
        <v>68</v>
      </c>
      <c r="B1652" s="2">
        <v>3319</v>
      </c>
      <c r="C1652" s="2">
        <v>0.358599</v>
      </c>
      <c r="D1652" s="2">
        <v>6.7619999999999998E-3</v>
      </c>
      <c r="E1652" s="2">
        <v>0.34531020000000001</v>
      </c>
      <c r="F1652" s="2">
        <v>0.37188860000000001</v>
      </c>
      <c r="H1652" s="8" t="str">
        <f t="shared" si="68"/>
        <v>0.36 (0.35 to 0.37)</v>
      </c>
    </row>
    <row r="1653" spans="1:8" x14ac:dyDescent="0.3">
      <c r="A1653" s="14" t="s">
        <v>69</v>
      </c>
      <c r="B1653" s="2">
        <v>3319</v>
      </c>
      <c r="C1653" s="2">
        <v>35.492114999999998</v>
      </c>
      <c r="D1653" s="2">
        <v>0.151892</v>
      </c>
      <c r="E1653" s="2">
        <v>35.193620299999999</v>
      </c>
      <c r="F1653" s="2">
        <v>35.790610299999997</v>
      </c>
      <c r="H1653" s="8" t="str">
        <f t="shared" si="68"/>
        <v>35.49 (35.19 to 35.79)</v>
      </c>
    </row>
    <row r="1657" spans="1:8" x14ac:dyDescent="0.3">
      <c r="A1657" s="1" t="s">
        <v>129</v>
      </c>
    </row>
    <row r="1659" spans="1:8" x14ac:dyDescent="0.3">
      <c r="A1659" s="1" t="s">
        <v>211</v>
      </c>
    </row>
    <row r="1660" spans="1:8" ht="17.25" thickBot="1" x14ac:dyDescent="0.35"/>
    <row r="1661" spans="1:8" ht="16.5" customHeight="1" x14ac:dyDescent="0.3">
      <c r="A1661" s="24" t="s">
        <v>75</v>
      </c>
      <c r="B1661" s="26"/>
    </row>
    <row r="1662" spans="1:8" ht="26.25" thickBot="1" x14ac:dyDescent="0.35">
      <c r="A1662" s="13" t="s">
        <v>76</v>
      </c>
      <c r="B1662" s="2">
        <v>25</v>
      </c>
    </row>
    <row r="1663" spans="1:8" ht="26.25" thickBot="1" x14ac:dyDescent="0.35">
      <c r="A1663" s="13" t="s">
        <v>77</v>
      </c>
      <c r="B1663" s="2">
        <v>437</v>
      </c>
    </row>
    <row r="1664" spans="1:8" ht="39" thickBot="1" x14ac:dyDescent="0.35">
      <c r="A1664" s="13" t="s">
        <v>78</v>
      </c>
      <c r="B1664" s="2">
        <v>3326</v>
      </c>
    </row>
    <row r="1665" spans="1:8" ht="25.5" x14ac:dyDescent="0.3">
      <c r="A1665" s="14" t="s">
        <v>79</v>
      </c>
      <c r="B1665" s="2">
        <v>1341023.28</v>
      </c>
    </row>
    <row r="1666" spans="1:8" ht="17.25" thickBot="1" x14ac:dyDescent="0.35"/>
    <row r="1667" spans="1:8" ht="33" customHeight="1" x14ac:dyDescent="0.3">
      <c r="A1667" s="24" t="s">
        <v>80</v>
      </c>
      <c r="B1667" s="26"/>
    </row>
    <row r="1668" spans="1:8" ht="33.75" thickBot="1" x14ac:dyDescent="0.35">
      <c r="A1668" s="13" t="s">
        <v>81</v>
      </c>
      <c r="B1668" s="2" t="s">
        <v>82</v>
      </c>
    </row>
    <row r="1669" spans="1:8" ht="25.5" x14ac:dyDescent="0.3">
      <c r="A1669" s="14" t="s">
        <v>83</v>
      </c>
      <c r="B1669" s="2" t="s">
        <v>84</v>
      </c>
    </row>
    <row r="1670" spans="1:8" ht="17.25" thickBot="1" x14ac:dyDescent="0.35"/>
    <row r="1671" spans="1:8" ht="16.5" customHeight="1" x14ac:dyDescent="0.3">
      <c r="A1671" s="24" t="s">
        <v>130</v>
      </c>
      <c r="B1671" s="26"/>
      <c r="C1671" s="26"/>
      <c r="D1671" s="26"/>
      <c r="E1671" s="26"/>
      <c r="F1671" s="26"/>
    </row>
    <row r="1672" spans="1:8" x14ac:dyDescent="0.3">
      <c r="A1672" s="25" t="s">
        <v>131</v>
      </c>
      <c r="B1672" s="27" t="s">
        <v>46</v>
      </c>
      <c r="C1672" s="27" t="s">
        <v>132</v>
      </c>
      <c r="D1672" s="3" t="s">
        <v>133</v>
      </c>
      <c r="E1672" s="27" t="s">
        <v>135</v>
      </c>
      <c r="F1672" s="27"/>
    </row>
    <row r="1673" spans="1:8" x14ac:dyDescent="0.3">
      <c r="A1673" s="25"/>
      <c r="B1673" s="27"/>
      <c r="C1673" s="27"/>
      <c r="D1673" s="3" t="s">
        <v>134</v>
      </c>
      <c r="E1673" s="27"/>
      <c r="F1673" s="27"/>
    </row>
    <row r="1674" spans="1:8" ht="17.25" thickBot="1" x14ac:dyDescent="0.35">
      <c r="A1674" s="13" t="s">
        <v>66</v>
      </c>
      <c r="B1674" s="2">
        <v>3326</v>
      </c>
      <c r="C1674" s="2">
        <v>8.5099979999999995</v>
      </c>
      <c r="D1674" s="2">
        <v>1.3467E-2</v>
      </c>
      <c r="E1674" s="2">
        <v>8.4835247999999996</v>
      </c>
      <c r="F1674" s="2">
        <v>8.5364702999999995</v>
      </c>
      <c r="H1674" s="8" t="str">
        <f t="shared" ref="H1674:H1677" si="69">TEXT(C1674,"0.00")&amp;" ("&amp;TEXT(E1674,"0.00")&amp;" to "&amp;TEXT(F1674,"0.00")&amp;")"</f>
        <v>8.51 (8.48 to 8.54)</v>
      </c>
    </row>
    <row r="1675" spans="1:8" ht="17.25" thickBot="1" x14ac:dyDescent="0.35">
      <c r="A1675" s="13" t="s">
        <v>67</v>
      </c>
      <c r="B1675" s="2">
        <v>3326</v>
      </c>
      <c r="C1675" s="2">
        <v>0.65013900000000002</v>
      </c>
      <c r="D1675" s="2">
        <v>1.6230000000000001E-3</v>
      </c>
      <c r="E1675" s="2">
        <v>0.64694819999999997</v>
      </c>
      <c r="F1675" s="2">
        <v>0.65332900000000005</v>
      </c>
      <c r="H1675" s="8" t="str">
        <f t="shared" si="69"/>
        <v>0.65 (0.65 to 0.65)</v>
      </c>
    </row>
    <row r="1676" spans="1:8" ht="17.25" thickBot="1" x14ac:dyDescent="0.35">
      <c r="A1676" s="13" t="s">
        <v>68</v>
      </c>
      <c r="B1676" s="2">
        <v>3326</v>
      </c>
      <c r="C1676" s="2">
        <v>0.34900599999999998</v>
      </c>
      <c r="D1676" s="2">
        <v>6.3870000000000003E-3</v>
      </c>
      <c r="E1676" s="2">
        <v>0.33645120000000001</v>
      </c>
      <c r="F1676" s="2">
        <v>0.36156080000000002</v>
      </c>
      <c r="H1676" s="8" t="str">
        <f t="shared" si="69"/>
        <v>0.35 (0.34 to 0.36)</v>
      </c>
    </row>
    <row r="1677" spans="1:8" x14ac:dyDescent="0.3">
      <c r="A1677" s="14" t="s">
        <v>69</v>
      </c>
      <c r="B1677" s="2">
        <v>3326</v>
      </c>
      <c r="C1677" s="2">
        <v>35.107584000000003</v>
      </c>
      <c r="D1677" s="2">
        <v>0.13896600000000001</v>
      </c>
      <c r="E1677" s="2">
        <v>34.834413499999997</v>
      </c>
      <c r="F1677" s="2">
        <v>35.380755499999999</v>
      </c>
      <c r="H1677" s="8" t="str">
        <f t="shared" si="69"/>
        <v>35.11 (34.83 to 35.38)</v>
      </c>
    </row>
    <row r="1681" spans="1:6" x14ac:dyDescent="0.3">
      <c r="A1681" s="1" t="s">
        <v>129</v>
      </c>
    </row>
    <row r="1683" spans="1:6" x14ac:dyDescent="0.3">
      <c r="A1683" s="1" t="s">
        <v>212</v>
      </c>
    </row>
    <row r="1684" spans="1:6" ht="17.25" thickBot="1" x14ac:dyDescent="0.35"/>
    <row r="1685" spans="1:6" ht="16.5" customHeight="1" x14ac:dyDescent="0.3">
      <c r="A1685" s="24" t="s">
        <v>75</v>
      </c>
      <c r="B1685" s="26"/>
    </row>
    <row r="1686" spans="1:6" ht="26.25" thickBot="1" x14ac:dyDescent="0.35">
      <c r="A1686" s="13" t="s">
        <v>76</v>
      </c>
      <c r="B1686" s="2">
        <v>25</v>
      </c>
    </row>
    <row r="1687" spans="1:6" ht="26.25" thickBot="1" x14ac:dyDescent="0.35">
      <c r="A1687" s="13" t="s">
        <v>77</v>
      </c>
      <c r="B1687" s="2">
        <v>471</v>
      </c>
    </row>
    <row r="1688" spans="1:6" ht="39" thickBot="1" x14ac:dyDescent="0.35">
      <c r="A1688" s="13" t="s">
        <v>78</v>
      </c>
      <c r="B1688" s="2">
        <v>2174</v>
      </c>
    </row>
    <row r="1689" spans="1:6" ht="25.5" x14ac:dyDescent="0.3">
      <c r="A1689" s="14" t="s">
        <v>79</v>
      </c>
      <c r="B1689" s="2">
        <v>753645.66700000002</v>
      </c>
    </row>
    <row r="1690" spans="1:6" ht="17.25" thickBot="1" x14ac:dyDescent="0.35"/>
    <row r="1691" spans="1:6" ht="33" customHeight="1" x14ac:dyDescent="0.3">
      <c r="A1691" s="24" t="s">
        <v>80</v>
      </c>
      <c r="B1691" s="26"/>
    </row>
    <row r="1692" spans="1:6" ht="33.75" thickBot="1" x14ac:dyDescent="0.35">
      <c r="A1692" s="13" t="s">
        <v>81</v>
      </c>
      <c r="B1692" s="2" t="s">
        <v>82</v>
      </c>
    </row>
    <row r="1693" spans="1:6" ht="25.5" x14ac:dyDescent="0.3">
      <c r="A1693" s="14" t="s">
        <v>83</v>
      </c>
      <c r="B1693" s="2" t="s">
        <v>84</v>
      </c>
    </row>
    <row r="1694" spans="1:6" ht="17.25" thickBot="1" x14ac:dyDescent="0.35"/>
    <row r="1695" spans="1:6" ht="16.5" customHeight="1" x14ac:dyDescent="0.3">
      <c r="A1695" s="24" t="s">
        <v>130</v>
      </c>
      <c r="B1695" s="26"/>
      <c r="C1695" s="26"/>
      <c r="D1695" s="26"/>
      <c r="E1695" s="26"/>
      <c r="F1695" s="26"/>
    </row>
    <row r="1696" spans="1:6" x14ac:dyDescent="0.3">
      <c r="A1696" s="25" t="s">
        <v>131</v>
      </c>
      <c r="B1696" s="27" t="s">
        <v>46</v>
      </c>
      <c r="C1696" s="27" t="s">
        <v>132</v>
      </c>
      <c r="D1696" s="3" t="s">
        <v>133</v>
      </c>
      <c r="E1696" s="27" t="s">
        <v>135</v>
      </c>
      <c r="F1696" s="27"/>
    </row>
    <row r="1697" spans="1:8" x14ac:dyDescent="0.3">
      <c r="A1697" s="25"/>
      <c r="B1697" s="27"/>
      <c r="C1697" s="27"/>
      <c r="D1697" s="3" t="s">
        <v>134</v>
      </c>
      <c r="E1697" s="27"/>
      <c r="F1697" s="27"/>
    </row>
    <row r="1698" spans="1:8" ht="17.25" thickBot="1" x14ac:dyDescent="0.35">
      <c r="A1698" s="13" t="s">
        <v>66</v>
      </c>
      <c r="B1698" s="2">
        <v>2174</v>
      </c>
      <c r="C1698" s="2">
        <v>8.6385799999999993</v>
      </c>
      <c r="D1698" s="2">
        <v>2.0285999999999998E-2</v>
      </c>
      <c r="E1698" s="2">
        <v>8.5987132000000006</v>
      </c>
      <c r="F1698" s="2">
        <v>8.6784475000000008</v>
      </c>
      <c r="H1698" s="8" t="str">
        <f t="shared" ref="H1698:H1701" si="70">TEXT(C1698,"0.00")&amp;" ("&amp;TEXT(E1698,"0.00")&amp;" to "&amp;TEXT(F1698,"0.00")&amp;")"</f>
        <v>8.64 (8.60 to 8.68)</v>
      </c>
    </row>
    <row r="1699" spans="1:8" ht="17.25" thickBot="1" x14ac:dyDescent="0.35">
      <c r="A1699" s="13" t="s">
        <v>67</v>
      </c>
      <c r="B1699" s="2">
        <v>2174</v>
      </c>
      <c r="C1699" s="2">
        <v>0.68076400000000004</v>
      </c>
      <c r="D1699" s="2">
        <v>2.6340000000000001E-3</v>
      </c>
      <c r="E1699" s="2">
        <v>0.67558830000000003</v>
      </c>
      <c r="F1699" s="2">
        <v>0.68594029999999995</v>
      </c>
      <c r="H1699" s="8" t="str">
        <f t="shared" si="70"/>
        <v>0.68 (0.68 to 0.69)</v>
      </c>
    </row>
    <row r="1700" spans="1:8" ht="17.25" thickBot="1" x14ac:dyDescent="0.35">
      <c r="A1700" s="13" t="s">
        <v>68</v>
      </c>
      <c r="B1700" s="2">
        <v>2174</v>
      </c>
      <c r="C1700" s="2">
        <v>0.38532899999999998</v>
      </c>
      <c r="D1700" s="2">
        <v>9.5820000000000002E-3</v>
      </c>
      <c r="E1700" s="2">
        <v>0.36649749999999998</v>
      </c>
      <c r="F1700" s="2">
        <v>0.4041614</v>
      </c>
      <c r="H1700" s="8" t="str">
        <f t="shared" si="70"/>
        <v>0.39 (0.37 to 0.40)</v>
      </c>
    </row>
    <row r="1701" spans="1:8" x14ac:dyDescent="0.3">
      <c r="A1701" s="14" t="s">
        <v>69</v>
      </c>
      <c r="B1701" s="2">
        <v>2174</v>
      </c>
      <c r="C1701" s="2">
        <v>35.828108</v>
      </c>
      <c r="D1701" s="2">
        <v>0.231125</v>
      </c>
      <c r="E1701" s="2">
        <v>35.373878499999996</v>
      </c>
      <c r="F1701" s="2">
        <v>36.282336899999997</v>
      </c>
      <c r="H1701" s="8" t="str">
        <f t="shared" si="70"/>
        <v>35.83 (35.37 to 36.28)</v>
      </c>
    </row>
    <row r="1705" spans="1:8" x14ac:dyDescent="0.3">
      <c r="A1705" s="1" t="s">
        <v>129</v>
      </c>
    </row>
    <row r="1707" spans="1:8" x14ac:dyDescent="0.3">
      <c r="A1707" s="1" t="s">
        <v>213</v>
      </c>
    </row>
    <row r="1708" spans="1:8" ht="17.25" thickBot="1" x14ac:dyDescent="0.35"/>
    <row r="1709" spans="1:8" ht="16.5" customHeight="1" x14ac:dyDescent="0.3">
      <c r="A1709" s="24" t="s">
        <v>75</v>
      </c>
      <c r="B1709" s="26"/>
    </row>
    <row r="1710" spans="1:8" ht="26.25" thickBot="1" x14ac:dyDescent="0.35">
      <c r="A1710" s="13" t="s">
        <v>76</v>
      </c>
      <c r="B1710" s="2">
        <v>25</v>
      </c>
    </row>
    <row r="1711" spans="1:8" ht="26.25" thickBot="1" x14ac:dyDescent="0.35">
      <c r="A1711" s="13" t="s">
        <v>77</v>
      </c>
      <c r="B1711" s="2">
        <v>551</v>
      </c>
    </row>
    <row r="1712" spans="1:8" ht="39" thickBot="1" x14ac:dyDescent="0.35">
      <c r="A1712" s="13" t="s">
        <v>78</v>
      </c>
      <c r="B1712" s="2">
        <v>3356</v>
      </c>
    </row>
    <row r="1713" spans="1:8" ht="25.5" x14ac:dyDescent="0.3">
      <c r="A1713" s="14" t="s">
        <v>79</v>
      </c>
      <c r="B1713" s="2">
        <v>1473933.82</v>
      </c>
    </row>
    <row r="1714" spans="1:8" ht="17.25" thickBot="1" x14ac:dyDescent="0.35"/>
    <row r="1715" spans="1:8" ht="33" customHeight="1" x14ac:dyDescent="0.3">
      <c r="A1715" s="24" t="s">
        <v>80</v>
      </c>
      <c r="B1715" s="26"/>
    </row>
    <row r="1716" spans="1:8" ht="33.75" thickBot="1" x14ac:dyDescent="0.35">
      <c r="A1716" s="13" t="s">
        <v>81</v>
      </c>
      <c r="B1716" s="2" t="s">
        <v>82</v>
      </c>
    </row>
    <row r="1717" spans="1:8" ht="25.5" x14ac:dyDescent="0.3">
      <c r="A1717" s="14" t="s">
        <v>83</v>
      </c>
      <c r="B1717" s="2" t="s">
        <v>84</v>
      </c>
    </row>
    <row r="1718" spans="1:8" ht="17.25" thickBot="1" x14ac:dyDescent="0.35"/>
    <row r="1719" spans="1:8" ht="16.5" customHeight="1" x14ac:dyDescent="0.3">
      <c r="A1719" s="24" t="s">
        <v>130</v>
      </c>
      <c r="B1719" s="26"/>
      <c r="C1719" s="26"/>
      <c r="D1719" s="26"/>
      <c r="E1719" s="26"/>
      <c r="F1719" s="26"/>
    </row>
    <row r="1720" spans="1:8" x14ac:dyDescent="0.3">
      <c r="A1720" s="25" t="s">
        <v>131</v>
      </c>
      <c r="B1720" s="27" t="s">
        <v>46</v>
      </c>
      <c r="C1720" s="27" t="s">
        <v>132</v>
      </c>
      <c r="D1720" s="3" t="s">
        <v>133</v>
      </c>
      <c r="E1720" s="27" t="s">
        <v>135</v>
      </c>
      <c r="F1720" s="27"/>
    </row>
    <row r="1721" spans="1:8" x14ac:dyDescent="0.3">
      <c r="A1721" s="25"/>
      <c r="B1721" s="27"/>
      <c r="C1721" s="27"/>
      <c r="D1721" s="3" t="s">
        <v>134</v>
      </c>
      <c r="E1721" s="27"/>
      <c r="F1721" s="27"/>
    </row>
    <row r="1722" spans="1:8" ht="17.25" thickBot="1" x14ac:dyDescent="0.35">
      <c r="A1722" s="13" t="s">
        <v>66</v>
      </c>
      <c r="B1722" s="2">
        <v>3356</v>
      </c>
      <c r="C1722" s="2">
        <v>8.5641320000000007</v>
      </c>
      <c r="D1722" s="2">
        <v>1.5468000000000001E-2</v>
      </c>
      <c r="E1722" s="2">
        <v>8.5337467999999994</v>
      </c>
      <c r="F1722" s="2">
        <v>8.5945181999999996</v>
      </c>
      <c r="H1722" s="8" t="str">
        <f t="shared" ref="H1722:H1725" si="71">TEXT(C1722,"0.00")&amp;" ("&amp;TEXT(E1722,"0.00")&amp;" to "&amp;TEXT(F1722,"0.00")&amp;")"</f>
        <v>8.56 (8.53 to 8.59)</v>
      </c>
    </row>
    <row r="1723" spans="1:8" ht="17.25" thickBot="1" x14ac:dyDescent="0.35">
      <c r="A1723" s="13" t="s">
        <v>67</v>
      </c>
      <c r="B1723" s="2">
        <v>3356</v>
      </c>
      <c r="C1723" s="2">
        <v>0.65935500000000002</v>
      </c>
      <c r="D1723" s="2">
        <v>1.805E-3</v>
      </c>
      <c r="E1723" s="2">
        <v>0.65580959999999999</v>
      </c>
      <c r="F1723" s="2">
        <v>0.66289980000000004</v>
      </c>
      <c r="H1723" s="8" t="str">
        <f t="shared" si="71"/>
        <v>0.66 (0.66 to 0.66)</v>
      </c>
    </row>
    <row r="1724" spans="1:8" ht="17.25" thickBot="1" x14ac:dyDescent="0.35">
      <c r="A1724" s="13" t="s">
        <v>68</v>
      </c>
      <c r="B1724" s="2">
        <v>3356</v>
      </c>
      <c r="C1724" s="2">
        <v>0.36289199999999999</v>
      </c>
      <c r="D1724" s="2">
        <v>7.3569999999999998E-3</v>
      </c>
      <c r="E1724" s="2">
        <v>0.34843930000000001</v>
      </c>
      <c r="F1724" s="2">
        <v>0.37734390000000001</v>
      </c>
      <c r="H1724" s="8" t="str">
        <f t="shared" si="71"/>
        <v>0.36 (0.35 to 0.38)</v>
      </c>
    </row>
    <row r="1725" spans="1:8" x14ac:dyDescent="0.3">
      <c r="A1725" s="14" t="s">
        <v>69</v>
      </c>
      <c r="B1725" s="2">
        <v>3356</v>
      </c>
      <c r="C1725" s="2">
        <v>35.801585000000003</v>
      </c>
      <c r="D1725" s="2">
        <v>0.19189400000000001</v>
      </c>
      <c r="E1725" s="2">
        <v>35.424613299999997</v>
      </c>
      <c r="F1725" s="2">
        <v>36.178556999999998</v>
      </c>
      <c r="H1725" s="8" t="str">
        <f t="shared" si="71"/>
        <v>35.80 (35.42 to 36.18)</v>
      </c>
    </row>
    <row r="1729" spans="1:6" x14ac:dyDescent="0.3">
      <c r="A1729" s="1" t="s">
        <v>129</v>
      </c>
    </row>
    <row r="1731" spans="1:6" x14ac:dyDescent="0.3">
      <c r="A1731" s="1" t="s">
        <v>214</v>
      </c>
    </row>
    <row r="1732" spans="1:6" ht="17.25" thickBot="1" x14ac:dyDescent="0.35"/>
    <row r="1733" spans="1:6" ht="16.5" customHeight="1" x14ac:dyDescent="0.3">
      <c r="A1733" s="24" t="s">
        <v>75</v>
      </c>
      <c r="B1733" s="26"/>
    </row>
    <row r="1734" spans="1:6" ht="26.25" thickBot="1" x14ac:dyDescent="0.35">
      <c r="A1734" s="13" t="s">
        <v>76</v>
      </c>
      <c r="B1734" s="2">
        <v>25</v>
      </c>
    </row>
    <row r="1735" spans="1:6" ht="26.25" thickBot="1" x14ac:dyDescent="0.35">
      <c r="A1735" s="13" t="s">
        <v>77</v>
      </c>
      <c r="B1735" s="2">
        <v>556</v>
      </c>
    </row>
    <row r="1736" spans="1:6" ht="39" thickBot="1" x14ac:dyDescent="0.35">
      <c r="A1736" s="13" t="s">
        <v>78</v>
      </c>
      <c r="B1736" s="2">
        <v>3737</v>
      </c>
    </row>
    <row r="1737" spans="1:6" ht="25.5" x14ac:dyDescent="0.3">
      <c r="A1737" s="14" t="s">
        <v>79</v>
      </c>
      <c r="B1737" s="2">
        <v>1634971.41</v>
      </c>
    </row>
    <row r="1738" spans="1:6" ht="17.25" thickBot="1" x14ac:dyDescent="0.35"/>
    <row r="1739" spans="1:6" ht="33" customHeight="1" x14ac:dyDescent="0.3">
      <c r="A1739" s="24" t="s">
        <v>80</v>
      </c>
      <c r="B1739" s="26"/>
    </row>
    <row r="1740" spans="1:6" ht="33.75" thickBot="1" x14ac:dyDescent="0.35">
      <c r="A1740" s="13" t="s">
        <v>81</v>
      </c>
      <c r="B1740" s="2" t="s">
        <v>82</v>
      </c>
    </row>
    <row r="1741" spans="1:6" ht="25.5" x14ac:dyDescent="0.3">
      <c r="A1741" s="14" t="s">
        <v>83</v>
      </c>
      <c r="B1741" s="2" t="s">
        <v>84</v>
      </c>
    </row>
    <row r="1742" spans="1:6" ht="17.25" thickBot="1" x14ac:dyDescent="0.35"/>
    <row r="1743" spans="1:6" ht="16.5" customHeight="1" x14ac:dyDescent="0.3">
      <c r="A1743" s="24" t="s">
        <v>130</v>
      </c>
      <c r="B1743" s="26"/>
      <c r="C1743" s="26"/>
      <c r="D1743" s="26"/>
      <c r="E1743" s="26"/>
      <c r="F1743" s="26"/>
    </row>
    <row r="1744" spans="1:6" x14ac:dyDescent="0.3">
      <c r="A1744" s="25" t="s">
        <v>131</v>
      </c>
      <c r="B1744" s="27" t="s">
        <v>46</v>
      </c>
      <c r="C1744" s="27" t="s">
        <v>132</v>
      </c>
      <c r="D1744" s="3" t="s">
        <v>133</v>
      </c>
      <c r="E1744" s="27" t="s">
        <v>135</v>
      </c>
      <c r="F1744" s="27"/>
    </row>
    <row r="1745" spans="1:8" x14ac:dyDescent="0.3">
      <c r="A1745" s="25"/>
      <c r="B1745" s="27"/>
      <c r="C1745" s="27"/>
      <c r="D1745" s="3" t="s">
        <v>134</v>
      </c>
      <c r="E1745" s="27"/>
      <c r="F1745" s="27"/>
    </row>
    <row r="1746" spans="1:8" ht="17.25" thickBot="1" x14ac:dyDescent="0.35">
      <c r="A1746" s="13" t="s">
        <v>66</v>
      </c>
      <c r="B1746" s="2">
        <v>3737</v>
      </c>
      <c r="C1746" s="2">
        <v>8.5394279999999991</v>
      </c>
      <c r="D1746" s="2">
        <v>1.4194999999999999E-2</v>
      </c>
      <c r="E1746" s="2">
        <v>8.5115432999999996</v>
      </c>
      <c r="F1746" s="2">
        <v>8.5673119999999994</v>
      </c>
      <c r="H1746" s="8" t="str">
        <f t="shared" ref="H1746:H1749" si="72">TEXT(C1746,"0.00")&amp;" ("&amp;TEXT(E1746,"0.00")&amp;" to "&amp;TEXT(F1746,"0.00")&amp;")"</f>
        <v>8.54 (8.51 to 8.57)</v>
      </c>
    </row>
    <row r="1747" spans="1:8" ht="17.25" thickBot="1" x14ac:dyDescent="0.35">
      <c r="A1747" s="13" t="s">
        <v>67</v>
      </c>
      <c r="B1747" s="2">
        <v>3737</v>
      </c>
      <c r="C1747" s="2">
        <v>0.65232199999999996</v>
      </c>
      <c r="D1747" s="2">
        <v>1.5200000000000001E-3</v>
      </c>
      <c r="E1747" s="2">
        <v>0.64933569999999996</v>
      </c>
      <c r="F1747" s="2">
        <v>0.65530820000000001</v>
      </c>
      <c r="H1747" s="8" t="str">
        <f t="shared" si="72"/>
        <v>0.65 (0.65 to 0.66)</v>
      </c>
    </row>
    <row r="1748" spans="1:8" ht="17.25" thickBot="1" x14ac:dyDescent="0.35">
      <c r="A1748" s="13" t="s">
        <v>68</v>
      </c>
      <c r="B1748" s="2">
        <v>3737</v>
      </c>
      <c r="C1748" s="2">
        <v>0.348804</v>
      </c>
      <c r="D1748" s="2">
        <v>6.6629999999999997E-3</v>
      </c>
      <c r="E1748" s="2">
        <v>0.33571499999999999</v>
      </c>
      <c r="F1748" s="2">
        <v>0.3618923</v>
      </c>
      <c r="H1748" s="8" t="str">
        <f t="shared" si="72"/>
        <v>0.35 (0.34 to 0.36)</v>
      </c>
    </row>
    <row r="1749" spans="1:8" x14ac:dyDescent="0.3">
      <c r="A1749" s="14" t="s">
        <v>69</v>
      </c>
      <c r="B1749" s="2">
        <v>3737</v>
      </c>
      <c r="C1749" s="2">
        <v>35.425632</v>
      </c>
      <c r="D1749" s="2">
        <v>0.15698400000000001</v>
      </c>
      <c r="E1749" s="2">
        <v>35.117246399999999</v>
      </c>
      <c r="F1749" s="2">
        <v>35.734017299999998</v>
      </c>
      <c r="H1749" s="8" t="str">
        <f t="shared" si="72"/>
        <v>35.43 (35.12 to 35.73)</v>
      </c>
    </row>
    <row r="1753" spans="1:8" x14ac:dyDescent="0.3">
      <c r="A1753" s="1" t="s">
        <v>129</v>
      </c>
    </row>
    <row r="1755" spans="1:8" x14ac:dyDescent="0.3">
      <c r="A1755" s="1" t="s">
        <v>215</v>
      </c>
    </row>
    <row r="1756" spans="1:8" ht="17.25" thickBot="1" x14ac:dyDescent="0.35"/>
    <row r="1757" spans="1:8" ht="16.5" customHeight="1" x14ac:dyDescent="0.3">
      <c r="A1757" s="24" t="s">
        <v>75</v>
      </c>
      <c r="B1757" s="26"/>
    </row>
    <row r="1758" spans="1:8" ht="26.25" thickBot="1" x14ac:dyDescent="0.35">
      <c r="A1758" s="13" t="s">
        <v>76</v>
      </c>
      <c r="B1758" s="2">
        <v>25</v>
      </c>
    </row>
    <row r="1759" spans="1:8" ht="26.25" thickBot="1" x14ac:dyDescent="0.35">
      <c r="A1759" s="13" t="s">
        <v>77</v>
      </c>
      <c r="B1759" s="2">
        <v>534</v>
      </c>
    </row>
    <row r="1760" spans="1:8" ht="39" thickBot="1" x14ac:dyDescent="0.35">
      <c r="A1760" s="13" t="s">
        <v>78</v>
      </c>
      <c r="B1760" s="2">
        <v>3849</v>
      </c>
    </row>
    <row r="1761" spans="1:8" ht="25.5" x14ac:dyDescent="0.3">
      <c r="A1761" s="14" t="s">
        <v>79</v>
      </c>
      <c r="B1761" s="2">
        <v>1598114.05</v>
      </c>
    </row>
    <row r="1762" spans="1:8" ht="17.25" thickBot="1" x14ac:dyDescent="0.35"/>
    <row r="1763" spans="1:8" ht="33" customHeight="1" x14ac:dyDescent="0.3">
      <c r="A1763" s="24" t="s">
        <v>80</v>
      </c>
      <c r="B1763" s="26"/>
    </row>
    <row r="1764" spans="1:8" ht="33.75" thickBot="1" x14ac:dyDescent="0.35">
      <c r="A1764" s="13" t="s">
        <v>81</v>
      </c>
      <c r="B1764" s="2" t="s">
        <v>82</v>
      </c>
    </row>
    <row r="1765" spans="1:8" ht="25.5" x14ac:dyDescent="0.3">
      <c r="A1765" s="14" t="s">
        <v>83</v>
      </c>
      <c r="B1765" s="2" t="s">
        <v>84</v>
      </c>
    </row>
    <row r="1766" spans="1:8" ht="17.25" thickBot="1" x14ac:dyDescent="0.35"/>
    <row r="1767" spans="1:8" ht="16.5" customHeight="1" x14ac:dyDescent="0.3">
      <c r="A1767" s="24" t="s">
        <v>130</v>
      </c>
      <c r="B1767" s="26"/>
      <c r="C1767" s="26"/>
      <c r="D1767" s="26"/>
      <c r="E1767" s="26"/>
      <c r="F1767" s="26"/>
    </row>
    <row r="1768" spans="1:8" x14ac:dyDescent="0.3">
      <c r="A1768" s="25" t="s">
        <v>131</v>
      </c>
      <c r="B1768" s="27" t="s">
        <v>46</v>
      </c>
      <c r="C1768" s="27" t="s">
        <v>132</v>
      </c>
      <c r="D1768" s="3" t="s">
        <v>133</v>
      </c>
      <c r="E1768" s="27" t="s">
        <v>135</v>
      </c>
      <c r="F1768" s="27"/>
    </row>
    <row r="1769" spans="1:8" x14ac:dyDescent="0.3">
      <c r="A1769" s="25"/>
      <c r="B1769" s="27"/>
      <c r="C1769" s="27"/>
      <c r="D1769" s="3" t="s">
        <v>134</v>
      </c>
      <c r="E1769" s="27"/>
      <c r="F1769" s="27"/>
    </row>
    <row r="1770" spans="1:8" ht="17.25" thickBot="1" x14ac:dyDescent="0.35">
      <c r="A1770" s="13" t="s">
        <v>66</v>
      </c>
      <c r="B1770" s="2">
        <v>3849</v>
      </c>
      <c r="C1770" s="2">
        <v>8.5385880000000007</v>
      </c>
      <c r="D1770" s="2">
        <v>1.5344999999999999E-2</v>
      </c>
      <c r="E1770" s="2">
        <v>8.5084402000000008</v>
      </c>
      <c r="F1770" s="2">
        <v>8.5687358000000007</v>
      </c>
      <c r="H1770" s="8" t="str">
        <f t="shared" ref="H1770:H1773" si="73">TEXT(C1770,"0.00")&amp;" ("&amp;TEXT(E1770,"0.00")&amp;" to "&amp;TEXT(F1770,"0.00")&amp;")"</f>
        <v>8.54 (8.51 to 8.57)</v>
      </c>
    </row>
    <row r="1771" spans="1:8" ht="17.25" thickBot="1" x14ac:dyDescent="0.35">
      <c r="A1771" s="13" t="s">
        <v>67</v>
      </c>
      <c r="B1771" s="2">
        <v>3849</v>
      </c>
      <c r="C1771" s="2">
        <v>0.65066999999999997</v>
      </c>
      <c r="D1771" s="2">
        <v>1.5920000000000001E-3</v>
      </c>
      <c r="E1771" s="2">
        <v>0.64754279999999997</v>
      </c>
      <c r="F1771" s="2">
        <v>0.65379640000000006</v>
      </c>
      <c r="H1771" s="8" t="str">
        <f t="shared" si="73"/>
        <v>0.65 (0.65 to 0.65)</v>
      </c>
    </row>
    <row r="1772" spans="1:8" ht="17.25" thickBot="1" x14ac:dyDescent="0.35">
      <c r="A1772" s="13" t="s">
        <v>68</v>
      </c>
      <c r="B1772" s="2">
        <v>3849</v>
      </c>
      <c r="C1772" s="2">
        <v>0.34567999999999999</v>
      </c>
      <c r="D1772" s="2">
        <v>7.2480000000000001E-3</v>
      </c>
      <c r="E1772" s="2">
        <v>0.33144040000000002</v>
      </c>
      <c r="F1772" s="2">
        <v>0.35991970000000001</v>
      </c>
      <c r="H1772" s="8" t="str">
        <f t="shared" si="73"/>
        <v>0.35 (0.33 to 0.36)</v>
      </c>
    </row>
    <row r="1773" spans="1:8" x14ac:dyDescent="0.3">
      <c r="A1773" s="14" t="s">
        <v>69</v>
      </c>
      <c r="B1773" s="2">
        <v>3849</v>
      </c>
      <c r="C1773" s="2">
        <v>35.306669999999997</v>
      </c>
      <c r="D1773" s="2">
        <v>0.164994</v>
      </c>
      <c r="E1773" s="2">
        <v>34.982516400000002</v>
      </c>
      <c r="F1773" s="2">
        <v>35.630823999999997</v>
      </c>
      <c r="H1773" s="8" t="str">
        <f t="shared" si="73"/>
        <v>35.31 (34.98 to 35.63)</v>
      </c>
    </row>
    <row r="1777" spans="1:6" x14ac:dyDescent="0.3">
      <c r="A1777" s="1" t="s">
        <v>129</v>
      </c>
    </row>
    <row r="1779" spans="1:6" x14ac:dyDescent="0.3">
      <c r="A1779" s="1" t="s">
        <v>216</v>
      </c>
    </row>
    <row r="1780" spans="1:6" ht="17.25" thickBot="1" x14ac:dyDescent="0.35"/>
    <row r="1781" spans="1:6" ht="16.5" customHeight="1" x14ac:dyDescent="0.3">
      <c r="A1781" s="24" t="s">
        <v>75</v>
      </c>
      <c r="B1781" s="26"/>
    </row>
    <row r="1782" spans="1:6" ht="26.25" thickBot="1" x14ac:dyDescent="0.35">
      <c r="A1782" s="13" t="s">
        <v>76</v>
      </c>
      <c r="B1782" s="2">
        <v>25</v>
      </c>
    </row>
    <row r="1783" spans="1:6" ht="26.25" thickBot="1" x14ac:dyDescent="0.35">
      <c r="A1783" s="13" t="s">
        <v>77</v>
      </c>
      <c r="B1783" s="2">
        <v>459</v>
      </c>
    </row>
    <row r="1784" spans="1:6" ht="39" thickBot="1" x14ac:dyDescent="0.35">
      <c r="A1784" s="13" t="s">
        <v>78</v>
      </c>
      <c r="B1784" s="2">
        <v>1765</v>
      </c>
    </row>
    <row r="1785" spans="1:6" ht="25.5" x14ac:dyDescent="0.3">
      <c r="A1785" s="14" t="s">
        <v>79</v>
      </c>
      <c r="B1785" s="2">
        <v>662237.18200000003</v>
      </c>
    </row>
    <row r="1786" spans="1:6" ht="17.25" thickBot="1" x14ac:dyDescent="0.35"/>
    <row r="1787" spans="1:6" ht="33" customHeight="1" x14ac:dyDescent="0.3">
      <c r="A1787" s="24" t="s">
        <v>80</v>
      </c>
      <c r="B1787" s="26"/>
    </row>
    <row r="1788" spans="1:6" ht="33.75" thickBot="1" x14ac:dyDescent="0.35">
      <c r="A1788" s="13" t="s">
        <v>81</v>
      </c>
      <c r="B1788" s="2" t="s">
        <v>82</v>
      </c>
    </row>
    <row r="1789" spans="1:6" ht="25.5" x14ac:dyDescent="0.3">
      <c r="A1789" s="14" t="s">
        <v>83</v>
      </c>
      <c r="B1789" s="2" t="s">
        <v>84</v>
      </c>
    </row>
    <row r="1790" spans="1:6" ht="17.25" thickBot="1" x14ac:dyDescent="0.35"/>
    <row r="1791" spans="1:6" ht="16.5" customHeight="1" x14ac:dyDescent="0.3">
      <c r="A1791" s="24" t="s">
        <v>130</v>
      </c>
      <c r="B1791" s="26"/>
      <c r="C1791" s="26"/>
      <c r="D1791" s="26"/>
      <c r="E1791" s="26"/>
      <c r="F1791" s="26"/>
    </row>
    <row r="1792" spans="1:6" x14ac:dyDescent="0.3">
      <c r="A1792" s="25" t="s">
        <v>131</v>
      </c>
      <c r="B1792" s="27" t="s">
        <v>46</v>
      </c>
      <c r="C1792" s="27" t="s">
        <v>132</v>
      </c>
      <c r="D1792" s="3" t="s">
        <v>133</v>
      </c>
      <c r="E1792" s="27" t="s">
        <v>135</v>
      </c>
      <c r="F1792" s="27"/>
    </row>
    <row r="1793" spans="1:8" x14ac:dyDescent="0.3">
      <c r="A1793" s="25"/>
      <c r="B1793" s="27"/>
      <c r="C1793" s="27"/>
      <c r="D1793" s="3" t="s">
        <v>134</v>
      </c>
      <c r="E1793" s="27"/>
      <c r="F1793" s="27"/>
    </row>
    <row r="1794" spans="1:8" ht="17.25" thickBot="1" x14ac:dyDescent="0.35">
      <c r="A1794" s="13" t="s">
        <v>66</v>
      </c>
      <c r="B1794" s="2">
        <v>1765</v>
      </c>
      <c r="C1794" s="2">
        <v>8.7242379999999997</v>
      </c>
      <c r="D1794" s="2">
        <v>2.1665E-2</v>
      </c>
      <c r="E1794" s="2">
        <v>8.6816552999999992</v>
      </c>
      <c r="F1794" s="2">
        <v>8.7668196999999992</v>
      </c>
      <c r="H1794" s="8" t="str">
        <f t="shared" ref="H1794:H1797" si="74">TEXT(C1794,"0.00")&amp;" ("&amp;TEXT(E1794,"0.00")&amp;" to "&amp;TEXT(F1794,"0.00")&amp;")"</f>
        <v>8.72 (8.68 to 8.77)</v>
      </c>
    </row>
    <row r="1795" spans="1:8" ht="17.25" thickBot="1" x14ac:dyDescent="0.35">
      <c r="A1795" s="13" t="s">
        <v>67</v>
      </c>
      <c r="B1795" s="2">
        <v>1765</v>
      </c>
      <c r="C1795" s="2">
        <v>0.687056</v>
      </c>
      <c r="D1795" s="2">
        <v>2.5530000000000001E-3</v>
      </c>
      <c r="E1795" s="2">
        <v>0.68203910000000001</v>
      </c>
      <c r="F1795" s="2">
        <v>0.69207289999999999</v>
      </c>
      <c r="H1795" s="8" t="str">
        <f t="shared" si="74"/>
        <v>0.69 (0.68 to 0.69)</v>
      </c>
    </row>
    <row r="1796" spans="1:8" ht="17.25" thickBot="1" x14ac:dyDescent="0.35">
      <c r="A1796" s="13" t="s">
        <v>68</v>
      </c>
      <c r="B1796" s="2">
        <v>1765</v>
      </c>
      <c r="C1796" s="2">
        <v>0.40662300000000001</v>
      </c>
      <c r="D1796" s="2">
        <v>1.0637000000000001E-2</v>
      </c>
      <c r="E1796" s="2">
        <v>0.38571640000000001</v>
      </c>
      <c r="F1796" s="2">
        <v>0.42753039999999998</v>
      </c>
      <c r="H1796" s="8" t="str">
        <f t="shared" si="74"/>
        <v>0.41 (0.39 to 0.43)</v>
      </c>
    </row>
    <row r="1797" spans="1:8" x14ac:dyDescent="0.3">
      <c r="A1797" s="14" t="s">
        <v>69</v>
      </c>
      <c r="B1797" s="2">
        <v>1765</v>
      </c>
      <c r="C1797" s="2">
        <v>36.472669000000003</v>
      </c>
      <c r="D1797" s="2">
        <v>0.24645800000000001</v>
      </c>
      <c r="E1797" s="2">
        <v>35.988268699999999</v>
      </c>
      <c r="F1797" s="2">
        <v>36.957069599999997</v>
      </c>
      <c r="H1797" s="8" t="str">
        <f t="shared" si="74"/>
        <v>36.47 (35.99 to 36.96)</v>
      </c>
    </row>
    <row r="1801" spans="1:8" x14ac:dyDescent="0.3">
      <c r="A1801" s="1" t="s">
        <v>129</v>
      </c>
    </row>
    <row r="1803" spans="1:8" x14ac:dyDescent="0.3">
      <c r="A1803" s="1" t="s">
        <v>217</v>
      </c>
    </row>
    <row r="1804" spans="1:8" ht="17.25" thickBot="1" x14ac:dyDescent="0.35"/>
    <row r="1805" spans="1:8" ht="16.5" customHeight="1" x14ac:dyDescent="0.3">
      <c r="A1805" s="24" t="s">
        <v>75</v>
      </c>
      <c r="B1805" s="26"/>
    </row>
    <row r="1806" spans="1:8" ht="26.25" thickBot="1" x14ac:dyDescent="0.35">
      <c r="A1806" s="13" t="s">
        <v>76</v>
      </c>
      <c r="B1806" s="2">
        <v>25</v>
      </c>
    </row>
    <row r="1807" spans="1:8" ht="26.25" thickBot="1" x14ac:dyDescent="0.35">
      <c r="A1807" s="13" t="s">
        <v>77</v>
      </c>
      <c r="B1807" s="2">
        <v>534</v>
      </c>
    </row>
    <row r="1808" spans="1:8" ht="39" thickBot="1" x14ac:dyDescent="0.35">
      <c r="A1808" s="13" t="s">
        <v>78</v>
      </c>
      <c r="B1808" s="2">
        <v>2863</v>
      </c>
    </row>
    <row r="1809" spans="1:8" ht="25.5" x14ac:dyDescent="0.3">
      <c r="A1809" s="14" t="s">
        <v>79</v>
      </c>
      <c r="B1809" s="2">
        <v>1302577.25</v>
      </c>
    </row>
    <row r="1810" spans="1:8" ht="17.25" thickBot="1" x14ac:dyDescent="0.35"/>
    <row r="1811" spans="1:8" ht="33" customHeight="1" x14ac:dyDescent="0.3">
      <c r="A1811" s="24" t="s">
        <v>80</v>
      </c>
      <c r="B1811" s="26"/>
    </row>
    <row r="1812" spans="1:8" ht="33.75" thickBot="1" x14ac:dyDescent="0.35">
      <c r="A1812" s="13" t="s">
        <v>81</v>
      </c>
      <c r="B1812" s="2" t="s">
        <v>82</v>
      </c>
    </row>
    <row r="1813" spans="1:8" ht="25.5" x14ac:dyDescent="0.3">
      <c r="A1813" s="14" t="s">
        <v>83</v>
      </c>
      <c r="B1813" s="2" t="s">
        <v>84</v>
      </c>
    </row>
    <row r="1814" spans="1:8" ht="17.25" thickBot="1" x14ac:dyDescent="0.35"/>
    <row r="1815" spans="1:8" ht="16.5" customHeight="1" x14ac:dyDescent="0.3">
      <c r="A1815" s="24" t="s">
        <v>130</v>
      </c>
      <c r="B1815" s="26"/>
      <c r="C1815" s="26"/>
      <c r="D1815" s="26"/>
      <c r="E1815" s="26"/>
      <c r="F1815" s="26"/>
    </row>
    <row r="1816" spans="1:8" x14ac:dyDescent="0.3">
      <c r="A1816" s="25" t="s">
        <v>131</v>
      </c>
      <c r="B1816" s="27" t="s">
        <v>46</v>
      </c>
      <c r="C1816" s="27" t="s">
        <v>132</v>
      </c>
      <c r="D1816" s="3" t="s">
        <v>133</v>
      </c>
      <c r="E1816" s="27" t="s">
        <v>135</v>
      </c>
      <c r="F1816" s="27"/>
    </row>
    <row r="1817" spans="1:8" x14ac:dyDescent="0.3">
      <c r="A1817" s="25"/>
      <c r="B1817" s="27"/>
      <c r="C1817" s="27"/>
      <c r="D1817" s="3" t="s">
        <v>134</v>
      </c>
      <c r="E1817" s="27"/>
      <c r="F1817" s="27"/>
    </row>
    <row r="1818" spans="1:8" ht="17.25" thickBot="1" x14ac:dyDescent="0.35">
      <c r="A1818" s="13" t="s">
        <v>66</v>
      </c>
      <c r="B1818" s="2">
        <v>2863</v>
      </c>
      <c r="C1818" s="2">
        <v>8.5871189999999995</v>
      </c>
      <c r="D1818" s="2">
        <v>1.6802999999999998E-2</v>
      </c>
      <c r="E1818" s="2">
        <v>8.5541081999999999</v>
      </c>
      <c r="F1818" s="2">
        <v>8.6201298000000008</v>
      </c>
      <c r="H1818" s="8" t="str">
        <f t="shared" ref="H1818:H1821" si="75">TEXT(C1818,"0.00")&amp;" ("&amp;TEXT(E1818,"0.00")&amp;" to "&amp;TEXT(F1818,"0.00")&amp;")"</f>
        <v>8.59 (8.55 to 8.62)</v>
      </c>
    </row>
    <row r="1819" spans="1:8" ht="17.25" thickBot="1" x14ac:dyDescent="0.35">
      <c r="A1819" s="13" t="s">
        <v>67</v>
      </c>
      <c r="B1819" s="2">
        <v>2863</v>
      </c>
      <c r="C1819" s="2">
        <v>0.65935999999999995</v>
      </c>
      <c r="D1819" s="2">
        <v>2.075E-3</v>
      </c>
      <c r="E1819" s="2">
        <v>0.6552827</v>
      </c>
      <c r="F1819" s="2">
        <v>0.66343770000000002</v>
      </c>
      <c r="H1819" s="8" t="str">
        <f t="shared" si="75"/>
        <v>0.66 (0.66 to 0.66)</v>
      </c>
    </row>
    <row r="1820" spans="1:8" ht="17.25" thickBot="1" x14ac:dyDescent="0.35">
      <c r="A1820" s="13" t="s">
        <v>68</v>
      </c>
      <c r="B1820" s="2">
        <v>2863</v>
      </c>
      <c r="C1820" s="2">
        <v>0.346416</v>
      </c>
      <c r="D1820" s="2">
        <v>7.7190000000000002E-3</v>
      </c>
      <c r="E1820" s="2">
        <v>0.33125090000000001</v>
      </c>
      <c r="F1820" s="2">
        <v>0.36158170000000001</v>
      </c>
      <c r="H1820" s="8" t="str">
        <f t="shared" si="75"/>
        <v>0.35 (0.33 to 0.36)</v>
      </c>
    </row>
    <row r="1821" spans="1:8" x14ac:dyDescent="0.3">
      <c r="A1821" s="14" t="s">
        <v>69</v>
      </c>
      <c r="B1821" s="2">
        <v>2863</v>
      </c>
      <c r="C1821" s="2">
        <v>35.480823999999998</v>
      </c>
      <c r="D1821" s="2">
        <v>0.17344799999999999</v>
      </c>
      <c r="E1821" s="2">
        <v>35.1400626</v>
      </c>
      <c r="F1821" s="2">
        <v>35.821585800000001</v>
      </c>
      <c r="H1821" s="8" t="str">
        <f t="shared" si="75"/>
        <v>35.48 (35.14 to 35.82)</v>
      </c>
    </row>
    <row r="1825" spans="1:6" x14ac:dyDescent="0.3">
      <c r="A1825" s="1" t="s">
        <v>129</v>
      </c>
    </row>
    <row r="1827" spans="1:6" x14ac:dyDescent="0.3">
      <c r="A1827" s="1" t="s">
        <v>218</v>
      </c>
    </row>
    <row r="1828" spans="1:6" ht="17.25" thickBot="1" x14ac:dyDescent="0.35"/>
    <row r="1829" spans="1:6" ht="16.5" customHeight="1" x14ac:dyDescent="0.3">
      <c r="A1829" s="24" t="s">
        <v>75</v>
      </c>
      <c r="B1829" s="26"/>
    </row>
    <row r="1830" spans="1:6" ht="26.25" thickBot="1" x14ac:dyDescent="0.35">
      <c r="A1830" s="13" t="s">
        <v>76</v>
      </c>
      <c r="B1830" s="2">
        <v>25</v>
      </c>
    </row>
    <row r="1831" spans="1:6" ht="26.25" thickBot="1" x14ac:dyDescent="0.35">
      <c r="A1831" s="13" t="s">
        <v>77</v>
      </c>
      <c r="B1831" s="2">
        <v>537</v>
      </c>
    </row>
    <row r="1832" spans="1:6" ht="39" thickBot="1" x14ac:dyDescent="0.35">
      <c r="A1832" s="13" t="s">
        <v>78</v>
      </c>
      <c r="B1832" s="2">
        <v>3314</v>
      </c>
    </row>
    <row r="1833" spans="1:6" ht="25.5" x14ac:dyDescent="0.3">
      <c r="A1833" s="14" t="s">
        <v>79</v>
      </c>
      <c r="B1833" s="2">
        <v>1667434.92</v>
      </c>
    </row>
    <row r="1834" spans="1:6" ht="17.25" thickBot="1" x14ac:dyDescent="0.35"/>
    <row r="1835" spans="1:6" ht="33" customHeight="1" x14ac:dyDescent="0.3">
      <c r="A1835" s="24" t="s">
        <v>80</v>
      </c>
      <c r="B1835" s="26"/>
    </row>
    <row r="1836" spans="1:6" ht="33.75" thickBot="1" x14ac:dyDescent="0.35">
      <c r="A1836" s="13" t="s">
        <v>81</v>
      </c>
      <c r="B1836" s="2" t="s">
        <v>82</v>
      </c>
    </row>
    <row r="1837" spans="1:6" ht="25.5" x14ac:dyDescent="0.3">
      <c r="A1837" s="14" t="s">
        <v>83</v>
      </c>
      <c r="B1837" s="2" t="s">
        <v>84</v>
      </c>
    </row>
    <row r="1838" spans="1:6" ht="17.25" thickBot="1" x14ac:dyDescent="0.35"/>
    <row r="1839" spans="1:6" ht="16.5" customHeight="1" x14ac:dyDescent="0.3">
      <c r="A1839" s="24" t="s">
        <v>130</v>
      </c>
      <c r="B1839" s="26"/>
      <c r="C1839" s="26"/>
      <c r="D1839" s="26"/>
      <c r="E1839" s="26"/>
      <c r="F1839" s="26"/>
    </row>
    <row r="1840" spans="1:6" x14ac:dyDescent="0.3">
      <c r="A1840" s="25" t="s">
        <v>131</v>
      </c>
      <c r="B1840" s="27" t="s">
        <v>46</v>
      </c>
      <c r="C1840" s="27" t="s">
        <v>132</v>
      </c>
      <c r="D1840" s="3" t="s">
        <v>133</v>
      </c>
      <c r="E1840" s="27" t="s">
        <v>135</v>
      </c>
      <c r="F1840" s="27"/>
    </row>
    <row r="1841" spans="1:8" x14ac:dyDescent="0.3">
      <c r="A1841" s="25"/>
      <c r="B1841" s="27"/>
      <c r="C1841" s="27"/>
      <c r="D1841" s="3" t="s">
        <v>134</v>
      </c>
      <c r="E1841" s="27"/>
      <c r="F1841" s="27"/>
    </row>
    <row r="1842" spans="1:8" ht="17.25" thickBot="1" x14ac:dyDescent="0.35">
      <c r="A1842" s="13" t="s">
        <v>66</v>
      </c>
      <c r="B1842" s="2">
        <v>3314</v>
      </c>
      <c r="C1842" s="2">
        <v>8.5840440000000005</v>
      </c>
      <c r="D1842" s="2">
        <v>1.3806000000000001E-2</v>
      </c>
      <c r="E1842" s="2">
        <v>8.5569197999999993</v>
      </c>
      <c r="F1842" s="2">
        <v>8.6111675000000005</v>
      </c>
      <c r="H1842" s="8" t="str">
        <f t="shared" ref="H1842:H1845" si="76">TEXT(C1842,"0.00")&amp;" ("&amp;TEXT(E1842,"0.00")&amp;" to "&amp;TEXT(F1842,"0.00")&amp;")"</f>
        <v>8.58 (8.56 to 8.61)</v>
      </c>
    </row>
    <row r="1843" spans="1:8" ht="17.25" thickBot="1" x14ac:dyDescent="0.35">
      <c r="A1843" s="13" t="s">
        <v>67</v>
      </c>
      <c r="B1843" s="2">
        <v>3314</v>
      </c>
      <c r="C1843" s="2">
        <v>0.65631399999999995</v>
      </c>
      <c r="D1843" s="2">
        <v>1.5460000000000001E-3</v>
      </c>
      <c r="E1843" s="2">
        <v>0.65327659999999999</v>
      </c>
      <c r="F1843" s="2">
        <v>0.65935089999999996</v>
      </c>
      <c r="H1843" s="8" t="str">
        <f t="shared" si="76"/>
        <v>0.66 (0.65 to 0.66)</v>
      </c>
    </row>
    <row r="1844" spans="1:8" ht="17.25" thickBot="1" x14ac:dyDescent="0.35">
      <c r="A1844" s="13" t="s">
        <v>68</v>
      </c>
      <c r="B1844" s="2">
        <v>3314</v>
      </c>
      <c r="C1844" s="2">
        <v>0.34852499999999997</v>
      </c>
      <c r="D1844" s="2">
        <v>6.5770000000000004E-3</v>
      </c>
      <c r="E1844" s="2">
        <v>0.3356037</v>
      </c>
      <c r="F1844" s="2">
        <v>0.36144579999999998</v>
      </c>
      <c r="H1844" s="8" t="str">
        <f t="shared" si="76"/>
        <v>0.35 (0.34 to 0.36)</v>
      </c>
    </row>
    <row r="1845" spans="1:8" x14ac:dyDescent="0.3">
      <c r="A1845" s="14" t="s">
        <v>69</v>
      </c>
      <c r="B1845" s="2">
        <v>3314</v>
      </c>
      <c r="C1845" s="2">
        <v>35.308343000000001</v>
      </c>
      <c r="D1845" s="2">
        <v>0.151864</v>
      </c>
      <c r="E1845" s="2">
        <v>35.009990199999997</v>
      </c>
      <c r="F1845" s="2">
        <v>35.606695100000003</v>
      </c>
      <c r="H1845" s="8" t="str">
        <f t="shared" si="76"/>
        <v>35.31 (35.01 to 35.61)</v>
      </c>
    </row>
    <row r="1849" spans="1:8" x14ac:dyDescent="0.3">
      <c r="A1849" s="1" t="s">
        <v>129</v>
      </c>
    </row>
    <row r="1851" spans="1:8" x14ac:dyDescent="0.3">
      <c r="A1851" s="1" t="s">
        <v>219</v>
      </c>
    </row>
    <row r="1852" spans="1:8" ht="17.25" thickBot="1" x14ac:dyDescent="0.35"/>
    <row r="1853" spans="1:8" ht="16.5" customHeight="1" x14ac:dyDescent="0.3">
      <c r="A1853" s="24" t="s">
        <v>75</v>
      </c>
      <c r="B1853" s="26"/>
    </row>
    <row r="1854" spans="1:8" ht="26.25" thickBot="1" x14ac:dyDescent="0.35">
      <c r="A1854" s="13" t="s">
        <v>76</v>
      </c>
      <c r="B1854" s="2">
        <v>25</v>
      </c>
    </row>
    <row r="1855" spans="1:8" ht="26.25" thickBot="1" x14ac:dyDescent="0.35">
      <c r="A1855" s="13" t="s">
        <v>77</v>
      </c>
      <c r="B1855" s="2">
        <v>507</v>
      </c>
    </row>
    <row r="1856" spans="1:8" ht="39" thickBot="1" x14ac:dyDescent="0.35">
      <c r="A1856" s="13" t="s">
        <v>78</v>
      </c>
      <c r="B1856" s="2">
        <v>3533</v>
      </c>
    </row>
    <row r="1857" spans="1:8" ht="25.5" x14ac:dyDescent="0.3">
      <c r="A1857" s="14" t="s">
        <v>79</v>
      </c>
      <c r="B1857" s="2">
        <v>1762279.67</v>
      </c>
    </row>
    <row r="1858" spans="1:8" ht="17.25" thickBot="1" x14ac:dyDescent="0.35"/>
    <row r="1859" spans="1:8" ht="33" customHeight="1" x14ac:dyDescent="0.3">
      <c r="A1859" s="24" t="s">
        <v>80</v>
      </c>
      <c r="B1859" s="26"/>
    </row>
    <row r="1860" spans="1:8" ht="33.75" thickBot="1" x14ac:dyDescent="0.35">
      <c r="A1860" s="13" t="s">
        <v>81</v>
      </c>
      <c r="B1860" s="2" t="s">
        <v>82</v>
      </c>
    </row>
    <row r="1861" spans="1:8" ht="25.5" x14ac:dyDescent="0.3">
      <c r="A1861" s="14" t="s">
        <v>83</v>
      </c>
      <c r="B1861" s="2" t="s">
        <v>84</v>
      </c>
    </row>
    <row r="1862" spans="1:8" ht="17.25" thickBot="1" x14ac:dyDescent="0.35"/>
    <row r="1863" spans="1:8" ht="16.5" customHeight="1" x14ac:dyDescent="0.3">
      <c r="A1863" s="24" t="s">
        <v>130</v>
      </c>
      <c r="B1863" s="26"/>
      <c r="C1863" s="26"/>
      <c r="D1863" s="26"/>
      <c r="E1863" s="26"/>
      <c r="F1863" s="26"/>
    </row>
    <row r="1864" spans="1:8" x14ac:dyDescent="0.3">
      <c r="A1864" s="25" t="s">
        <v>131</v>
      </c>
      <c r="B1864" s="27" t="s">
        <v>46</v>
      </c>
      <c r="C1864" s="27" t="s">
        <v>132</v>
      </c>
      <c r="D1864" s="3" t="s">
        <v>133</v>
      </c>
      <c r="E1864" s="27" t="s">
        <v>135</v>
      </c>
      <c r="F1864" s="27"/>
    </row>
    <row r="1865" spans="1:8" x14ac:dyDescent="0.3">
      <c r="A1865" s="25"/>
      <c r="B1865" s="27"/>
      <c r="C1865" s="27"/>
      <c r="D1865" s="3" t="s">
        <v>134</v>
      </c>
      <c r="E1865" s="27"/>
      <c r="F1865" s="27"/>
    </row>
    <row r="1866" spans="1:8" ht="17.25" thickBot="1" x14ac:dyDescent="0.35">
      <c r="A1866" s="13" t="s">
        <v>66</v>
      </c>
      <c r="B1866" s="2">
        <v>3533</v>
      </c>
      <c r="C1866" s="2">
        <v>8.5444200000000006</v>
      </c>
      <c r="D1866" s="2">
        <v>1.3969000000000001E-2</v>
      </c>
      <c r="E1866" s="2">
        <v>8.5169726000000008</v>
      </c>
      <c r="F1866" s="2">
        <v>8.5718674000000004</v>
      </c>
      <c r="H1866" s="8" t="str">
        <f t="shared" ref="H1866:H1869" si="77">TEXT(C1866,"0.00")&amp;" ("&amp;TEXT(E1866,"0.00")&amp;" to "&amp;TEXT(F1866,"0.00")&amp;")"</f>
        <v>8.54 (8.52 to 8.57)</v>
      </c>
    </row>
    <row r="1867" spans="1:8" ht="17.25" thickBot="1" x14ac:dyDescent="0.35">
      <c r="A1867" s="13" t="s">
        <v>67</v>
      </c>
      <c r="B1867" s="2">
        <v>3533</v>
      </c>
      <c r="C1867" s="2">
        <v>0.65055300000000005</v>
      </c>
      <c r="D1867" s="2">
        <v>1.5139999999999999E-3</v>
      </c>
      <c r="E1867" s="2">
        <v>0.64757739999999997</v>
      </c>
      <c r="F1867" s="2">
        <v>0.65352900000000003</v>
      </c>
      <c r="H1867" s="8" t="str">
        <f t="shared" si="77"/>
        <v>0.65 (0.65 to 0.65)</v>
      </c>
    </row>
    <row r="1868" spans="1:8" ht="17.25" thickBot="1" x14ac:dyDescent="0.35">
      <c r="A1868" s="13" t="s">
        <v>68</v>
      </c>
      <c r="B1868" s="2">
        <v>3533</v>
      </c>
      <c r="C1868" s="2">
        <v>0.32789800000000002</v>
      </c>
      <c r="D1868" s="2">
        <v>6.777E-3</v>
      </c>
      <c r="E1868" s="2">
        <v>0.31458150000000001</v>
      </c>
      <c r="F1868" s="2">
        <v>0.34121499999999999</v>
      </c>
      <c r="H1868" s="8" t="str">
        <f t="shared" si="77"/>
        <v>0.33 (0.31 to 0.34)</v>
      </c>
    </row>
    <row r="1869" spans="1:8" x14ac:dyDescent="0.3">
      <c r="A1869" s="14" t="s">
        <v>69</v>
      </c>
      <c r="B1869" s="2">
        <v>3533</v>
      </c>
      <c r="C1869" s="2">
        <v>34.991836999999997</v>
      </c>
      <c r="D1869" s="2">
        <v>0.14979300000000001</v>
      </c>
      <c r="E1869" s="2">
        <v>34.697507999999999</v>
      </c>
      <c r="F1869" s="2">
        <v>35.286165599999997</v>
      </c>
      <c r="H1869" s="8" t="str">
        <f t="shared" si="77"/>
        <v>34.99 (34.70 to 35.29)</v>
      </c>
    </row>
    <row r="1873" spans="1:6" x14ac:dyDescent="0.3">
      <c r="A1873" s="1" t="s">
        <v>129</v>
      </c>
    </row>
    <row r="1875" spans="1:6" x14ac:dyDescent="0.3">
      <c r="A1875" s="1" t="s">
        <v>220</v>
      </c>
    </row>
    <row r="1876" spans="1:6" ht="17.25" thickBot="1" x14ac:dyDescent="0.35"/>
    <row r="1877" spans="1:6" ht="16.5" customHeight="1" x14ac:dyDescent="0.3">
      <c r="A1877" s="24" t="s">
        <v>75</v>
      </c>
      <c r="B1877" s="26"/>
    </row>
    <row r="1878" spans="1:6" ht="26.25" thickBot="1" x14ac:dyDescent="0.35">
      <c r="A1878" s="13" t="s">
        <v>76</v>
      </c>
      <c r="B1878" s="2">
        <v>54</v>
      </c>
    </row>
    <row r="1879" spans="1:6" ht="26.25" thickBot="1" x14ac:dyDescent="0.35">
      <c r="A1879" s="13" t="s">
        <v>77</v>
      </c>
      <c r="B1879" s="2">
        <v>492</v>
      </c>
    </row>
    <row r="1880" spans="1:6" ht="39" thickBot="1" x14ac:dyDescent="0.35">
      <c r="A1880" s="13" t="s">
        <v>78</v>
      </c>
      <c r="B1880" s="2">
        <v>2304</v>
      </c>
    </row>
    <row r="1881" spans="1:6" ht="25.5" x14ac:dyDescent="0.3">
      <c r="A1881" s="14" t="s">
        <v>79</v>
      </c>
      <c r="B1881" s="2">
        <v>858504.91200000001</v>
      </c>
    </row>
    <row r="1882" spans="1:6" ht="17.25" thickBot="1" x14ac:dyDescent="0.35"/>
    <row r="1883" spans="1:6" ht="33" customHeight="1" x14ac:dyDescent="0.3">
      <c r="A1883" s="24" t="s">
        <v>80</v>
      </c>
      <c r="B1883" s="26"/>
    </row>
    <row r="1884" spans="1:6" ht="33.75" thickBot="1" x14ac:dyDescent="0.35">
      <c r="A1884" s="13" t="s">
        <v>81</v>
      </c>
      <c r="B1884" s="2" t="s">
        <v>82</v>
      </c>
    </row>
    <row r="1885" spans="1:6" ht="25.5" x14ac:dyDescent="0.3">
      <c r="A1885" s="14" t="s">
        <v>83</v>
      </c>
      <c r="B1885" s="2" t="s">
        <v>84</v>
      </c>
    </row>
    <row r="1886" spans="1:6" ht="17.25" thickBot="1" x14ac:dyDescent="0.35"/>
    <row r="1887" spans="1:6" ht="16.5" customHeight="1" x14ac:dyDescent="0.3">
      <c r="A1887" s="24" t="s">
        <v>130</v>
      </c>
      <c r="B1887" s="26"/>
      <c r="C1887" s="26"/>
      <c r="D1887" s="26"/>
      <c r="E1887" s="26"/>
      <c r="F1887" s="26"/>
    </row>
    <row r="1888" spans="1:6" x14ac:dyDescent="0.3">
      <c r="A1888" s="25" t="s">
        <v>131</v>
      </c>
      <c r="B1888" s="27" t="s">
        <v>46</v>
      </c>
      <c r="C1888" s="27" t="s">
        <v>132</v>
      </c>
      <c r="D1888" s="3" t="s">
        <v>133</v>
      </c>
      <c r="E1888" s="27" t="s">
        <v>135</v>
      </c>
      <c r="F1888" s="27"/>
    </row>
    <row r="1889" spans="1:8" x14ac:dyDescent="0.3">
      <c r="A1889" s="25"/>
      <c r="B1889" s="27"/>
      <c r="C1889" s="27"/>
      <c r="D1889" s="3" t="s">
        <v>134</v>
      </c>
      <c r="E1889" s="27"/>
      <c r="F1889" s="27"/>
    </row>
    <row r="1890" spans="1:8" ht="17.25" thickBot="1" x14ac:dyDescent="0.35">
      <c r="A1890" s="13" t="s">
        <v>66</v>
      </c>
      <c r="B1890" s="2">
        <v>2304</v>
      </c>
      <c r="C1890" s="2">
        <v>8.707217</v>
      </c>
      <c r="D1890" s="2">
        <v>2.1905000000000001E-2</v>
      </c>
      <c r="E1890" s="2">
        <v>8.6641651999999993</v>
      </c>
      <c r="F1890" s="2">
        <v>8.7502697000000005</v>
      </c>
      <c r="H1890" s="8" t="str">
        <f t="shared" ref="H1890:H1893" si="78">TEXT(C1890,"0.00")&amp;" ("&amp;TEXT(E1890,"0.00")&amp;" to "&amp;TEXT(F1890,"0.00")&amp;")"</f>
        <v>8.71 (8.66 to 8.75)</v>
      </c>
    </row>
    <row r="1891" spans="1:8" ht="17.25" thickBot="1" x14ac:dyDescent="0.35">
      <c r="A1891" s="13" t="s">
        <v>67</v>
      </c>
      <c r="B1891" s="2">
        <v>2304</v>
      </c>
      <c r="C1891" s="2">
        <v>0.68782399999999999</v>
      </c>
      <c r="D1891" s="2">
        <v>2.699E-3</v>
      </c>
      <c r="E1891" s="2">
        <v>0.68252029999999997</v>
      </c>
      <c r="F1891" s="2">
        <v>0.69312850000000004</v>
      </c>
      <c r="H1891" s="8" t="str">
        <f t="shared" si="78"/>
        <v>0.69 (0.68 to 0.69)</v>
      </c>
    </row>
    <row r="1892" spans="1:8" ht="17.25" thickBot="1" x14ac:dyDescent="0.35">
      <c r="A1892" s="13" t="s">
        <v>68</v>
      </c>
      <c r="B1892" s="2">
        <v>2304</v>
      </c>
      <c r="C1892" s="2">
        <v>0.39095099999999999</v>
      </c>
      <c r="D1892" s="2">
        <v>9.9319999999999999E-3</v>
      </c>
      <c r="E1892" s="2">
        <v>0.37143150000000003</v>
      </c>
      <c r="F1892" s="2">
        <v>0.41047020000000001</v>
      </c>
      <c r="H1892" s="8" t="str">
        <f t="shared" si="78"/>
        <v>0.39 (0.37 to 0.41)</v>
      </c>
    </row>
    <row r="1893" spans="1:8" x14ac:dyDescent="0.3">
      <c r="A1893" s="14" t="s">
        <v>69</v>
      </c>
      <c r="B1893" s="2">
        <v>2304</v>
      </c>
      <c r="C1893" s="2">
        <v>36.439895</v>
      </c>
      <c r="D1893" s="2">
        <v>0.23353199999999999</v>
      </c>
      <c r="E1893" s="2">
        <v>35.980913200000003</v>
      </c>
      <c r="F1893" s="2">
        <v>36.898877800000001</v>
      </c>
      <c r="H1893" s="8" t="str">
        <f t="shared" si="78"/>
        <v>36.44 (35.98 to 36.90)</v>
      </c>
    </row>
    <row r="1897" spans="1:8" x14ac:dyDescent="0.3">
      <c r="A1897" s="1" t="s">
        <v>129</v>
      </c>
    </row>
    <row r="1899" spans="1:8" x14ac:dyDescent="0.3">
      <c r="A1899" s="1" t="s">
        <v>221</v>
      </c>
    </row>
    <row r="1900" spans="1:8" ht="17.25" thickBot="1" x14ac:dyDescent="0.35"/>
    <row r="1901" spans="1:8" ht="16.5" customHeight="1" x14ac:dyDescent="0.3">
      <c r="A1901" s="24" t="s">
        <v>75</v>
      </c>
      <c r="B1901" s="26"/>
    </row>
    <row r="1902" spans="1:8" ht="26.25" thickBot="1" x14ac:dyDescent="0.35">
      <c r="A1902" s="13" t="s">
        <v>76</v>
      </c>
      <c r="B1902" s="2">
        <v>54</v>
      </c>
    </row>
    <row r="1903" spans="1:8" ht="26.25" thickBot="1" x14ac:dyDescent="0.35">
      <c r="A1903" s="13" t="s">
        <v>77</v>
      </c>
      <c r="B1903" s="2">
        <v>545</v>
      </c>
    </row>
    <row r="1904" spans="1:8" ht="39" thickBot="1" x14ac:dyDescent="0.35">
      <c r="A1904" s="13" t="s">
        <v>78</v>
      </c>
      <c r="B1904" s="2">
        <v>3403</v>
      </c>
    </row>
    <row r="1905" spans="1:8" ht="25.5" x14ac:dyDescent="0.3">
      <c r="A1905" s="14" t="s">
        <v>79</v>
      </c>
      <c r="B1905" s="2">
        <v>1467629.65</v>
      </c>
    </row>
    <row r="1906" spans="1:8" ht="17.25" thickBot="1" x14ac:dyDescent="0.35"/>
    <row r="1907" spans="1:8" ht="33" customHeight="1" x14ac:dyDescent="0.3">
      <c r="A1907" s="24" t="s">
        <v>80</v>
      </c>
      <c r="B1907" s="26"/>
    </row>
    <row r="1908" spans="1:8" ht="33.75" thickBot="1" x14ac:dyDescent="0.35">
      <c r="A1908" s="13" t="s">
        <v>81</v>
      </c>
      <c r="B1908" s="2" t="s">
        <v>82</v>
      </c>
    </row>
    <row r="1909" spans="1:8" ht="25.5" x14ac:dyDescent="0.3">
      <c r="A1909" s="14" t="s">
        <v>83</v>
      </c>
      <c r="B1909" s="2" t="s">
        <v>84</v>
      </c>
    </row>
    <row r="1910" spans="1:8" ht="17.25" thickBot="1" x14ac:dyDescent="0.35"/>
    <row r="1911" spans="1:8" ht="16.5" customHeight="1" x14ac:dyDescent="0.3">
      <c r="A1911" s="24" t="s">
        <v>130</v>
      </c>
      <c r="B1911" s="26"/>
      <c r="C1911" s="26"/>
      <c r="D1911" s="26"/>
      <c r="E1911" s="26"/>
      <c r="F1911" s="26"/>
    </row>
    <row r="1912" spans="1:8" x14ac:dyDescent="0.3">
      <c r="A1912" s="25" t="s">
        <v>131</v>
      </c>
      <c r="B1912" s="27" t="s">
        <v>46</v>
      </c>
      <c r="C1912" s="27" t="s">
        <v>132</v>
      </c>
      <c r="D1912" s="3" t="s">
        <v>133</v>
      </c>
      <c r="E1912" s="27" t="s">
        <v>135</v>
      </c>
      <c r="F1912" s="27"/>
    </row>
    <row r="1913" spans="1:8" x14ac:dyDescent="0.3">
      <c r="A1913" s="25"/>
      <c r="B1913" s="27"/>
      <c r="C1913" s="27"/>
      <c r="D1913" s="3" t="s">
        <v>134</v>
      </c>
      <c r="E1913" s="27"/>
      <c r="F1913" s="27"/>
    </row>
    <row r="1914" spans="1:8" ht="17.25" thickBot="1" x14ac:dyDescent="0.35">
      <c r="A1914" s="13" t="s">
        <v>66</v>
      </c>
      <c r="B1914" s="2">
        <v>3403</v>
      </c>
      <c r="C1914" s="2">
        <v>8.6272260000000003</v>
      </c>
      <c r="D1914" s="2">
        <v>1.4808E-2</v>
      </c>
      <c r="E1914" s="2">
        <v>8.5981313000000004</v>
      </c>
      <c r="F1914" s="2">
        <v>8.6563212000000007</v>
      </c>
      <c r="H1914" s="8" t="str">
        <f t="shared" ref="H1914:H1917" si="79">TEXT(C1914,"0.00")&amp;" ("&amp;TEXT(E1914,"0.00")&amp;" to "&amp;TEXT(F1914,"0.00")&amp;")"</f>
        <v>8.63 (8.60 to 8.66)</v>
      </c>
    </row>
    <row r="1915" spans="1:8" ht="17.25" thickBot="1" x14ac:dyDescent="0.35">
      <c r="A1915" s="13" t="s">
        <v>67</v>
      </c>
      <c r="B1915" s="2">
        <v>3403</v>
      </c>
      <c r="C1915" s="2">
        <v>0.669126</v>
      </c>
      <c r="D1915" s="2">
        <v>1.6800000000000001E-3</v>
      </c>
      <c r="E1915" s="2">
        <v>0.66582479999999999</v>
      </c>
      <c r="F1915" s="2">
        <v>0.67242679999999999</v>
      </c>
      <c r="H1915" s="8" t="str">
        <f t="shared" si="79"/>
        <v>0.67 (0.67 to 0.67)</v>
      </c>
    </row>
    <row r="1916" spans="1:8" ht="17.25" thickBot="1" x14ac:dyDescent="0.35">
      <c r="A1916" s="13" t="s">
        <v>68</v>
      </c>
      <c r="B1916" s="2">
        <v>3403</v>
      </c>
      <c r="C1916" s="2">
        <v>0.36173499999999997</v>
      </c>
      <c r="D1916" s="2">
        <v>6.8320000000000004E-3</v>
      </c>
      <c r="E1916" s="2">
        <v>0.34831069999999997</v>
      </c>
      <c r="F1916" s="2">
        <v>0.37515959999999998</v>
      </c>
      <c r="H1916" s="8" t="str">
        <f t="shared" si="79"/>
        <v>0.36 (0.35 to 0.38)</v>
      </c>
    </row>
    <row r="1917" spans="1:8" x14ac:dyDescent="0.3">
      <c r="A1917" s="14" t="s">
        <v>69</v>
      </c>
      <c r="B1917" s="2">
        <v>3403</v>
      </c>
      <c r="C1917" s="2">
        <v>36.054743999999999</v>
      </c>
      <c r="D1917" s="2">
        <v>0.16092999999999999</v>
      </c>
      <c r="E1917" s="2">
        <v>35.738547599999997</v>
      </c>
      <c r="F1917" s="2">
        <v>36.370940900000001</v>
      </c>
      <c r="H1917" s="8" t="str">
        <f t="shared" si="79"/>
        <v>36.05 (35.74 to 36.37)</v>
      </c>
    </row>
    <row r="1921" spans="1:6" x14ac:dyDescent="0.3">
      <c r="A1921" s="1" t="s">
        <v>129</v>
      </c>
    </row>
    <row r="1923" spans="1:6" x14ac:dyDescent="0.3">
      <c r="A1923" s="1" t="s">
        <v>222</v>
      </c>
    </row>
    <row r="1924" spans="1:6" ht="17.25" thickBot="1" x14ac:dyDescent="0.35"/>
    <row r="1925" spans="1:6" ht="16.5" customHeight="1" x14ac:dyDescent="0.3">
      <c r="A1925" s="24" t="s">
        <v>75</v>
      </c>
      <c r="B1925" s="26"/>
    </row>
    <row r="1926" spans="1:6" ht="26.25" thickBot="1" x14ac:dyDescent="0.35">
      <c r="A1926" s="13" t="s">
        <v>76</v>
      </c>
      <c r="B1926" s="2">
        <v>54</v>
      </c>
    </row>
    <row r="1927" spans="1:6" ht="26.25" thickBot="1" x14ac:dyDescent="0.35">
      <c r="A1927" s="13" t="s">
        <v>77</v>
      </c>
      <c r="B1927" s="2">
        <v>552</v>
      </c>
    </row>
    <row r="1928" spans="1:6" ht="39" thickBot="1" x14ac:dyDescent="0.35">
      <c r="A1928" s="13" t="s">
        <v>78</v>
      </c>
      <c r="B1928" s="2">
        <v>4062</v>
      </c>
    </row>
    <row r="1929" spans="1:6" ht="25.5" x14ac:dyDescent="0.3">
      <c r="A1929" s="14" t="s">
        <v>79</v>
      </c>
      <c r="B1929" s="2">
        <v>1923932.8</v>
      </c>
    </row>
    <row r="1930" spans="1:6" ht="17.25" thickBot="1" x14ac:dyDescent="0.35"/>
    <row r="1931" spans="1:6" ht="33" customHeight="1" x14ac:dyDescent="0.3">
      <c r="A1931" s="24" t="s">
        <v>80</v>
      </c>
      <c r="B1931" s="26"/>
    </row>
    <row r="1932" spans="1:6" ht="33.75" thickBot="1" x14ac:dyDescent="0.35">
      <c r="A1932" s="13" t="s">
        <v>81</v>
      </c>
      <c r="B1932" s="2" t="s">
        <v>82</v>
      </c>
    </row>
    <row r="1933" spans="1:6" ht="25.5" x14ac:dyDescent="0.3">
      <c r="A1933" s="14" t="s">
        <v>83</v>
      </c>
      <c r="B1933" s="2" t="s">
        <v>84</v>
      </c>
    </row>
    <row r="1934" spans="1:6" ht="17.25" thickBot="1" x14ac:dyDescent="0.35"/>
    <row r="1935" spans="1:6" ht="16.5" customHeight="1" x14ac:dyDescent="0.3">
      <c r="A1935" s="24" t="s">
        <v>130</v>
      </c>
      <c r="B1935" s="26"/>
      <c r="C1935" s="26"/>
      <c r="D1935" s="26"/>
      <c r="E1935" s="26"/>
      <c r="F1935" s="26"/>
    </row>
    <row r="1936" spans="1:6" x14ac:dyDescent="0.3">
      <c r="A1936" s="25" t="s">
        <v>131</v>
      </c>
      <c r="B1936" s="27" t="s">
        <v>46</v>
      </c>
      <c r="C1936" s="27" t="s">
        <v>132</v>
      </c>
      <c r="D1936" s="3" t="s">
        <v>133</v>
      </c>
      <c r="E1936" s="27" t="s">
        <v>135</v>
      </c>
      <c r="F1936" s="27"/>
    </row>
    <row r="1937" spans="1:8" x14ac:dyDescent="0.3">
      <c r="A1937" s="25"/>
      <c r="B1937" s="27"/>
      <c r="C1937" s="27"/>
      <c r="D1937" s="3" t="s">
        <v>134</v>
      </c>
      <c r="E1937" s="27"/>
      <c r="F1937" s="27"/>
    </row>
    <row r="1938" spans="1:8" ht="17.25" thickBot="1" x14ac:dyDescent="0.35">
      <c r="A1938" s="13" t="s">
        <v>66</v>
      </c>
      <c r="B1938" s="2">
        <v>4062</v>
      </c>
      <c r="C1938" s="2">
        <v>8.5966249999999995</v>
      </c>
      <c r="D1938" s="2">
        <v>1.2584E-2</v>
      </c>
      <c r="E1938" s="2">
        <v>8.5719005999999993</v>
      </c>
      <c r="F1938" s="2">
        <v>8.6213484000000005</v>
      </c>
      <c r="H1938" s="8" t="str">
        <f t="shared" ref="H1938:H1941" si="80">TEXT(C1938,"0.00")&amp;" ("&amp;TEXT(E1938,"0.00")&amp;" to "&amp;TEXT(F1938,"0.00")&amp;")"</f>
        <v>8.60 (8.57 to 8.62)</v>
      </c>
    </row>
    <row r="1939" spans="1:8" ht="17.25" thickBot="1" x14ac:dyDescent="0.35">
      <c r="A1939" s="13" t="s">
        <v>67</v>
      </c>
      <c r="B1939" s="2">
        <v>4062</v>
      </c>
      <c r="C1939" s="2">
        <v>0.66045100000000001</v>
      </c>
      <c r="D1939" s="2">
        <v>1.4710000000000001E-3</v>
      </c>
      <c r="E1939" s="2">
        <v>0.65756009999999998</v>
      </c>
      <c r="F1939" s="2">
        <v>0.66334190000000004</v>
      </c>
      <c r="H1939" s="8" t="str">
        <f t="shared" si="80"/>
        <v>0.66 (0.66 to 0.66)</v>
      </c>
    </row>
    <row r="1940" spans="1:8" ht="17.25" thickBot="1" x14ac:dyDescent="0.35">
      <c r="A1940" s="13" t="s">
        <v>68</v>
      </c>
      <c r="B1940" s="2">
        <v>4062</v>
      </c>
      <c r="C1940" s="2">
        <v>0.34750599999999998</v>
      </c>
      <c r="D1940" s="2">
        <v>6.0299999999999998E-3</v>
      </c>
      <c r="E1940" s="2">
        <v>0.33565859999999997</v>
      </c>
      <c r="F1940" s="2">
        <v>0.35935420000000001</v>
      </c>
      <c r="H1940" s="8" t="str">
        <f t="shared" si="80"/>
        <v>0.35 (0.34 to 0.36)</v>
      </c>
    </row>
    <row r="1941" spans="1:8" x14ac:dyDescent="0.3">
      <c r="A1941" s="14" t="s">
        <v>69</v>
      </c>
      <c r="B1941" s="2">
        <v>4062</v>
      </c>
      <c r="C1941" s="2">
        <v>35.775176999999999</v>
      </c>
      <c r="D1941" s="2">
        <v>0.14977099999999999</v>
      </c>
      <c r="E1941" s="2">
        <v>35.480916399999998</v>
      </c>
      <c r="F1941" s="2">
        <v>36.069438599999998</v>
      </c>
      <c r="H1941" s="8" t="str">
        <f t="shared" si="80"/>
        <v>35.78 (35.48 to 36.07)</v>
      </c>
    </row>
    <row r="1945" spans="1:8" x14ac:dyDescent="0.3">
      <c r="A1945" s="1" t="s">
        <v>129</v>
      </c>
    </row>
    <row r="1947" spans="1:8" x14ac:dyDescent="0.3">
      <c r="A1947" s="1" t="s">
        <v>223</v>
      </c>
    </row>
    <row r="1948" spans="1:8" ht="17.25" thickBot="1" x14ac:dyDescent="0.35"/>
    <row r="1949" spans="1:8" ht="16.5" customHeight="1" x14ac:dyDescent="0.3">
      <c r="A1949" s="24" t="s">
        <v>75</v>
      </c>
      <c r="B1949" s="26"/>
    </row>
    <row r="1950" spans="1:8" ht="26.25" thickBot="1" x14ac:dyDescent="0.35">
      <c r="A1950" s="13" t="s">
        <v>76</v>
      </c>
      <c r="B1950" s="2">
        <v>54</v>
      </c>
    </row>
    <row r="1951" spans="1:8" ht="26.25" thickBot="1" x14ac:dyDescent="0.35">
      <c r="A1951" s="13" t="s">
        <v>77</v>
      </c>
      <c r="B1951" s="2">
        <v>514</v>
      </c>
    </row>
    <row r="1952" spans="1:8" ht="39" thickBot="1" x14ac:dyDescent="0.35">
      <c r="A1952" s="13" t="s">
        <v>78</v>
      </c>
      <c r="B1952" s="2">
        <v>4389</v>
      </c>
    </row>
    <row r="1953" spans="1:8" ht="25.5" x14ac:dyDescent="0.3">
      <c r="A1953" s="14" t="s">
        <v>79</v>
      </c>
      <c r="B1953" s="2">
        <v>2070893.15</v>
      </c>
    </row>
    <row r="1954" spans="1:8" ht="17.25" thickBot="1" x14ac:dyDescent="0.35"/>
    <row r="1955" spans="1:8" ht="33" customHeight="1" x14ac:dyDescent="0.3">
      <c r="A1955" s="24" t="s">
        <v>80</v>
      </c>
      <c r="B1955" s="26"/>
    </row>
    <row r="1956" spans="1:8" ht="33.75" thickBot="1" x14ac:dyDescent="0.35">
      <c r="A1956" s="13" t="s">
        <v>81</v>
      </c>
      <c r="B1956" s="2" t="s">
        <v>82</v>
      </c>
    </row>
    <row r="1957" spans="1:8" ht="25.5" x14ac:dyDescent="0.3">
      <c r="A1957" s="14" t="s">
        <v>83</v>
      </c>
      <c r="B1957" s="2" t="s">
        <v>84</v>
      </c>
    </row>
    <row r="1958" spans="1:8" ht="17.25" thickBot="1" x14ac:dyDescent="0.35"/>
    <row r="1959" spans="1:8" ht="16.5" customHeight="1" x14ac:dyDescent="0.3">
      <c r="A1959" s="24" t="s">
        <v>130</v>
      </c>
      <c r="B1959" s="26"/>
      <c r="C1959" s="26"/>
      <c r="D1959" s="26"/>
      <c r="E1959" s="26"/>
      <c r="F1959" s="26"/>
    </row>
    <row r="1960" spans="1:8" x14ac:dyDescent="0.3">
      <c r="A1960" s="25" t="s">
        <v>131</v>
      </c>
      <c r="B1960" s="27" t="s">
        <v>46</v>
      </c>
      <c r="C1960" s="27" t="s">
        <v>132</v>
      </c>
      <c r="D1960" s="3" t="s">
        <v>133</v>
      </c>
      <c r="E1960" s="27" t="s">
        <v>135</v>
      </c>
      <c r="F1960" s="27"/>
    </row>
    <row r="1961" spans="1:8" x14ac:dyDescent="0.3">
      <c r="A1961" s="25"/>
      <c r="B1961" s="27"/>
      <c r="C1961" s="27"/>
      <c r="D1961" s="3" t="s">
        <v>134</v>
      </c>
      <c r="E1961" s="27"/>
      <c r="F1961" s="27"/>
    </row>
    <row r="1962" spans="1:8" ht="17.25" thickBot="1" x14ac:dyDescent="0.35">
      <c r="A1962" s="13" t="s">
        <v>66</v>
      </c>
      <c r="B1962" s="2">
        <v>4389</v>
      </c>
      <c r="C1962" s="2">
        <v>8.5689840000000004</v>
      </c>
      <c r="D1962" s="2">
        <v>1.2309E-2</v>
      </c>
      <c r="E1962" s="2">
        <v>8.5447953000000005</v>
      </c>
      <c r="F1962" s="2">
        <v>8.5931721000000003</v>
      </c>
      <c r="H1962" s="8" t="str">
        <f t="shared" ref="H1962:H1965" si="81">TEXT(C1962,"0.00")&amp;" ("&amp;TEXT(E1962,"0.00")&amp;" to "&amp;TEXT(F1962,"0.00")&amp;")"</f>
        <v>8.57 (8.54 to 8.59)</v>
      </c>
    </row>
    <row r="1963" spans="1:8" ht="17.25" thickBot="1" x14ac:dyDescent="0.35">
      <c r="A1963" s="13" t="s">
        <v>67</v>
      </c>
      <c r="B1963" s="2">
        <v>4389</v>
      </c>
      <c r="C1963" s="2">
        <v>0.65545299999999995</v>
      </c>
      <c r="D1963" s="2">
        <v>1.3910000000000001E-3</v>
      </c>
      <c r="E1963" s="2">
        <v>0.65271950000000001</v>
      </c>
      <c r="F1963" s="2">
        <v>0.65818600000000005</v>
      </c>
      <c r="H1963" s="8" t="str">
        <f t="shared" si="81"/>
        <v>0.66 (0.65 to 0.66)</v>
      </c>
    </row>
    <row r="1964" spans="1:8" ht="17.25" thickBot="1" x14ac:dyDescent="0.35">
      <c r="A1964" s="13" t="s">
        <v>68</v>
      </c>
      <c r="B1964" s="2">
        <v>4389</v>
      </c>
      <c r="C1964" s="2">
        <v>0.33609699999999998</v>
      </c>
      <c r="D1964" s="2">
        <v>6.2620000000000002E-3</v>
      </c>
      <c r="E1964" s="2">
        <v>0.32379210000000003</v>
      </c>
      <c r="F1964" s="2">
        <v>0.34840209999999999</v>
      </c>
      <c r="H1964" s="8" t="str">
        <f t="shared" si="81"/>
        <v>0.34 (0.32 to 0.35)</v>
      </c>
    </row>
    <row r="1965" spans="1:8" x14ac:dyDescent="0.3">
      <c r="A1965" s="14" t="s">
        <v>69</v>
      </c>
      <c r="B1965" s="2">
        <v>4389</v>
      </c>
      <c r="C1965" s="2">
        <v>35.194619000000003</v>
      </c>
      <c r="D1965" s="2">
        <v>0.14016200000000001</v>
      </c>
      <c r="E1965" s="2">
        <v>34.919182499999998</v>
      </c>
      <c r="F1965" s="2">
        <v>35.470055299999999</v>
      </c>
      <c r="H1965" s="8" t="str">
        <f t="shared" si="81"/>
        <v>35.19 (34.92 to 35.47)</v>
      </c>
    </row>
    <row r="1969" spans="1:6" x14ac:dyDescent="0.3">
      <c r="A1969" s="1" t="s">
        <v>129</v>
      </c>
    </row>
    <row r="1971" spans="1:6" x14ac:dyDescent="0.3">
      <c r="A1971" s="1" t="s">
        <v>224</v>
      </c>
    </row>
    <row r="1972" spans="1:6" ht="17.25" thickBot="1" x14ac:dyDescent="0.35"/>
    <row r="1973" spans="1:6" ht="16.5" customHeight="1" x14ac:dyDescent="0.3">
      <c r="A1973" s="24" t="s">
        <v>75</v>
      </c>
      <c r="B1973" s="26"/>
    </row>
    <row r="1974" spans="1:6" ht="26.25" thickBot="1" x14ac:dyDescent="0.35">
      <c r="A1974" s="13" t="s">
        <v>76</v>
      </c>
      <c r="B1974" s="2">
        <v>27</v>
      </c>
    </row>
    <row r="1975" spans="1:6" ht="26.25" thickBot="1" x14ac:dyDescent="0.35">
      <c r="A1975" s="13" t="s">
        <v>77</v>
      </c>
      <c r="B1975" s="2">
        <v>485</v>
      </c>
    </row>
    <row r="1976" spans="1:6" ht="39" thickBot="1" x14ac:dyDescent="0.35">
      <c r="A1976" s="13" t="s">
        <v>78</v>
      </c>
      <c r="B1976" s="2">
        <v>2058</v>
      </c>
    </row>
    <row r="1977" spans="1:6" ht="25.5" x14ac:dyDescent="0.3">
      <c r="A1977" s="14" t="s">
        <v>79</v>
      </c>
      <c r="B1977" s="2">
        <v>767112.96100000001</v>
      </c>
    </row>
    <row r="1978" spans="1:6" ht="17.25" thickBot="1" x14ac:dyDescent="0.35"/>
    <row r="1979" spans="1:6" ht="33" customHeight="1" x14ac:dyDescent="0.3">
      <c r="A1979" s="24" t="s">
        <v>80</v>
      </c>
      <c r="B1979" s="26"/>
    </row>
    <row r="1980" spans="1:6" ht="33.75" thickBot="1" x14ac:dyDescent="0.35">
      <c r="A1980" s="13" t="s">
        <v>81</v>
      </c>
      <c r="B1980" s="2" t="s">
        <v>82</v>
      </c>
    </row>
    <row r="1981" spans="1:6" ht="25.5" x14ac:dyDescent="0.3">
      <c r="A1981" s="14" t="s">
        <v>83</v>
      </c>
      <c r="B1981" s="2" t="s">
        <v>84</v>
      </c>
    </row>
    <row r="1982" spans="1:6" ht="17.25" thickBot="1" x14ac:dyDescent="0.35"/>
    <row r="1983" spans="1:6" ht="16.5" customHeight="1" x14ac:dyDescent="0.3">
      <c r="A1983" s="24" t="s">
        <v>130</v>
      </c>
      <c r="B1983" s="26"/>
      <c r="C1983" s="26"/>
      <c r="D1983" s="26"/>
      <c r="E1983" s="26"/>
      <c r="F1983" s="26"/>
    </row>
    <row r="1984" spans="1:6" x14ac:dyDescent="0.3">
      <c r="A1984" s="25" t="s">
        <v>131</v>
      </c>
      <c r="B1984" s="27" t="s">
        <v>46</v>
      </c>
      <c r="C1984" s="27" t="s">
        <v>132</v>
      </c>
      <c r="D1984" s="3" t="s">
        <v>133</v>
      </c>
      <c r="E1984" s="27" t="s">
        <v>135</v>
      </c>
      <c r="F1984" s="27"/>
    </row>
    <row r="1985" spans="1:8" x14ac:dyDescent="0.3">
      <c r="A1985" s="25"/>
      <c r="B1985" s="27"/>
      <c r="C1985" s="27"/>
      <c r="D1985" s="3" t="s">
        <v>134</v>
      </c>
      <c r="E1985" s="27"/>
      <c r="F1985" s="27"/>
    </row>
    <row r="1986" spans="1:8" ht="17.25" thickBot="1" x14ac:dyDescent="0.35">
      <c r="A1986" s="13" t="s">
        <v>66</v>
      </c>
      <c r="B1986" s="2">
        <v>2058</v>
      </c>
      <c r="C1986" s="2">
        <v>8.6472339999999992</v>
      </c>
      <c r="D1986" s="2">
        <v>2.1575E-2</v>
      </c>
      <c r="E1986" s="2">
        <v>8.6048360000000006</v>
      </c>
      <c r="F1986" s="2">
        <v>8.6896313000000003</v>
      </c>
      <c r="H1986" s="8" t="str">
        <f t="shared" ref="H1986:H1989" si="82">TEXT(C1986,"0.00")&amp;" ("&amp;TEXT(E1986,"0.00")&amp;" to "&amp;TEXT(F1986,"0.00")&amp;")"</f>
        <v>8.65 (8.60 to 8.69)</v>
      </c>
    </row>
    <row r="1987" spans="1:8" ht="17.25" thickBot="1" x14ac:dyDescent="0.35">
      <c r="A1987" s="13" t="s">
        <v>67</v>
      </c>
      <c r="B1987" s="2">
        <v>2058</v>
      </c>
      <c r="C1987" s="2">
        <v>0.69585300000000005</v>
      </c>
      <c r="D1987" s="2">
        <v>2.7699999999999999E-3</v>
      </c>
      <c r="E1987" s="2">
        <v>0.69040889999999999</v>
      </c>
      <c r="F1987" s="2">
        <v>0.70129680000000005</v>
      </c>
      <c r="H1987" s="8" t="str">
        <f t="shared" si="82"/>
        <v>0.70 (0.69 to 0.70)</v>
      </c>
    </row>
    <row r="1988" spans="1:8" ht="17.25" thickBot="1" x14ac:dyDescent="0.35">
      <c r="A1988" s="13" t="s">
        <v>68</v>
      </c>
      <c r="B1988" s="2">
        <v>2058</v>
      </c>
      <c r="C1988" s="2">
        <v>0.35778799999999999</v>
      </c>
      <c r="D1988" s="2">
        <v>9.5239999999999995E-3</v>
      </c>
      <c r="E1988" s="2">
        <v>0.33907199999999998</v>
      </c>
      <c r="F1988" s="2">
        <v>0.37650489999999998</v>
      </c>
      <c r="H1988" s="8" t="str">
        <f t="shared" si="82"/>
        <v>0.36 (0.34 to 0.38)</v>
      </c>
    </row>
    <row r="1989" spans="1:8" x14ac:dyDescent="0.3">
      <c r="A1989" s="14" t="s">
        <v>69</v>
      </c>
      <c r="B1989" s="2">
        <v>2058</v>
      </c>
      <c r="C1989" s="2">
        <v>36.302616</v>
      </c>
      <c r="D1989" s="2">
        <v>0.228185</v>
      </c>
      <c r="E1989" s="2">
        <v>35.854197200000002</v>
      </c>
      <c r="F1989" s="2">
        <v>36.751034400000002</v>
      </c>
      <c r="H1989" s="8" t="str">
        <f t="shared" si="82"/>
        <v>36.30 (35.85 to 36.75)</v>
      </c>
    </row>
    <row r="1993" spans="1:8" x14ac:dyDescent="0.3">
      <c r="A1993" s="1" t="s">
        <v>129</v>
      </c>
    </row>
    <row r="1995" spans="1:8" x14ac:dyDescent="0.3">
      <c r="A1995" s="1" t="s">
        <v>225</v>
      </c>
    </row>
    <row r="1996" spans="1:8" ht="17.25" thickBot="1" x14ac:dyDescent="0.35"/>
    <row r="1997" spans="1:8" ht="16.5" customHeight="1" x14ac:dyDescent="0.3">
      <c r="A1997" s="24" t="s">
        <v>75</v>
      </c>
      <c r="B1997" s="26"/>
    </row>
    <row r="1998" spans="1:8" ht="26.25" thickBot="1" x14ac:dyDescent="0.35">
      <c r="A1998" s="13" t="s">
        <v>76</v>
      </c>
      <c r="B1998" s="2">
        <v>27</v>
      </c>
    </row>
    <row r="1999" spans="1:8" ht="26.25" thickBot="1" x14ac:dyDescent="0.35">
      <c r="A1999" s="13" t="s">
        <v>77</v>
      </c>
      <c r="B1999" s="2">
        <v>541</v>
      </c>
    </row>
    <row r="2000" spans="1:8" ht="39" thickBot="1" x14ac:dyDescent="0.35">
      <c r="A2000" s="13" t="s">
        <v>78</v>
      </c>
      <c r="B2000" s="2">
        <v>3220</v>
      </c>
    </row>
    <row r="2001" spans="1:8" ht="25.5" x14ac:dyDescent="0.3">
      <c r="A2001" s="14" t="s">
        <v>79</v>
      </c>
      <c r="B2001" s="2">
        <v>1460737.28</v>
      </c>
    </row>
    <row r="2002" spans="1:8" ht="17.25" thickBot="1" x14ac:dyDescent="0.35"/>
    <row r="2003" spans="1:8" ht="33" customHeight="1" x14ac:dyDescent="0.3">
      <c r="A2003" s="24" t="s">
        <v>80</v>
      </c>
      <c r="B2003" s="26"/>
    </row>
    <row r="2004" spans="1:8" ht="33.75" thickBot="1" x14ac:dyDescent="0.35">
      <c r="A2004" s="13" t="s">
        <v>81</v>
      </c>
      <c r="B2004" s="2" t="s">
        <v>82</v>
      </c>
    </row>
    <row r="2005" spans="1:8" ht="25.5" x14ac:dyDescent="0.3">
      <c r="A2005" s="14" t="s">
        <v>83</v>
      </c>
      <c r="B2005" s="2" t="s">
        <v>84</v>
      </c>
    </row>
    <row r="2006" spans="1:8" ht="17.25" thickBot="1" x14ac:dyDescent="0.35"/>
    <row r="2007" spans="1:8" ht="16.5" customHeight="1" x14ac:dyDescent="0.3">
      <c r="A2007" s="24" t="s">
        <v>130</v>
      </c>
      <c r="B2007" s="26"/>
      <c r="C2007" s="26"/>
      <c r="D2007" s="26"/>
      <c r="E2007" s="26"/>
      <c r="F2007" s="26"/>
    </row>
    <row r="2008" spans="1:8" x14ac:dyDescent="0.3">
      <c r="A2008" s="25" t="s">
        <v>131</v>
      </c>
      <c r="B2008" s="27" t="s">
        <v>46</v>
      </c>
      <c r="C2008" s="27" t="s">
        <v>132</v>
      </c>
      <c r="D2008" s="3" t="s">
        <v>133</v>
      </c>
      <c r="E2008" s="27" t="s">
        <v>135</v>
      </c>
      <c r="F2008" s="27"/>
    </row>
    <row r="2009" spans="1:8" x14ac:dyDescent="0.3">
      <c r="A2009" s="25"/>
      <c r="B2009" s="27"/>
      <c r="C2009" s="27"/>
      <c r="D2009" s="3" t="s">
        <v>134</v>
      </c>
      <c r="E2009" s="27"/>
      <c r="F2009" s="27"/>
    </row>
    <row r="2010" spans="1:8" ht="17.25" thickBot="1" x14ac:dyDescent="0.35">
      <c r="A2010" s="13" t="s">
        <v>66</v>
      </c>
      <c r="B2010" s="2">
        <v>3220</v>
      </c>
      <c r="C2010" s="2">
        <v>8.6073869999999992</v>
      </c>
      <c r="D2010" s="2">
        <v>1.4800000000000001E-2</v>
      </c>
      <c r="E2010" s="2">
        <v>8.5783111999999999</v>
      </c>
      <c r="F2010" s="2">
        <v>8.6364631999999997</v>
      </c>
      <c r="H2010" s="8" t="str">
        <f t="shared" ref="H2010:H2013" si="83">TEXT(C2010,"0.00")&amp;" ("&amp;TEXT(E2010,"0.00")&amp;" to "&amp;TEXT(F2010,"0.00")&amp;")"</f>
        <v>8.61 (8.58 to 8.64)</v>
      </c>
    </row>
    <row r="2011" spans="1:8" ht="17.25" thickBot="1" x14ac:dyDescent="0.35">
      <c r="A2011" s="13" t="s">
        <v>67</v>
      </c>
      <c r="B2011" s="2">
        <v>3220</v>
      </c>
      <c r="C2011" s="2">
        <v>0.67820800000000003</v>
      </c>
      <c r="D2011" s="2">
        <v>1.6570000000000001E-3</v>
      </c>
      <c r="E2011" s="2">
        <v>0.67495249999999996</v>
      </c>
      <c r="F2011" s="2">
        <v>0.68146320000000005</v>
      </c>
      <c r="H2011" s="8" t="str">
        <f t="shared" si="83"/>
        <v>0.68 (0.67 to 0.68)</v>
      </c>
    </row>
    <row r="2012" spans="1:8" ht="17.25" thickBot="1" x14ac:dyDescent="0.35">
      <c r="A2012" s="13" t="s">
        <v>68</v>
      </c>
      <c r="B2012" s="2">
        <v>3220</v>
      </c>
      <c r="C2012" s="2">
        <v>0.33601999999999999</v>
      </c>
      <c r="D2012" s="2">
        <v>7.1989999999999997E-3</v>
      </c>
      <c r="E2012" s="2">
        <v>0.32187670000000002</v>
      </c>
      <c r="F2012" s="2">
        <v>0.3501628</v>
      </c>
      <c r="H2012" s="8" t="str">
        <f t="shared" si="83"/>
        <v>0.34 (0.32 to 0.35)</v>
      </c>
    </row>
    <row r="2013" spans="1:8" x14ac:dyDescent="0.3">
      <c r="A2013" s="14" t="s">
        <v>69</v>
      </c>
      <c r="B2013" s="2">
        <v>3220</v>
      </c>
      <c r="C2013" s="2">
        <v>36.140039000000002</v>
      </c>
      <c r="D2013" s="2">
        <v>0.186415</v>
      </c>
      <c r="E2013" s="2">
        <v>35.773809999999997</v>
      </c>
      <c r="F2013" s="2">
        <v>36.506267100000002</v>
      </c>
      <c r="H2013" s="8" t="str">
        <f t="shared" si="83"/>
        <v>36.14 (35.77 to 36.51)</v>
      </c>
    </row>
    <row r="2017" spans="1:6" x14ac:dyDescent="0.3">
      <c r="A2017" s="1" t="s">
        <v>129</v>
      </c>
    </row>
    <row r="2019" spans="1:6" x14ac:dyDescent="0.3">
      <c r="A2019" s="1" t="s">
        <v>226</v>
      </c>
    </row>
    <row r="2020" spans="1:6" ht="17.25" thickBot="1" x14ac:dyDescent="0.35"/>
    <row r="2021" spans="1:6" ht="16.5" customHeight="1" x14ac:dyDescent="0.3">
      <c r="A2021" s="24" t="s">
        <v>75</v>
      </c>
      <c r="B2021" s="26"/>
    </row>
    <row r="2022" spans="1:6" ht="26.25" thickBot="1" x14ac:dyDescent="0.35">
      <c r="A2022" s="13" t="s">
        <v>76</v>
      </c>
      <c r="B2022" s="2">
        <v>27</v>
      </c>
    </row>
    <row r="2023" spans="1:6" ht="26.25" thickBot="1" x14ac:dyDescent="0.35">
      <c r="A2023" s="13" t="s">
        <v>77</v>
      </c>
      <c r="B2023" s="2">
        <v>547</v>
      </c>
    </row>
    <row r="2024" spans="1:6" ht="39" thickBot="1" x14ac:dyDescent="0.35">
      <c r="A2024" s="13" t="s">
        <v>78</v>
      </c>
      <c r="B2024" s="2">
        <v>3860</v>
      </c>
    </row>
    <row r="2025" spans="1:6" ht="25.5" x14ac:dyDescent="0.3">
      <c r="A2025" s="14" t="s">
        <v>79</v>
      </c>
      <c r="B2025" s="2">
        <v>1990075.75</v>
      </c>
    </row>
    <row r="2026" spans="1:6" ht="17.25" thickBot="1" x14ac:dyDescent="0.35"/>
    <row r="2027" spans="1:6" ht="33" customHeight="1" x14ac:dyDescent="0.3">
      <c r="A2027" s="24" t="s">
        <v>80</v>
      </c>
      <c r="B2027" s="26"/>
    </row>
    <row r="2028" spans="1:6" ht="33.75" thickBot="1" x14ac:dyDescent="0.35">
      <c r="A2028" s="13" t="s">
        <v>81</v>
      </c>
      <c r="B2028" s="2" t="s">
        <v>82</v>
      </c>
    </row>
    <row r="2029" spans="1:6" ht="25.5" x14ac:dyDescent="0.3">
      <c r="A2029" s="14" t="s">
        <v>83</v>
      </c>
      <c r="B2029" s="2" t="s">
        <v>84</v>
      </c>
    </row>
    <row r="2030" spans="1:6" ht="17.25" thickBot="1" x14ac:dyDescent="0.35"/>
    <row r="2031" spans="1:6" ht="16.5" customHeight="1" x14ac:dyDescent="0.3">
      <c r="A2031" s="24" t="s">
        <v>130</v>
      </c>
      <c r="B2031" s="26"/>
      <c r="C2031" s="26"/>
      <c r="D2031" s="26"/>
      <c r="E2031" s="26"/>
      <c r="F2031" s="26"/>
    </row>
    <row r="2032" spans="1:6" x14ac:dyDescent="0.3">
      <c r="A2032" s="25" t="s">
        <v>131</v>
      </c>
      <c r="B2032" s="27" t="s">
        <v>46</v>
      </c>
      <c r="C2032" s="27" t="s">
        <v>132</v>
      </c>
      <c r="D2032" s="3" t="s">
        <v>133</v>
      </c>
      <c r="E2032" s="27" t="s">
        <v>135</v>
      </c>
      <c r="F2032" s="27"/>
    </row>
    <row r="2033" spans="1:8" x14ac:dyDescent="0.3">
      <c r="A2033" s="25"/>
      <c r="B2033" s="27"/>
      <c r="C2033" s="27"/>
      <c r="D2033" s="3" t="s">
        <v>134</v>
      </c>
      <c r="E2033" s="27"/>
      <c r="F2033" s="27"/>
    </row>
    <row r="2034" spans="1:8" ht="17.25" thickBot="1" x14ac:dyDescent="0.35">
      <c r="A2034" s="13" t="s">
        <v>66</v>
      </c>
      <c r="B2034" s="2">
        <v>3860</v>
      </c>
      <c r="C2034" s="2">
        <v>8.5824409999999993</v>
      </c>
      <c r="D2034" s="2">
        <v>1.3010000000000001E-2</v>
      </c>
      <c r="E2034" s="2">
        <v>8.5568820999999993</v>
      </c>
      <c r="F2034" s="2">
        <v>8.6079994000000006</v>
      </c>
      <c r="H2034" s="8" t="str">
        <f t="shared" ref="H2034:H2037" si="84">TEXT(C2034,"0.00")&amp;" ("&amp;TEXT(E2034,"0.00")&amp;" to "&amp;TEXT(F2034,"0.00")&amp;")"</f>
        <v>8.58 (8.56 to 8.61)</v>
      </c>
    </row>
    <row r="2035" spans="1:8" ht="17.25" thickBot="1" x14ac:dyDescent="0.35">
      <c r="A2035" s="13" t="s">
        <v>67</v>
      </c>
      <c r="B2035" s="2">
        <v>3860</v>
      </c>
      <c r="C2035" s="2">
        <v>0.669076</v>
      </c>
      <c r="D2035" s="2">
        <v>1.438E-3</v>
      </c>
      <c r="E2035" s="2">
        <v>0.66625190000000001</v>
      </c>
      <c r="F2035" s="2">
        <v>0.67190050000000001</v>
      </c>
      <c r="H2035" s="8" t="str">
        <f t="shared" si="84"/>
        <v>0.67 (0.67 to 0.67)</v>
      </c>
    </row>
    <row r="2036" spans="1:8" ht="17.25" thickBot="1" x14ac:dyDescent="0.35">
      <c r="A2036" s="13" t="s">
        <v>68</v>
      </c>
      <c r="B2036" s="2">
        <v>3860</v>
      </c>
      <c r="C2036" s="2">
        <v>0.32776100000000002</v>
      </c>
      <c r="D2036" s="2">
        <v>6.3680000000000004E-3</v>
      </c>
      <c r="E2036" s="2">
        <v>0.3152509</v>
      </c>
      <c r="F2036" s="2">
        <v>0.34027079999999998</v>
      </c>
      <c r="H2036" s="8" t="str">
        <f t="shared" si="84"/>
        <v>0.33 (0.32 to 0.34)</v>
      </c>
    </row>
    <row r="2037" spans="1:8" x14ac:dyDescent="0.3">
      <c r="A2037" s="14" t="s">
        <v>69</v>
      </c>
      <c r="B2037" s="2">
        <v>3860</v>
      </c>
      <c r="C2037" s="2">
        <v>35.837055999999997</v>
      </c>
      <c r="D2037" s="2">
        <v>0.153336</v>
      </c>
      <c r="E2037" s="2">
        <v>35.535822400000001</v>
      </c>
      <c r="F2037" s="2">
        <v>36.138289899999997</v>
      </c>
      <c r="H2037" s="8" t="str">
        <f t="shared" si="84"/>
        <v>35.84 (35.54 to 36.14)</v>
      </c>
    </row>
    <row r="2041" spans="1:8" x14ac:dyDescent="0.3">
      <c r="A2041" s="1" t="s">
        <v>129</v>
      </c>
    </row>
    <row r="2043" spans="1:8" x14ac:dyDescent="0.3">
      <c r="A2043" s="1" t="s">
        <v>227</v>
      </c>
    </row>
    <row r="2044" spans="1:8" ht="17.25" thickBot="1" x14ac:dyDescent="0.35"/>
    <row r="2045" spans="1:8" ht="16.5" customHeight="1" x14ac:dyDescent="0.3">
      <c r="A2045" s="24" t="s">
        <v>75</v>
      </c>
      <c r="B2045" s="26"/>
    </row>
    <row r="2046" spans="1:8" ht="26.25" thickBot="1" x14ac:dyDescent="0.35">
      <c r="A2046" s="13" t="s">
        <v>76</v>
      </c>
      <c r="B2046" s="2">
        <v>27</v>
      </c>
    </row>
    <row r="2047" spans="1:8" ht="26.25" thickBot="1" x14ac:dyDescent="0.35">
      <c r="A2047" s="13" t="s">
        <v>77</v>
      </c>
      <c r="B2047" s="2">
        <v>500</v>
      </c>
    </row>
    <row r="2048" spans="1:8" ht="39" thickBot="1" x14ac:dyDescent="0.35">
      <c r="A2048" s="13" t="s">
        <v>78</v>
      </c>
      <c r="B2048" s="2">
        <v>4417</v>
      </c>
    </row>
    <row r="2049" spans="1:8" ht="25.5" x14ac:dyDescent="0.3">
      <c r="A2049" s="14" t="s">
        <v>79</v>
      </c>
      <c r="B2049" s="2">
        <v>2336772.8199999998</v>
      </c>
    </row>
    <row r="2050" spans="1:8" ht="17.25" thickBot="1" x14ac:dyDescent="0.35"/>
    <row r="2051" spans="1:8" ht="33" customHeight="1" x14ac:dyDescent="0.3">
      <c r="A2051" s="24" t="s">
        <v>80</v>
      </c>
      <c r="B2051" s="26"/>
    </row>
    <row r="2052" spans="1:8" ht="33.75" thickBot="1" x14ac:dyDescent="0.35">
      <c r="A2052" s="13" t="s">
        <v>81</v>
      </c>
      <c r="B2052" s="2" t="s">
        <v>82</v>
      </c>
    </row>
    <row r="2053" spans="1:8" ht="25.5" x14ac:dyDescent="0.3">
      <c r="A2053" s="14" t="s">
        <v>83</v>
      </c>
      <c r="B2053" s="2" t="s">
        <v>84</v>
      </c>
    </row>
    <row r="2054" spans="1:8" ht="17.25" thickBot="1" x14ac:dyDescent="0.35"/>
    <row r="2055" spans="1:8" ht="16.5" customHeight="1" x14ac:dyDescent="0.3">
      <c r="A2055" s="24" t="s">
        <v>130</v>
      </c>
      <c r="B2055" s="26"/>
      <c r="C2055" s="26"/>
      <c r="D2055" s="26"/>
      <c r="E2055" s="26"/>
      <c r="F2055" s="26"/>
    </row>
    <row r="2056" spans="1:8" x14ac:dyDescent="0.3">
      <c r="A2056" s="25" t="s">
        <v>131</v>
      </c>
      <c r="B2056" s="27" t="s">
        <v>46</v>
      </c>
      <c r="C2056" s="27" t="s">
        <v>132</v>
      </c>
      <c r="D2056" s="3" t="s">
        <v>133</v>
      </c>
      <c r="E2056" s="27" t="s">
        <v>135</v>
      </c>
      <c r="F2056" s="27"/>
    </row>
    <row r="2057" spans="1:8" x14ac:dyDescent="0.3">
      <c r="A2057" s="25"/>
      <c r="B2057" s="27"/>
      <c r="C2057" s="27"/>
      <c r="D2057" s="3" t="s">
        <v>134</v>
      </c>
      <c r="E2057" s="27"/>
      <c r="F2057" s="27"/>
    </row>
    <row r="2058" spans="1:8" ht="17.25" thickBot="1" x14ac:dyDescent="0.35">
      <c r="A2058" s="13" t="s">
        <v>66</v>
      </c>
      <c r="B2058" s="2">
        <v>4417</v>
      </c>
      <c r="C2058" s="2">
        <v>8.5553050000000006</v>
      </c>
      <c r="D2058" s="2">
        <v>1.2383999999999999E-2</v>
      </c>
      <c r="E2058" s="2">
        <v>8.5309702000000005</v>
      </c>
      <c r="F2058" s="2">
        <v>8.5796396000000001</v>
      </c>
      <c r="H2058" s="8" t="str">
        <f t="shared" ref="H2058:H2061" si="85">TEXT(C2058,"0.00")&amp;" ("&amp;TEXT(E2058,"0.00")&amp;" to "&amp;TEXT(F2058,"0.00")&amp;")"</f>
        <v>8.56 (8.53 to 8.58)</v>
      </c>
    </row>
    <row r="2059" spans="1:8" ht="17.25" thickBot="1" x14ac:dyDescent="0.35">
      <c r="A2059" s="13" t="s">
        <v>67</v>
      </c>
      <c r="B2059" s="2">
        <v>4417</v>
      </c>
      <c r="C2059" s="2">
        <v>0.66366400000000003</v>
      </c>
      <c r="D2059" s="2">
        <v>1.3619999999999999E-3</v>
      </c>
      <c r="E2059" s="2">
        <v>0.66098789999999996</v>
      </c>
      <c r="F2059" s="2">
        <v>0.66633989999999998</v>
      </c>
      <c r="H2059" s="8" t="str">
        <f t="shared" si="85"/>
        <v>0.66 (0.66 to 0.67)</v>
      </c>
    </row>
    <row r="2060" spans="1:8" ht="17.25" thickBot="1" x14ac:dyDescent="0.35">
      <c r="A2060" s="13" t="s">
        <v>68</v>
      </c>
      <c r="B2060" s="2">
        <v>4417</v>
      </c>
      <c r="C2060" s="2">
        <v>0.31432700000000002</v>
      </c>
      <c r="D2060" s="2">
        <v>6.3860000000000002E-3</v>
      </c>
      <c r="E2060" s="2">
        <v>0.30177809999999999</v>
      </c>
      <c r="F2060" s="2">
        <v>0.32687529999999998</v>
      </c>
      <c r="H2060" s="8" t="str">
        <f t="shared" si="85"/>
        <v>0.31 (0.30 to 0.33)</v>
      </c>
    </row>
    <row r="2061" spans="1:8" x14ac:dyDescent="0.3">
      <c r="A2061" s="14" t="s">
        <v>69</v>
      </c>
      <c r="B2061" s="2">
        <v>4417</v>
      </c>
      <c r="C2061" s="2">
        <v>35.406613</v>
      </c>
      <c r="D2061" s="2">
        <v>0.15925700000000001</v>
      </c>
      <c r="E2061" s="2">
        <v>35.093674399999998</v>
      </c>
      <c r="F2061" s="2">
        <v>35.719552200000003</v>
      </c>
      <c r="H2061" s="8" t="str">
        <f t="shared" si="85"/>
        <v>35.41 (35.09 to 35.72)</v>
      </c>
    </row>
    <row r="2065" spans="1:6" x14ac:dyDescent="0.3">
      <c r="A2065" s="1" t="s">
        <v>129</v>
      </c>
    </row>
    <row r="2067" spans="1:6" x14ac:dyDescent="0.3">
      <c r="A2067" s="1" t="s">
        <v>228</v>
      </c>
    </row>
    <row r="2068" spans="1:6" ht="17.25" thickBot="1" x14ac:dyDescent="0.35"/>
    <row r="2069" spans="1:6" ht="16.5" customHeight="1" x14ac:dyDescent="0.3">
      <c r="A2069" s="24" t="s">
        <v>75</v>
      </c>
      <c r="B2069" s="26"/>
    </row>
    <row r="2070" spans="1:6" ht="26.25" thickBot="1" x14ac:dyDescent="0.35">
      <c r="A2070" s="13" t="s">
        <v>76</v>
      </c>
      <c r="B2070" s="2">
        <v>27</v>
      </c>
    </row>
    <row r="2071" spans="1:6" ht="26.25" thickBot="1" x14ac:dyDescent="0.35">
      <c r="A2071" s="13" t="s">
        <v>77</v>
      </c>
      <c r="B2071" s="2">
        <v>157</v>
      </c>
    </row>
    <row r="2072" spans="1:6" ht="39" thickBot="1" x14ac:dyDescent="0.35">
      <c r="A2072" s="13" t="s">
        <v>78</v>
      </c>
      <c r="B2072" s="2">
        <v>658</v>
      </c>
    </row>
    <row r="2073" spans="1:6" ht="25.5" x14ac:dyDescent="0.3">
      <c r="A2073" s="14" t="s">
        <v>79</v>
      </c>
      <c r="B2073" s="2">
        <v>250889.141</v>
      </c>
    </row>
    <row r="2074" spans="1:6" ht="17.25" thickBot="1" x14ac:dyDescent="0.35"/>
    <row r="2075" spans="1:6" ht="33" customHeight="1" x14ac:dyDescent="0.3">
      <c r="A2075" s="24" t="s">
        <v>80</v>
      </c>
      <c r="B2075" s="26"/>
    </row>
    <row r="2076" spans="1:6" ht="33.75" thickBot="1" x14ac:dyDescent="0.35">
      <c r="A2076" s="13" t="s">
        <v>81</v>
      </c>
      <c r="B2076" s="2" t="s">
        <v>82</v>
      </c>
    </row>
    <row r="2077" spans="1:6" ht="25.5" x14ac:dyDescent="0.3">
      <c r="A2077" s="14" t="s">
        <v>83</v>
      </c>
      <c r="B2077" s="2" t="s">
        <v>84</v>
      </c>
    </row>
    <row r="2078" spans="1:6" ht="17.25" thickBot="1" x14ac:dyDescent="0.35"/>
    <row r="2079" spans="1:6" ht="16.5" customHeight="1" x14ac:dyDescent="0.3">
      <c r="A2079" s="24" t="s">
        <v>130</v>
      </c>
      <c r="B2079" s="26"/>
      <c r="C2079" s="26"/>
      <c r="D2079" s="26"/>
      <c r="E2079" s="26"/>
      <c r="F2079" s="26"/>
    </row>
    <row r="2080" spans="1:6" x14ac:dyDescent="0.3">
      <c r="A2080" s="25" t="s">
        <v>131</v>
      </c>
      <c r="B2080" s="27" t="s">
        <v>46</v>
      </c>
      <c r="C2080" s="27" t="s">
        <v>132</v>
      </c>
      <c r="D2080" s="3" t="s">
        <v>133</v>
      </c>
      <c r="E2080" s="27" t="s">
        <v>135</v>
      </c>
      <c r="F2080" s="27"/>
    </row>
    <row r="2081" spans="1:8" x14ac:dyDescent="0.3">
      <c r="A2081" s="25"/>
      <c r="B2081" s="27"/>
      <c r="C2081" s="27"/>
      <c r="D2081" s="3" t="s">
        <v>134</v>
      </c>
      <c r="E2081" s="27"/>
      <c r="F2081" s="27"/>
    </row>
    <row r="2082" spans="1:8" ht="17.25" thickBot="1" x14ac:dyDescent="0.35">
      <c r="A2082" s="13" t="s">
        <v>66</v>
      </c>
      <c r="B2082" s="2">
        <v>658</v>
      </c>
      <c r="C2082" s="2">
        <v>8.5972570000000008</v>
      </c>
      <c r="D2082" s="2">
        <v>2.7550999999999999E-2</v>
      </c>
      <c r="E2082" s="2">
        <v>8.5427514999999996</v>
      </c>
      <c r="F2082" s="2">
        <v>8.6517625000000002</v>
      </c>
      <c r="H2082" s="8" t="str">
        <f t="shared" ref="H2082:H2085" si="86">TEXT(C2082,"0.00")&amp;" ("&amp;TEXT(E2082,"0.00")&amp;" to "&amp;TEXT(F2082,"0.00")&amp;")"</f>
        <v>8.60 (8.54 to 8.65)</v>
      </c>
    </row>
    <row r="2083" spans="1:8" ht="17.25" thickBot="1" x14ac:dyDescent="0.35">
      <c r="A2083" s="13" t="s">
        <v>67</v>
      </c>
      <c r="B2083" s="2">
        <v>658</v>
      </c>
      <c r="C2083" s="2">
        <v>0.68561799999999995</v>
      </c>
      <c r="D2083" s="2">
        <v>4.463E-3</v>
      </c>
      <c r="E2083" s="2">
        <v>0.67678830000000001</v>
      </c>
      <c r="F2083" s="2">
        <v>0.69444779999999995</v>
      </c>
      <c r="H2083" s="8" t="str">
        <f t="shared" si="86"/>
        <v>0.69 (0.68 to 0.69)</v>
      </c>
    </row>
    <row r="2084" spans="1:8" ht="17.25" thickBot="1" x14ac:dyDescent="0.35">
      <c r="A2084" s="13" t="s">
        <v>68</v>
      </c>
      <c r="B2084" s="2">
        <v>658</v>
      </c>
      <c r="C2084" s="2">
        <v>0.28184500000000001</v>
      </c>
      <c r="D2084" s="2">
        <v>1.3358999999999999E-2</v>
      </c>
      <c r="E2084" s="2">
        <v>0.255415</v>
      </c>
      <c r="F2084" s="2">
        <v>0.3082741</v>
      </c>
      <c r="H2084" s="8" t="str">
        <f t="shared" si="86"/>
        <v>0.28 (0.26 to 0.31)</v>
      </c>
    </row>
    <row r="2085" spans="1:8" x14ac:dyDescent="0.3">
      <c r="A2085" s="14" t="s">
        <v>69</v>
      </c>
      <c r="B2085" s="2">
        <v>658</v>
      </c>
      <c r="C2085" s="2">
        <v>34.965083999999997</v>
      </c>
      <c r="D2085" s="2">
        <v>0.42389399999999999</v>
      </c>
      <c r="E2085" s="2">
        <v>34.126460399999999</v>
      </c>
      <c r="F2085" s="2">
        <v>35.8037074</v>
      </c>
      <c r="H2085" s="8" t="str">
        <f t="shared" si="86"/>
        <v>34.97 (34.13 to 35.80)</v>
      </c>
    </row>
    <row r="2089" spans="1:8" x14ac:dyDescent="0.3">
      <c r="A2089" s="1" t="s">
        <v>129</v>
      </c>
    </row>
    <row r="2091" spans="1:8" x14ac:dyDescent="0.3">
      <c r="A2091" s="1" t="s">
        <v>229</v>
      </c>
    </row>
    <row r="2092" spans="1:8" ht="17.25" thickBot="1" x14ac:dyDescent="0.35"/>
    <row r="2093" spans="1:8" ht="16.5" customHeight="1" x14ac:dyDescent="0.3">
      <c r="A2093" s="24" t="s">
        <v>75</v>
      </c>
      <c r="B2093" s="26"/>
    </row>
    <row r="2094" spans="1:8" ht="26.25" thickBot="1" x14ac:dyDescent="0.35">
      <c r="A2094" s="13" t="s">
        <v>76</v>
      </c>
      <c r="B2094" s="2">
        <v>27</v>
      </c>
    </row>
    <row r="2095" spans="1:8" ht="26.25" thickBot="1" x14ac:dyDescent="0.35">
      <c r="A2095" s="13" t="s">
        <v>77</v>
      </c>
      <c r="B2095" s="2">
        <v>187</v>
      </c>
    </row>
    <row r="2096" spans="1:8" ht="39" thickBot="1" x14ac:dyDescent="0.35">
      <c r="A2096" s="13" t="s">
        <v>78</v>
      </c>
      <c r="B2096" s="2">
        <v>1028</v>
      </c>
    </row>
    <row r="2097" spans="1:8" ht="25.5" x14ac:dyDescent="0.3">
      <c r="A2097" s="14" t="s">
        <v>79</v>
      </c>
      <c r="B2097" s="2">
        <v>479636.77100000001</v>
      </c>
    </row>
    <row r="2098" spans="1:8" ht="17.25" thickBot="1" x14ac:dyDescent="0.35"/>
    <row r="2099" spans="1:8" ht="33" customHeight="1" x14ac:dyDescent="0.3">
      <c r="A2099" s="24" t="s">
        <v>80</v>
      </c>
      <c r="B2099" s="26"/>
    </row>
    <row r="2100" spans="1:8" ht="33.75" thickBot="1" x14ac:dyDescent="0.35">
      <c r="A2100" s="13" t="s">
        <v>81</v>
      </c>
      <c r="B2100" s="2" t="s">
        <v>82</v>
      </c>
    </row>
    <row r="2101" spans="1:8" ht="25.5" x14ac:dyDescent="0.3">
      <c r="A2101" s="14" t="s">
        <v>83</v>
      </c>
      <c r="B2101" s="2" t="s">
        <v>84</v>
      </c>
    </row>
    <row r="2102" spans="1:8" ht="17.25" thickBot="1" x14ac:dyDescent="0.35"/>
    <row r="2103" spans="1:8" ht="16.5" customHeight="1" x14ac:dyDescent="0.3">
      <c r="A2103" s="24" t="s">
        <v>130</v>
      </c>
      <c r="B2103" s="26"/>
      <c r="C2103" s="26"/>
      <c r="D2103" s="26"/>
      <c r="E2103" s="26"/>
      <c r="F2103" s="26"/>
    </row>
    <row r="2104" spans="1:8" x14ac:dyDescent="0.3">
      <c r="A2104" s="25" t="s">
        <v>131</v>
      </c>
      <c r="B2104" s="27" t="s">
        <v>46</v>
      </c>
      <c r="C2104" s="27" t="s">
        <v>132</v>
      </c>
      <c r="D2104" s="3" t="s">
        <v>133</v>
      </c>
      <c r="E2104" s="27" t="s">
        <v>135</v>
      </c>
      <c r="F2104" s="27"/>
    </row>
    <row r="2105" spans="1:8" x14ac:dyDescent="0.3">
      <c r="A2105" s="25"/>
      <c r="B2105" s="27"/>
      <c r="C2105" s="27"/>
      <c r="D2105" s="3" t="s">
        <v>134</v>
      </c>
      <c r="E2105" s="27"/>
      <c r="F2105" s="27"/>
    </row>
    <row r="2106" spans="1:8" ht="17.25" thickBot="1" x14ac:dyDescent="0.35">
      <c r="A2106" s="13" t="s">
        <v>66</v>
      </c>
      <c r="B2106" s="2">
        <v>1028</v>
      </c>
      <c r="C2106" s="2">
        <v>8.6499780000000008</v>
      </c>
      <c r="D2106" s="2">
        <v>2.1711000000000001E-2</v>
      </c>
      <c r="E2106" s="2">
        <v>8.6071007999999996</v>
      </c>
      <c r="F2106" s="2">
        <v>8.6928558000000002</v>
      </c>
      <c r="H2106" s="8" t="str">
        <f t="shared" ref="H2106:H2109" si="87">TEXT(C2106,"0.00")&amp;" ("&amp;TEXT(E2106,"0.00")&amp;" to "&amp;TEXT(F2106,"0.00")&amp;")"</f>
        <v>8.65 (8.61 to 8.69)</v>
      </c>
    </row>
    <row r="2107" spans="1:8" ht="17.25" thickBot="1" x14ac:dyDescent="0.35">
      <c r="A2107" s="13" t="s">
        <v>67</v>
      </c>
      <c r="B2107" s="2">
        <v>1028</v>
      </c>
      <c r="C2107" s="2">
        <v>0.67664500000000005</v>
      </c>
      <c r="D2107" s="2">
        <v>2.7560000000000002E-3</v>
      </c>
      <c r="E2107" s="2">
        <v>0.67120329999999995</v>
      </c>
      <c r="F2107" s="2">
        <v>0.68208709999999995</v>
      </c>
      <c r="H2107" s="8" t="str">
        <f t="shared" si="87"/>
        <v>0.68 (0.67 to 0.68)</v>
      </c>
    </row>
    <row r="2108" spans="1:8" ht="17.25" thickBot="1" x14ac:dyDescent="0.35">
      <c r="A2108" s="13" t="s">
        <v>68</v>
      </c>
      <c r="B2108" s="2">
        <v>1028</v>
      </c>
      <c r="C2108" s="2">
        <v>0.32061800000000001</v>
      </c>
      <c r="D2108" s="2">
        <v>1.1239000000000001E-2</v>
      </c>
      <c r="E2108" s="2">
        <v>0.29842249999999998</v>
      </c>
      <c r="F2108" s="2">
        <v>0.3428139</v>
      </c>
      <c r="H2108" s="8" t="str">
        <f t="shared" si="87"/>
        <v>0.32 (0.30 to 0.34)</v>
      </c>
    </row>
    <row r="2109" spans="1:8" x14ac:dyDescent="0.3">
      <c r="A2109" s="14" t="s">
        <v>69</v>
      </c>
      <c r="B2109" s="2">
        <v>1028</v>
      </c>
      <c r="C2109" s="2">
        <v>36.008800999999998</v>
      </c>
      <c r="D2109" s="2">
        <v>0.32867000000000002</v>
      </c>
      <c r="E2109" s="2">
        <v>35.359709299999999</v>
      </c>
      <c r="F2109" s="2">
        <v>36.657892199999999</v>
      </c>
      <c r="H2109" s="8" t="str">
        <f t="shared" si="87"/>
        <v>36.01 (35.36 to 36.66)</v>
      </c>
    </row>
    <row r="2113" spans="1:6" x14ac:dyDescent="0.3">
      <c r="A2113" s="1" t="s">
        <v>129</v>
      </c>
    </row>
    <row r="2115" spans="1:6" x14ac:dyDescent="0.3">
      <c r="A2115" s="1" t="s">
        <v>230</v>
      </c>
    </row>
    <row r="2116" spans="1:6" ht="17.25" thickBot="1" x14ac:dyDescent="0.35"/>
    <row r="2117" spans="1:6" ht="16.5" customHeight="1" x14ac:dyDescent="0.3">
      <c r="A2117" s="24" t="s">
        <v>75</v>
      </c>
      <c r="B2117" s="26"/>
    </row>
    <row r="2118" spans="1:6" ht="26.25" thickBot="1" x14ac:dyDescent="0.35">
      <c r="A2118" s="13" t="s">
        <v>76</v>
      </c>
      <c r="B2118" s="2">
        <v>27</v>
      </c>
    </row>
    <row r="2119" spans="1:6" ht="26.25" thickBot="1" x14ac:dyDescent="0.35">
      <c r="A2119" s="13" t="s">
        <v>77</v>
      </c>
      <c r="B2119" s="2">
        <v>185</v>
      </c>
    </row>
    <row r="2120" spans="1:6" ht="39" thickBot="1" x14ac:dyDescent="0.35">
      <c r="A2120" s="13" t="s">
        <v>78</v>
      </c>
      <c r="B2120" s="2">
        <v>1294</v>
      </c>
    </row>
    <row r="2121" spans="1:6" ht="25.5" x14ac:dyDescent="0.3">
      <c r="A2121" s="14" t="s">
        <v>79</v>
      </c>
      <c r="B2121" s="2">
        <v>671324.86399999994</v>
      </c>
    </row>
    <row r="2122" spans="1:6" ht="17.25" thickBot="1" x14ac:dyDescent="0.35"/>
    <row r="2123" spans="1:6" ht="33" customHeight="1" x14ac:dyDescent="0.3">
      <c r="A2123" s="24" t="s">
        <v>80</v>
      </c>
      <c r="B2123" s="26"/>
    </row>
    <row r="2124" spans="1:6" ht="33.75" thickBot="1" x14ac:dyDescent="0.35">
      <c r="A2124" s="13" t="s">
        <v>81</v>
      </c>
      <c r="B2124" s="2" t="s">
        <v>82</v>
      </c>
    </row>
    <row r="2125" spans="1:6" ht="25.5" x14ac:dyDescent="0.3">
      <c r="A2125" s="14" t="s">
        <v>83</v>
      </c>
      <c r="B2125" s="2" t="s">
        <v>84</v>
      </c>
    </row>
    <row r="2126" spans="1:6" ht="17.25" thickBot="1" x14ac:dyDescent="0.35"/>
    <row r="2127" spans="1:6" ht="16.5" customHeight="1" x14ac:dyDescent="0.3">
      <c r="A2127" s="24" t="s">
        <v>130</v>
      </c>
      <c r="B2127" s="26"/>
      <c r="C2127" s="26"/>
      <c r="D2127" s="26"/>
      <c r="E2127" s="26"/>
      <c r="F2127" s="26"/>
    </row>
    <row r="2128" spans="1:6" x14ac:dyDescent="0.3">
      <c r="A2128" s="25" t="s">
        <v>131</v>
      </c>
      <c r="B2128" s="27" t="s">
        <v>46</v>
      </c>
      <c r="C2128" s="27" t="s">
        <v>132</v>
      </c>
      <c r="D2128" s="3" t="s">
        <v>133</v>
      </c>
      <c r="E2128" s="27" t="s">
        <v>135</v>
      </c>
      <c r="F2128" s="27"/>
    </row>
    <row r="2129" spans="1:8" x14ac:dyDescent="0.3">
      <c r="A2129" s="25"/>
      <c r="B2129" s="27"/>
      <c r="C2129" s="27"/>
      <c r="D2129" s="3" t="s">
        <v>134</v>
      </c>
      <c r="E2129" s="27"/>
      <c r="F2129" s="27"/>
    </row>
    <row r="2130" spans="1:8" ht="17.25" thickBot="1" x14ac:dyDescent="0.35">
      <c r="A2130" s="13" t="s">
        <v>66</v>
      </c>
      <c r="B2130" s="2">
        <v>1294</v>
      </c>
      <c r="C2130" s="2">
        <v>8.5954870000000003</v>
      </c>
      <c r="D2130" s="2">
        <v>1.9612000000000001E-2</v>
      </c>
      <c r="E2130" s="2">
        <v>8.5567507999999997</v>
      </c>
      <c r="F2130" s="2">
        <v>8.6342227999999999</v>
      </c>
      <c r="H2130" s="8" t="str">
        <f t="shared" ref="H2130:H2133" si="88">TEXT(C2130,"0.00")&amp;" ("&amp;TEXT(E2130,"0.00")&amp;" to "&amp;TEXT(F2130,"0.00")&amp;")"</f>
        <v>8.60 (8.56 to 8.63)</v>
      </c>
    </row>
    <row r="2131" spans="1:8" ht="17.25" thickBot="1" x14ac:dyDescent="0.35">
      <c r="A2131" s="13" t="s">
        <v>67</v>
      </c>
      <c r="B2131" s="2">
        <v>1294</v>
      </c>
      <c r="C2131" s="2">
        <v>0.665713</v>
      </c>
      <c r="D2131" s="2">
        <v>2.3280000000000002E-3</v>
      </c>
      <c r="E2131" s="2">
        <v>0.66111509999999996</v>
      </c>
      <c r="F2131" s="2">
        <v>0.6703112</v>
      </c>
      <c r="H2131" s="8" t="str">
        <f t="shared" si="88"/>
        <v>0.67 (0.66 to 0.67)</v>
      </c>
    </row>
    <row r="2132" spans="1:8" ht="17.25" thickBot="1" x14ac:dyDescent="0.35">
      <c r="A2132" s="13" t="s">
        <v>68</v>
      </c>
      <c r="B2132" s="2">
        <v>1294</v>
      </c>
      <c r="C2132" s="2">
        <v>0.29711399999999999</v>
      </c>
      <c r="D2132" s="2">
        <v>1.0769000000000001E-2</v>
      </c>
      <c r="E2132" s="2">
        <v>0.2758447</v>
      </c>
      <c r="F2132" s="2">
        <v>0.31838290000000002</v>
      </c>
      <c r="H2132" s="8" t="str">
        <f t="shared" si="88"/>
        <v>0.30 (0.28 to 0.32)</v>
      </c>
    </row>
    <row r="2133" spans="1:8" x14ac:dyDescent="0.3">
      <c r="A2133" s="14" t="s">
        <v>69</v>
      </c>
      <c r="B2133" s="2">
        <v>1294</v>
      </c>
      <c r="C2133" s="2">
        <v>35.541384999999998</v>
      </c>
      <c r="D2133" s="2">
        <v>0.30346400000000001</v>
      </c>
      <c r="E2133" s="2">
        <v>34.9420158</v>
      </c>
      <c r="F2133" s="2">
        <v>36.1407533</v>
      </c>
      <c r="H2133" s="8" t="str">
        <f t="shared" si="88"/>
        <v>35.54 (34.94 to 36.14)</v>
      </c>
    </row>
    <row r="2137" spans="1:8" x14ac:dyDescent="0.3">
      <c r="A2137" s="1" t="s">
        <v>129</v>
      </c>
    </row>
    <row r="2139" spans="1:8" x14ac:dyDescent="0.3">
      <c r="A2139" s="1" t="s">
        <v>231</v>
      </c>
    </row>
    <row r="2140" spans="1:8" ht="17.25" thickBot="1" x14ac:dyDescent="0.35"/>
    <row r="2141" spans="1:8" ht="16.5" customHeight="1" x14ac:dyDescent="0.3">
      <c r="A2141" s="24" t="s">
        <v>75</v>
      </c>
      <c r="B2141" s="26"/>
    </row>
    <row r="2142" spans="1:8" ht="26.25" thickBot="1" x14ac:dyDescent="0.35">
      <c r="A2142" s="13" t="s">
        <v>76</v>
      </c>
      <c r="B2142" s="2">
        <v>27</v>
      </c>
    </row>
    <row r="2143" spans="1:8" ht="26.25" thickBot="1" x14ac:dyDescent="0.35">
      <c r="A2143" s="13" t="s">
        <v>77</v>
      </c>
      <c r="B2143" s="2">
        <v>168</v>
      </c>
    </row>
    <row r="2144" spans="1:8" ht="39" thickBot="1" x14ac:dyDescent="0.35">
      <c r="A2144" s="13" t="s">
        <v>78</v>
      </c>
      <c r="B2144" s="2">
        <v>1436</v>
      </c>
    </row>
    <row r="2145" spans="1:8" ht="25.5" x14ac:dyDescent="0.3">
      <c r="A2145" s="14" t="s">
        <v>79</v>
      </c>
      <c r="B2145" s="2">
        <v>749062.89899999998</v>
      </c>
    </row>
    <row r="2146" spans="1:8" ht="17.25" thickBot="1" x14ac:dyDescent="0.35"/>
    <row r="2147" spans="1:8" ht="33" customHeight="1" x14ac:dyDescent="0.3">
      <c r="A2147" s="24" t="s">
        <v>80</v>
      </c>
      <c r="B2147" s="26"/>
    </row>
    <row r="2148" spans="1:8" ht="33.75" thickBot="1" x14ac:dyDescent="0.35">
      <c r="A2148" s="13" t="s">
        <v>81</v>
      </c>
      <c r="B2148" s="2" t="s">
        <v>82</v>
      </c>
    </row>
    <row r="2149" spans="1:8" ht="25.5" x14ac:dyDescent="0.3">
      <c r="A2149" s="14" t="s">
        <v>83</v>
      </c>
      <c r="B2149" s="2" t="s">
        <v>84</v>
      </c>
    </row>
    <row r="2150" spans="1:8" ht="17.25" thickBot="1" x14ac:dyDescent="0.35"/>
    <row r="2151" spans="1:8" ht="16.5" customHeight="1" x14ac:dyDescent="0.3">
      <c r="A2151" s="24" t="s">
        <v>130</v>
      </c>
      <c r="B2151" s="26"/>
      <c r="C2151" s="26"/>
      <c r="D2151" s="26"/>
      <c r="E2151" s="26"/>
      <c r="F2151" s="26"/>
    </row>
    <row r="2152" spans="1:8" x14ac:dyDescent="0.3">
      <c r="A2152" s="25" t="s">
        <v>131</v>
      </c>
      <c r="B2152" s="27" t="s">
        <v>46</v>
      </c>
      <c r="C2152" s="27" t="s">
        <v>132</v>
      </c>
      <c r="D2152" s="3" t="s">
        <v>133</v>
      </c>
      <c r="E2152" s="27" t="s">
        <v>135</v>
      </c>
      <c r="F2152" s="27"/>
    </row>
    <row r="2153" spans="1:8" x14ac:dyDescent="0.3">
      <c r="A2153" s="25"/>
      <c r="B2153" s="27"/>
      <c r="C2153" s="27"/>
      <c r="D2153" s="3" t="s">
        <v>134</v>
      </c>
      <c r="E2153" s="27"/>
      <c r="F2153" s="27"/>
    </row>
    <row r="2154" spans="1:8" ht="17.25" thickBot="1" x14ac:dyDescent="0.35">
      <c r="A2154" s="13" t="s">
        <v>66</v>
      </c>
      <c r="B2154" s="2">
        <v>1436</v>
      </c>
      <c r="C2154" s="2">
        <v>8.5543739999999993</v>
      </c>
      <c r="D2154" s="2">
        <v>1.8512000000000001E-2</v>
      </c>
      <c r="E2154" s="2">
        <v>8.5177756999999996</v>
      </c>
      <c r="F2154" s="2">
        <v>8.5909715000000002</v>
      </c>
      <c r="H2154" s="8" t="str">
        <f t="shared" ref="H2154:H2157" si="89">TEXT(C2154,"0.00")&amp;" ("&amp;TEXT(E2154,"0.00")&amp;" to "&amp;TEXT(F2154,"0.00")&amp;")"</f>
        <v>8.55 (8.52 to 8.59)</v>
      </c>
    </row>
    <row r="2155" spans="1:8" ht="17.25" thickBot="1" x14ac:dyDescent="0.35">
      <c r="A2155" s="13" t="s">
        <v>67</v>
      </c>
      <c r="B2155" s="2">
        <v>1436</v>
      </c>
      <c r="C2155" s="2">
        <v>0.661273</v>
      </c>
      <c r="D2155" s="2">
        <v>2.0339999999999998E-3</v>
      </c>
      <c r="E2155" s="2">
        <v>0.65725109999999998</v>
      </c>
      <c r="F2155" s="2">
        <v>0.66529459999999996</v>
      </c>
      <c r="H2155" s="8" t="str">
        <f t="shared" si="89"/>
        <v>0.66 (0.66 to 0.67)</v>
      </c>
    </row>
    <row r="2156" spans="1:8" ht="17.25" thickBot="1" x14ac:dyDescent="0.35">
      <c r="A2156" s="13" t="s">
        <v>68</v>
      </c>
      <c r="B2156" s="2">
        <v>1436</v>
      </c>
      <c r="C2156" s="2">
        <v>0.26916099999999998</v>
      </c>
      <c r="D2156" s="2">
        <v>1.0298E-2</v>
      </c>
      <c r="E2156" s="2">
        <v>0.24880360000000001</v>
      </c>
      <c r="F2156" s="2">
        <v>0.28951860000000001</v>
      </c>
      <c r="H2156" s="8" t="str">
        <f t="shared" si="89"/>
        <v>0.27 (0.25 to 0.29)</v>
      </c>
    </row>
    <row r="2157" spans="1:8" x14ac:dyDescent="0.3">
      <c r="A2157" s="14" t="s">
        <v>69</v>
      </c>
      <c r="B2157" s="2">
        <v>1436</v>
      </c>
      <c r="C2157" s="2">
        <v>34.696874000000001</v>
      </c>
      <c r="D2157" s="2">
        <v>0.27579100000000001</v>
      </c>
      <c r="E2157" s="2">
        <v>34.1516533</v>
      </c>
      <c r="F2157" s="2">
        <v>35.242094999999999</v>
      </c>
      <c r="H2157" s="8" t="str">
        <f t="shared" si="89"/>
        <v>34.70 (34.15 to 35.24)</v>
      </c>
    </row>
    <row r="2161" spans="1:6" x14ac:dyDescent="0.3">
      <c r="A2161" s="1" t="s">
        <v>129</v>
      </c>
    </row>
    <row r="2163" spans="1:6" x14ac:dyDescent="0.3">
      <c r="A2163" s="1" t="s">
        <v>232</v>
      </c>
    </row>
    <row r="2164" spans="1:6" ht="17.25" thickBot="1" x14ac:dyDescent="0.35"/>
    <row r="2165" spans="1:6" ht="16.5" customHeight="1" x14ac:dyDescent="0.3">
      <c r="A2165" s="24" t="s">
        <v>75</v>
      </c>
      <c r="B2165" s="26"/>
    </row>
    <row r="2166" spans="1:6" ht="26.25" thickBot="1" x14ac:dyDescent="0.35">
      <c r="A2166" s="13" t="s">
        <v>76</v>
      </c>
      <c r="B2166" s="2">
        <v>25</v>
      </c>
    </row>
    <row r="2167" spans="1:6" ht="26.25" thickBot="1" x14ac:dyDescent="0.35">
      <c r="A2167" s="13" t="s">
        <v>77</v>
      </c>
      <c r="B2167" s="2">
        <v>305</v>
      </c>
    </row>
    <row r="2168" spans="1:6" ht="39" thickBot="1" x14ac:dyDescent="0.35">
      <c r="A2168" s="13" t="s">
        <v>78</v>
      </c>
      <c r="B2168" s="2">
        <v>533</v>
      </c>
    </row>
    <row r="2169" spans="1:6" ht="25.5" x14ac:dyDescent="0.3">
      <c r="A2169" s="14" t="s">
        <v>79</v>
      </c>
      <c r="B2169" s="2">
        <v>200482.40900000001</v>
      </c>
    </row>
    <row r="2170" spans="1:6" ht="17.25" thickBot="1" x14ac:dyDescent="0.35"/>
    <row r="2171" spans="1:6" ht="33" customHeight="1" x14ac:dyDescent="0.3">
      <c r="A2171" s="24" t="s">
        <v>80</v>
      </c>
      <c r="B2171" s="26"/>
    </row>
    <row r="2172" spans="1:6" ht="33.75" thickBot="1" x14ac:dyDescent="0.35">
      <c r="A2172" s="13" t="s">
        <v>81</v>
      </c>
      <c r="B2172" s="2" t="s">
        <v>82</v>
      </c>
    </row>
    <row r="2173" spans="1:6" ht="25.5" x14ac:dyDescent="0.3">
      <c r="A2173" s="14" t="s">
        <v>83</v>
      </c>
      <c r="B2173" s="2" t="s">
        <v>84</v>
      </c>
    </row>
    <row r="2174" spans="1:6" ht="17.25" thickBot="1" x14ac:dyDescent="0.35"/>
    <row r="2175" spans="1:6" ht="16.5" customHeight="1" x14ac:dyDescent="0.3">
      <c r="A2175" s="24" t="s">
        <v>130</v>
      </c>
      <c r="B2175" s="26"/>
      <c r="C2175" s="26"/>
      <c r="D2175" s="26"/>
      <c r="E2175" s="26"/>
      <c r="F2175" s="26"/>
    </row>
    <row r="2176" spans="1:6" x14ac:dyDescent="0.3">
      <c r="A2176" s="25" t="s">
        <v>131</v>
      </c>
      <c r="B2176" s="27" t="s">
        <v>46</v>
      </c>
      <c r="C2176" s="27" t="s">
        <v>132</v>
      </c>
      <c r="D2176" s="3" t="s">
        <v>133</v>
      </c>
      <c r="E2176" s="27" t="s">
        <v>135</v>
      </c>
      <c r="F2176" s="27"/>
    </row>
    <row r="2177" spans="1:8" x14ac:dyDescent="0.3">
      <c r="A2177" s="25"/>
      <c r="B2177" s="27"/>
      <c r="C2177" s="27"/>
      <c r="D2177" s="3" t="s">
        <v>134</v>
      </c>
      <c r="E2177" s="27"/>
      <c r="F2177" s="27"/>
    </row>
    <row r="2178" spans="1:8" ht="17.25" thickBot="1" x14ac:dyDescent="0.35">
      <c r="A2178" s="13" t="s">
        <v>66</v>
      </c>
      <c r="B2178" s="2">
        <v>533</v>
      </c>
      <c r="C2178" s="2">
        <v>8.0694280000000003</v>
      </c>
      <c r="D2178" s="2">
        <v>2.3800000000000002E-2</v>
      </c>
      <c r="E2178" s="2">
        <v>8.0225784999999998</v>
      </c>
      <c r="F2178" s="2">
        <v>8.1162769000000008</v>
      </c>
      <c r="H2178" s="8" t="str">
        <f t="shared" ref="H2178:H2181" si="90">TEXT(C2178,"0.00")&amp;" ("&amp;TEXT(E2178,"0.00")&amp;" to "&amp;TEXT(F2178,"0.00")&amp;")"</f>
        <v>8.07 (8.02 to 8.12)</v>
      </c>
    </row>
    <row r="2179" spans="1:8" ht="17.25" thickBot="1" x14ac:dyDescent="0.35">
      <c r="A2179" s="13" t="s">
        <v>67</v>
      </c>
      <c r="B2179" s="2">
        <v>533</v>
      </c>
      <c r="C2179" s="2">
        <v>0.60909800000000003</v>
      </c>
      <c r="D2179" s="2">
        <v>2.9030000000000002E-3</v>
      </c>
      <c r="E2179" s="2">
        <v>0.60338360000000002</v>
      </c>
      <c r="F2179" s="2">
        <v>0.61481180000000002</v>
      </c>
      <c r="H2179" s="8" t="str">
        <f t="shared" si="90"/>
        <v>0.61 (0.60 to 0.61)</v>
      </c>
    </row>
    <row r="2180" spans="1:8" ht="17.25" thickBot="1" x14ac:dyDescent="0.35">
      <c r="A2180" s="13" t="s">
        <v>68</v>
      </c>
      <c r="B2180" s="2">
        <v>533</v>
      </c>
      <c r="C2180" s="2">
        <v>0.12740599999999999</v>
      </c>
      <c r="D2180" s="2">
        <v>1.1492E-2</v>
      </c>
      <c r="E2180" s="2">
        <v>0.1047845</v>
      </c>
      <c r="F2180" s="2">
        <v>0.15002679999999999</v>
      </c>
      <c r="H2180" s="8" t="str">
        <f t="shared" si="90"/>
        <v>0.13 (0.10 to 0.15)</v>
      </c>
    </row>
    <row r="2181" spans="1:8" x14ac:dyDescent="0.3">
      <c r="A2181" s="14" t="s">
        <v>69</v>
      </c>
      <c r="B2181" s="2">
        <v>533</v>
      </c>
      <c r="C2181" s="2">
        <v>24.433011</v>
      </c>
      <c r="D2181" s="2">
        <v>0.10788300000000001</v>
      </c>
      <c r="E2181" s="2">
        <v>24.2206455</v>
      </c>
      <c r="F2181" s="2">
        <v>24.645375699999999</v>
      </c>
      <c r="H2181" s="8" t="str">
        <f t="shared" si="90"/>
        <v>24.43 (24.22 to 24.65)</v>
      </c>
    </row>
    <row r="2185" spans="1:8" x14ac:dyDescent="0.3">
      <c r="A2185" s="1" t="s">
        <v>129</v>
      </c>
    </row>
    <row r="2187" spans="1:8" x14ac:dyDescent="0.3">
      <c r="A2187" s="1" t="s">
        <v>233</v>
      </c>
    </row>
    <row r="2188" spans="1:8" ht="17.25" thickBot="1" x14ac:dyDescent="0.35"/>
    <row r="2189" spans="1:8" ht="16.5" customHeight="1" x14ac:dyDescent="0.3">
      <c r="A2189" s="24" t="s">
        <v>75</v>
      </c>
      <c r="B2189" s="26"/>
    </row>
    <row r="2190" spans="1:8" ht="26.25" thickBot="1" x14ac:dyDescent="0.35">
      <c r="A2190" s="13" t="s">
        <v>76</v>
      </c>
      <c r="B2190" s="2">
        <v>25</v>
      </c>
    </row>
    <row r="2191" spans="1:8" ht="26.25" thickBot="1" x14ac:dyDescent="0.35">
      <c r="A2191" s="13" t="s">
        <v>77</v>
      </c>
      <c r="B2191" s="2">
        <v>500</v>
      </c>
    </row>
    <row r="2192" spans="1:8" ht="39" thickBot="1" x14ac:dyDescent="0.35">
      <c r="A2192" s="13" t="s">
        <v>78</v>
      </c>
      <c r="B2192" s="2">
        <v>4653</v>
      </c>
    </row>
    <row r="2193" spans="1:8" ht="25.5" x14ac:dyDescent="0.3">
      <c r="A2193" s="14" t="s">
        <v>79</v>
      </c>
      <c r="B2193" s="2">
        <v>1716487.9</v>
      </c>
    </row>
    <row r="2194" spans="1:8" ht="17.25" thickBot="1" x14ac:dyDescent="0.35"/>
    <row r="2195" spans="1:8" ht="33" customHeight="1" x14ac:dyDescent="0.3">
      <c r="A2195" s="24" t="s">
        <v>80</v>
      </c>
      <c r="B2195" s="26"/>
    </row>
    <row r="2196" spans="1:8" ht="33.75" thickBot="1" x14ac:dyDescent="0.35">
      <c r="A2196" s="13" t="s">
        <v>81</v>
      </c>
      <c r="B2196" s="2" t="s">
        <v>82</v>
      </c>
    </row>
    <row r="2197" spans="1:8" ht="25.5" x14ac:dyDescent="0.3">
      <c r="A2197" s="14" t="s">
        <v>83</v>
      </c>
      <c r="B2197" s="2" t="s">
        <v>84</v>
      </c>
    </row>
    <row r="2198" spans="1:8" ht="17.25" thickBot="1" x14ac:dyDescent="0.35"/>
    <row r="2199" spans="1:8" ht="16.5" customHeight="1" x14ac:dyDescent="0.3">
      <c r="A2199" s="24" t="s">
        <v>130</v>
      </c>
      <c r="B2199" s="26"/>
      <c r="C2199" s="26"/>
      <c r="D2199" s="26"/>
      <c r="E2199" s="26"/>
      <c r="F2199" s="26"/>
    </row>
    <row r="2200" spans="1:8" x14ac:dyDescent="0.3">
      <c r="A2200" s="25" t="s">
        <v>131</v>
      </c>
      <c r="B2200" s="27" t="s">
        <v>46</v>
      </c>
      <c r="C2200" s="27" t="s">
        <v>132</v>
      </c>
      <c r="D2200" s="3" t="s">
        <v>133</v>
      </c>
      <c r="E2200" s="27" t="s">
        <v>135</v>
      </c>
      <c r="F2200" s="27"/>
    </row>
    <row r="2201" spans="1:8" x14ac:dyDescent="0.3">
      <c r="A2201" s="25"/>
      <c r="B2201" s="27"/>
      <c r="C2201" s="27"/>
      <c r="D2201" s="3" t="s">
        <v>134</v>
      </c>
      <c r="E2201" s="27"/>
      <c r="F2201" s="27"/>
    </row>
    <row r="2202" spans="1:8" ht="17.25" thickBot="1" x14ac:dyDescent="0.35">
      <c r="A2202" s="13" t="s">
        <v>66</v>
      </c>
      <c r="B2202" s="2">
        <v>4653</v>
      </c>
      <c r="C2202" s="2">
        <v>8.3253170000000001</v>
      </c>
      <c r="D2202" s="2">
        <v>1.0999999999999999E-2</v>
      </c>
      <c r="E2202" s="2">
        <v>8.3037025</v>
      </c>
      <c r="F2202" s="2">
        <v>8.3469312999999996</v>
      </c>
      <c r="H2202" s="8" t="str">
        <f t="shared" ref="H2202:H2205" si="91">TEXT(C2202,"0.00")&amp;" ("&amp;TEXT(E2202,"0.00")&amp;" to "&amp;TEXT(F2202,"0.00")&amp;")"</f>
        <v>8.33 (8.30 to 8.35)</v>
      </c>
    </row>
    <row r="2203" spans="1:8" ht="17.25" thickBot="1" x14ac:dyDescent="0.35">
      <c r="A2203" s="13" t="s">
        <v>67</v>
      </c>
      <c r="B2203" s="2">
        <v>4653</v>
      </c>
      <c r="C2203" s="2">
        <v>0.63617999999999997</v>
      </c>
      <c r="D2203" s="2">
        <v>1.441E-3</v>
      </c>
      <c r="E2203" s="2">
        <v>0.63334809999999997</v>
      </c>
      <c r="F2203" s="2">
        <v>0.63901220000000003</v>
      </c>
      <c r="H2203" s="8" t="str">
        <f t="shared" si="91"/>
        <v>0.64 (0.63 to 0.64)</v>
      </c>
    </row>
    <row r="2204" spans="1:8" ht="17.25" thickBot="1" x14ac:dyDescent="0.35">
      <c r="A2204" s="13" t="s">
        <v>68</v>
      </c>
      <c r="B2204" s="2">
        <v>4653</v>
      </c>
      <c r="C2204" s="2">
        <v>0.25756400000000002</v>
      </c>
      <c r="D2204" s="2">
        <v>5.5960000000000003E-3</v>
      </c>
      <c r="E2204" s="2">
        <v>0.24656829999999999</v>
      </c>
      <c r="F2204" s="2">
        <v>0.26855970000000001</v>
      </c>
      <c r="H2204" s="8" t="str">
        <f t="shared" si="91"/>
        <v>0.26 (0.25 to 0.27)</v>
      </c>
    </row>
    <row r="2205" spans="1:8" x14ac:dyDescent="0.3">
      <c r="A2205" s="14" t="s">
        <v>69</v>
      </c>
      <c r="B2205" s="2">
        <v>4653</v>
      </c>
      <c r="C2205" s="2">
        <v>30.640039999999999</v>
      </c>
      <c r="D2205" s="2">
        <v>6.6554000000000002E-2</v>
      </c>
      <c r="E2205" s="2">
        <v>30.5092645</v>
      </c>
      <c r="F2205" s="2">
        <v>30.770816</v>
      </c>
      <c r="H2205" s="8" t="str">
        <f t="shared" si="91"/>
        <v>30.64 (30.51 to 30.77)</v>
      </c>
    </row>
    <row r="2209" spans="1:6" x14ac:dyDescent="0.3">
      <c r="A2209" s="1" t="s">
        <v>129</v>
      </c>
    </row>
    <row r="2211" spans="1:6" x14ac:dyDescent="0.3">
      <c r="A2211" s="1" t="s">
        <v>234</v>
      </c>
    </row>
    <row r="2212" spans="1:6" ht="17.25" thickBot="1" x14ac:dyDescent="0.35"/>
    <row r="2213" spans="1:6" ht="16.5" customHeight="1" x14ac:dyDescent="0.3">
      <c r="A2213" s="24" t="s">
        <v>75</v>
      </c>
      <c r="B2213" s="26"/>
    </row>
    <row r="2214" spans="1:6" ht="26.25" thickBot="1" x14ac:dyDescent="0.35">
      <c r="A2214" s="13" t="s">
        <v>76</v>
      </c>
      <c r="B2214" s="2">
        <v>25</v>
      </c>
    </row>
    <row r="2215" spans="1:6" ht="26.25" thickBot="1" x14ac:dyDescent="0.35">
      <c r="A2215" s="13" t="s">
        <v>77</v>
      </c>
      <c r="B2215" s="2">
        <v>496</v>
      </c>
    </row>
    <row r="2216" spans="1:6" ht="39" thickBot="1" x14ac:dyDescent="0.35">
      <c r="A2216" s="13" t="s">
        <v>78</v>
      </c>
      <c r="B2216" s="2">
        <v>2958</v>
      </c>
    </row>
    <row r="2217" spans="1:6" ht="25.5" x14ac:dyDescent="0.3">
      <c r="A2217" s="14" t="s">
        <v>79</v>
      </c>
      <c r="B2217" s="2">
        <v>1074697.5900000001</v>
      </c>
    </row>
    <row r="2218" spans="1:6" ht="17.25" thickBot="1" x14ac:dyDescent="0.35"/>
    <row r="2219" spans="1:6" ht="33" customHeight="1" x14ac:dyDescent="0.3">
      <c r="A2219" s="24" t="s">
        <v>80</v>
      </c>
      <c r="B2219" s="26"/>
    </row>
    <row r="2220" spans="1:6" ht="33.75" thickBot="1" x14ac:dyDescent="0.35">
      <c r="A2220" s="13" t="s">
        <v>81</v>
      </c>
      <c r="B2220" s="2" t="s">
        <v>82</v>
      </c>
    </row>
    <row r="2221" spans="1:6" ht="25.5" x14ac:dyDescent="0.3">
      <c r="A2221" s="14" t="s">
        <v>83</v>
      </c>
      <c r="B2221" s="2" t="s">
        <v>84</v>
      </c>
    </row>
    <row r="2222" spans="1:6" ht="17.25" thickBot="1" x14ac:dyDescent="0.35"/>
    <row r="2223" spans="1:6" ht="16.5" customHeight="1" x14ac:dyDescent="0.3">
      <c r="A2223" s="24" t="s">
        <v>130</v>
      </c>
      <c r="B2223" s="26"/>
      <c r="C2223" s="26"/>
      <c r="D2223" s="26"/>
      <c r="E2223" s="26"/>
      <c r="F2223" s="26"/>
    </row>
    <row r="2224" spans="1:6" x14ac:dyDescent="0.3">
      <c r="A2224" s="25" t="s">
        <v>131</v>
      </c>
      <c r="B2224" s="27" t="s">
        <v>46</v>
      </c>
      <c r="C2224" s="27" t="s">
        <v>132</v>
      </c>
      <c r="D2224" s="3" t="s">
        <v>133</v>
      </c>
      <c r="E2224" s="27" t="s">
        <v>135</v>
      </c>
      <c r="F2224" s="27"/>
    </row>
    <row r="2225" spans="1:8" x14ac:dyDescent="0.3">
      <c r="A2225" s="25"/>
      <c r="B2225" s="27"/>
      <c r="C2225" s="27"/>
      <c r="D2225" s="3" t="s">
        <v>134</v>
      </c>
      <c r="E2225" s="27"/>
      <c r="F2225" s="27"/>
    </row>
    <row r="2226" spans="1:8" ht="17.25" thickBot="1" x14ac:dyDescent="0.35">
      <c r="A2226" s="13" t="s">
        <v>66</v>
      </c>
      <c r="B2226" s="2">
        <v>2958</v>
      </c>
      <c r="C2226" s="2">
        <v>8.6240059999999996</v>
      </c>
      <c r="D2226" s="2">
        <v>1.3214999999999999E-2</v>
      </c>
      <c r="E2226" s="2">
        <v>8.5980372999999997</v>
      </c>
      <c r="F2226" s="2">
        <v>8.6499745000000008</v>
      </c>
      <c r="H2226" s="8" t="str">
        <f t="shared" ref="H2226:H2229" si="92">TEXT(C2226,"0.00")&amp;" ("&amp;TEXT(E2226,"0.00")&amp;" to "&amp;TEXT(F2226,"0.00")&amp;")"</f>
        <v>8.62 (8.60 to 8.65)</v>
      </c>
    </row>
    <row r="2227" spans="1:8" ht="17.25" thickBot="1" x14ac:dyDescent="0.35">
      <c r="A2227" s="13" t="s">
        <v>67</v>
      </c>
      <c r="B2227" s="2">
        <v>2958</v>
      </c>
      <c r="C2227" s="2">
        <v>0.66856300000000002</v>
      </c>
      <c r="D2227" s="2">
        <v>1.6180000000000001E-3</v>
      </c>
      <c r="E2227" s="2">
        <v>0.66538370000000002</v>
      </c>
      <c r="F2227" s="2">
        <v>0.67174259999999997</v>
      </c>
      <c r="H2227" s="8" t="str">
        <f t="shared" si="92"/>
        <v>0.67 (0.67 to 0.67)</v>
      </c>
    </row>
    <row r="2228" spans="1:8" ht="17.25" thickBot="1" x14ac:dyDescent="0.35">
      <c r="A2228" s="13" t="s">
        <v>68</v>
      </c>
      <c r="B2228" s="2">
        <v>2958</v>
      </c>
      <c r="C2228" s="2">
        <v>0.40443899999999999</v>
      </c>
      <c r="D2228" s="2">
        <v>6.2639999999999996E-3</v>
      </c>
      <c r="E2228" s="2">
        <v>0.3921309</v>
      </c>
      <c r="F2228" s="2">
        <v>0.41674719999999998</v>
      </c>
      <c r="H2228" s="8" t="str">
        <f t="shared" si="92"/>
        <v>0.40 (0.39 to 0.42)</v>
      </c>
    </row>
    <row r="2229" spans="1:8" x14ac:dyDescent="0.3">
      <c r="A2229" s="14" t="s">
        <v>69</v>
      </c>
      <c r="B2229" s="2">
        <v>2958</v>
      </c>
      <c r="C2229" s="2">
        <v>36.266773000000001</v>
      </c>
      <c r="D2229" s="2">
        <v>6.8075999999999998E-2</v>
      </c>
      <c r="E2229" s="2">
        <v>36.133004100000001</v>
      </c>
      <c r="F2229" s="2">
        <v>36.400542700000003</v>
      </c>
      <c r="H2229" s="8" t="str">
        <f t="shared" si="92"/>
        <v>36.27 (36.13 to 36.40)</v>
      </c>
    </row>
    <row r="2233" spans="1:8" x14ac:dyDescent="0.3">
      <c r="A2233" s="1" t="s">
        <v>129</v>
      </c>
    </row>
    <row r="2235" spans="1:8" x14ac:dyDescent="0.3">
      <c r="A2235" s="1" t="s">
        <v>235</v>
      </c>
    </row>
    <row r="2236" spans="1:8" ht="17.25" thickBot="1" x14ac:dyDescent="0.35"/>
    <row r="2237" spans="1:8" ht="16.5" customHeight="1" x14ac:dyDescent="0.3">
      <c r="A2237" s="24" t="s">
        <v>75</v>
      </c>
      <c r="B2237" s="26"/>
    </row>
    <row r="2238" spans="1:8" ht="26.25" thickBot="1" x14ac:dyDescent="0.35">
      <c r="A2238" s="13" t="s">
        <v>76</v>
      </c>
      <c r="B2238" s="2">
        <v>25</v>
      </c>
    </row>
    <row r="2239" spans="1:8" ht="26.25" thickBot="1" x14ac:dyDescent="0.35">
      <c r="A2239" s="13" t="s">
        <v>77</v>
      </c>
      <c r="B2239" s="2">
        <v>500</v>
      </c>
    </row>
    <row r="2240" spans="1:8" ht="39" thickBot="1" x14ac:dyDescent="0.35">
      <c r="A2240" s="13" t="s">
        <v>78</v>
      </c>
      <c r="B2240" s="2">
        <v>3771</v>
      </c>
    </row>
    <row r="2241" spans="1:8" ht="25.5" x14ac:dyDescent="0.3">
      <c r="A2241" s="14" t="s">
        <v>79</v>
      </c>
      <c r="B2241" s="2">
        <v>1378500.81</v>
      </c>
    </row>
    <row r="2242" spans="1:8" ht="17.25" thickBot="1" x14ac:dyDescent="0.35"/>
    <row r="2243" spans="1:8" ht="33" customHeight="1" x14ac:dyDescent="0.3">
      <c r="A2243" s="24" t="s">
        <v>80</v>
      </c>
      <c r="B2243" s="26"/>
    </row>
    <row r="2244" spans="1:8" ht="33.75" thickBot="1" x14ac:dyDescent="0.35">
      <c r="A2244" s="13" t="s">
        <v>81</v>
      </c>
      <c r="B2244" s="2" t="s">
        <v>82</v>
      </c>
    </row>
    <row r="2245" spans="1:8" ht="25.5" x14ac:dyDescent="0.3">
      <c r="A2245" s="14" t="s">
        <v>83</v>
      </c>
      <c r="B2245" s="2" t="s">
        <v>84</v>
      </c>
    </row>
    <row r="2246" spans="1:8" ht="17.25" thickBot="1" x14ac:dyDescent="0.35"/>
    <row r="2247" spans="1:8" ht="16.5" customHeight="1" x14ac:dyDescent="0.3">
      <c r="A2247" s="24" t="s">
        <v>130</v>
      </c>
      <c r="B2247" s="26"/>
      <c r="C2247" s="26"/>
      <c r="D2247" s="26"/>
      <c r="E2247" s="26"/>
      <c r="F2247" s="26"/>
    </row>
    <row r="2248" spans="1:8" x14ac:dyDescent="0.3">
      <c r="A2248" s="25" t="s">
        <v>131</v>
      </c>
      <c r="B2248" s="27" t="s">
        <v>46</v>
      </c>
      <c r="C2248" s="27" t="s">
        <v>132</v>
      </c>
      <c r="D2248" s="3" t="s">
        <v>133</v>
      </c>
      <c r="E2248" s="27" t="s">
        <v>135</v>
      </c>
      <c r="F2248" s="27"/>
    </row>
    <row r="2249" spans="1:8" x14ac:dyDescent="0.3">
      <c r="A2249" s="25"/>
      <c r="B2249" s="27"/>
      <c r="C2249" s="27"/>
      <c r="D2249" s="3" t="s">
        <v>134</v>
      </c>
      <c r="E2249" s="27"/>
      <c r="F2249" s="27"/>
    </row>
    <row r="2250" spans="1:8" ht="17.25" thickBot="1" x14ac:dyDescent="0.35">
      <c r="A2250" s="13" t="s">
        <v>66</v>
      </c>
      <c r="B2250" s="2">
        <v>3771</v>
      </c>
      <c r="C2250" s="2">
        <v>8.8578519999999994</v>
      </c>
      <c r="D2250" s="2">
        <v>1.3162E-2</v>
      </c>
      <c r="E2250" s="2">
        <v>8.8319898999999999</v>
      </c>
      <c r="F2250" s="2">
        <v>8.8837150000000005</v>
      </c>
      <c r="H2250" s="8" t="str">
        <f t="shared" ref="H2250:H2253" si="93">TEXT(C2250,"0.00")&amp;" ("&amp;TEXT(E2250,"0.00")&amp;" to "&amp;TEXT(F2250,"0.00")&amp;")"</f>
        <v>8.86 (8.83 to 8.88)</v>
      </c>
    </row>
    <row r="2251" spans="1:8" ht="17.25" thickBot="1" x14ac:dyDescent="0.35">
      <c r="A2251" s="13" t="s">
        <v>67</v>
      </c>
      <c r="B2251" s="2">
        <v>3771</v>
      </c>
      <c r="C2251" s="2">
        <v>0.69185099999999999</v>
      </c>
      <c r="D2251" s="2">
        <v>1.557E-3</v>
      </c>
      <c r="E2251" s="2">
        <v>0.6887915</v>
      </c>
      <c r="F2251" s="2">
        <v>0.69491040000000004</v>
      </c>
      <c r="H2251" s="8" t="str">
        <f t="shared" si="93"/>
        <v>0.69 (0.69 to 0.69)</v>
      </c>
    </row>
    <row r="2252" spans="1:8" ht="17.25" thickBot="1" x14ac:dyDescent="0.35">
      <c r="A2252" s="13" t="s">
        <v>68</v>
      </c>
      <c r="B2252" s="2">
        <v>3771</v>
      </c>
      <c r="C2252" s="2">
        <v>0.51177499999999998</v>
      </c>
      <c r="D2252" s="2">
        <v>5.9579999999999998E-3</v>
      </c>
      <c r="E2252" s="2">
        <v>0.50006810000000002</v>
      </c>
      <c r="F2252" s="2">
        <v>0.523482</v>
      </c>
      <c r="H2252" s="8" t="str">
        <f t="shared" si="93"/>
        <v>0.51 (0.50 to 0.52)</v>
      </c>
    </row>
    <row r="2253" spans="1:8" x14ac:dyDescent="0.3">
      <c r="A2253" s="14" t="s">
        <v>69</v>
      </c>
      <c r="B2253" s="2">
        <v>3771</v>
      </c>
      <c r="C2253" s="2">
        <v>42.806896999999999</v>
      </c>
      <c r="D2253" s="2">
        <v>0.106445</v>
      </c>
      <c r="E2253" s="2">
        <v>42.597735700000001</v>
      </c>
      <c r="F2253" s="2">
        <v>43.0160585</v>
      </c>
      <c r="H2253" s="8" t="str">
        <f t="shared" si="93"/>
        <v>42.81 (42.60 to 43.02)</v>
      </c>
    </row>
    <row r="2257" spans="1:6" x14ac:dyDescent="0.3">
      <c r="A2257" s="1" t="s">
        <v>129</v>
      </c>
    </row>
    <row r="2259" spans="1:6" x14ac:dyDescent="0.3">
      <c r="A2259" s="1" t="s">
        <v>236</v>
      </c>
    </row>
    <row r="2260" spans="1:6" ht="17.25" thickBot="1" x14ac:dyDescent="0.35"/>
    <row r="2261" spans="1:6" ht="16.5" customHeight="1" x14ac:dyDescent="0.3">
      <c r="A2261" s="24" t="s">
        <v>75</v>
      </c>
      <c r="B2261" s="26"/>
    </row>
    <row r="2262" spans="1:6" ht="26.25" thickBot="1" x14ac:dyDescent="0.35">
      <c r="A2262" s="13" t="s">
        <v>76</v>
      </c>
      <c r="B2262" s="2">
        <v>25</v>
      </c>
    </row>
    <row r="2263" spans="1:6" ht="26.25" thickBot="1" x14ac:dyDescent="0.35">
      <c r="A2263" s="13" t="s">
        <v>77</v>
      </c>
      <c r="B2263" s="2">
        <v>327</v>
      </c>
    </row>
    <row r="2264" spans="1:6" ht="39" thickBot="1" x14ac:dyDescent="0.35">
      <c r="A2264" s="13" t="s">
        <v>78</v>
      </c>
      <c r="B2264" s="2">
        <v>525</v>
      </c>
    </row>
    <row r="2265" spans="1:6" ht="25.5" x14ac:dyDescent="0.3">
      <c r="A2265" s="14" t="s">
        <v>79</v>
      </c>
      <c r="B2265" s="2">
        <v>232864.889</v>
      </c>
    </row>
    <row r="2266" spans="1:6" ht="17.25" thickBot="1" x14ac:dyDescent="0.35"/>
    <row r="2267" spans="1:6" ht="33" customHeight="1" x14ac:dyDescent="0.3">
      <c r="A2267" s="24" t="s">
        <v>80</v>
      </c>
      <c r="B2267" s="26"/>
    </row>
    <row r="2268" spans="1:6" ht="33.75" thickBot="1" x14ac:dyDescent="0.35">
      <c r="A2268" s="13" t="s">
        <v>81</v>
      </c>
      <c r="B2268" s="2" t="s">
        <v>82</v>
      </c>
    </row>
    <row r="2269" spans="1:6" ht="25.5" x14ac:dyDescent="0.3">
      <c r="A2269" s="14" t="s">
        <v>83</v>
      </c>
      <c r="B2269" s="2" t="s">
        <v>84</v>
      </c>
    </row>
    <row r="2270" spans="1:6" ht="17.25" thickBot="1" x14ac:dyDescent="0.35"/>
    <row r="2271" spans="1:6" ht="16.5" customHeight="1" x14ac:dyDescent="0.3">
      <c r="A2271" s="24" t="s">
        <v>130</v>
      </c>
      <c r="B2271" s="26"/>
      <c r="C2271" s="26"/>
      <c r="D2271" s="26"/>
      <c r="E2271" s="26"/>
      <c r="F2271" s="26"/>
    </row>
    <row r="2272" spans="1:6" x14ac:dyDescent="0.3">
      <c r="A2272" s="25" t="s">
        <v>131</v>
      </c>
      <c r="B2272" s="27" t="s">
        <v>46</v>
      </c>
      <c r="C2272" s="27" t="s">
        <v>132</v>
      </c>
      <c r="D2272" s="3" t="s">
        <v>133</v>
      </c>
      <c r="E2272" s="27" t="s">
        <v>135</v>
      </c>
      <c r="F2272" s="27"/>
    </row>
    <row r="2273" spans="1:8" x14ac:dyDescent="0.3">
      <c r="A2273" s="25"/>
      <c r="B2273" s="27"/>
      <c r="C2273" s="27"/>
      <c r="D2273" s="3" t="s">
        <v>134</v>
      </c>
      <c r="E2273" s="27"/>
      <c r="F2273" s="27"/>
    </row>
    <row r="2274" spans="1:8" ht="17.25" thickBot="1" x14ac:dyDescent="0.35">
      <c r="A2274" s="13" t="s">
        <v>66</v>
      </c>
      <c r="B2274" s="2">
        <v>525</v>
      </c>
      <c r="C2274" s="2">
        <v>8.0562740000000002</v>
      </c>
      <c r="D2274" s="2">
        <v>2.5659000000000001E-2</v>
      </c>
      <c r="E2274" s="2">
        <v>8.0057807000000007</v>
      </c>
      <c r="F2274" s="2">
        <v>8.1067678999999995</v>
      </c>
      <c r="H2274" s="8" t="str">
        <f t="shared" ref="H2274:H2277" si="94">TEXT(C2274,"0.00")&amp;" ("&amp;TEXT(E2274,"0.00")&amp;" to "&amp;TEXT(F2274,"0.00")&amp;")"</f>
        <v>8.06 (8.01 to 8.11)</v>
      </c>
    </row>
    <row r="2275" spans="1:8" ht="17.25" thickBot="1" x14ac:dyDescent="0.35">
      <c r="A2275" s="13" t="s">
        <v>67</v>
      </c>
      <c r="B2275" s="2">
        <v>525</v>
      </c>
      <c r="C2275" s="2">
        <v>0.60530099999999998</v>
      </c>
      <c r="D2275" s="2">
        <v>2.9989999999999999E-3</v>
      </c>
      <c r="E2275" s="2">
        <v>0.59940009999999999</v>
      </c>
      <c r="F2275" s="2">
        <v>0.61120149999999995</v>
      </c>
      <c r="H2275" s="8" t="str">
        <f t="shared" si="94"/>
        <v>0.61 (0.60 to 0.61)</v>
      </c>
    </row>
    <row r="2276" spans="1:8" ht="17.25" thickBot="1" x14ac:dyDescent="0.35">
      <c r="A2276" s="13" t="s">
        <v>68</v>
      </c>
      <c r="B2276" s="2">
        <v>525</v>
      </c>
      <c r="C2276" s="2">
        <v>0.108614</v>
      </c>
      <c r="D2276" s="2">
        <v>1.3266E-2</v>
      </c>
      <c r="E2276" s="2">
        <v>8.2508499999999999E-2</v>
      </c>
      <c r="F2276" s="2">
        <v>0.13472029999999999</v>
      </c>
      <c r="H2276" s="8" t="str">
        <f t="shared" si="94"/>
        <v>0.11 (0.08 to 0.13)</v>
      </c>
    </row>
    <row r="2277" spans="1:8" x14ac:dyDescent="0.3">
      <c r="A2277" s="14" t="s">
        <v>69</v>
      </c>
      <c r="B2277" s="2">
        <v>525</v>
      </c>
      <c r="C2277" s="2">
        <v>24.179382</v>
      </c>
      <c r="D2277" s="2">
        <v>0.11496199999999999</v>
      </c>
      <c r="E2277" s="2">
        <v>23.953153700000001</v>
      </c>
      <c r="F2277" s="2">
        <v>24.405611199999999</v>
      </c>
      <c r="H2277" s="8" t="str">
        <f t="shared" si="94"/>
        <v>24.18 (23.95 to 24.41)</v>
      </c>
    </row>
    <row r="2281" spans="1:8" x14ac:dyDescent="0.3">
      <c r="A2281" s="1" t="s">
        <v>129</v>
      </c>
    </row>
    <row r="2283" spans="1:8" x14ac:dyDescent="0.3">
      <c r="A2283" s="1" t="s">
        <v>237</v>
      </c>
    </row>
    <row r="2284" spans="1:8" ht="17.25" thickBot="1" x14ac:dyDescent="0.35"/>
    <row r="2285" spans="1:8" ht="16.5" customHeight="1" x14ac:dyDescent="0.3">
      <c r="A2285" s="24" t="s">
        <v>75</v>
      </c>
      <c r="B2285" s="26"/>
    </row>
    <row r="2286" spans="1:8" ht="26.25" thickBot="1" x14ac:dyDescent="0.35">
      <c r="A2286" s="13" t="s">
        <v>76</v>
      </c>
      <c r="B2286" s="2">
        <v>25</v>
      </c>
    </row>
    <row r="2287" spans="1:8" ht="26.25" thickBot="1" x14ac:dyDescent="0.35">
      <c r="A2287" s="13" t="s">
        <v>77</v>
      </c>
      <c r="B2287" s="2">
        <v>576</v>
      </c>
    </row>
    <row r="2288" spans="1:8" ht="39" thickBot="1" x14ac:dyDescent="0.35">
      <c r="A2288" s="13" t="s">
        <v>78</v>
      </c>
      <c r="B2288" s="2">
        <v>5258</v>
      </c>
    </row>
    <row r="2289" spans="1:8" ht="25.5" x14ac:dyDescent="0.3">
      <c r="A2289" s="14" t="s">
        <v>79</v>
      </c>
      <c r="B2289" s="2">
        <v>2171897.56</v>
      </c>
    </row>
    <row r="2290" spans="1:8" ht="17.25" thickBot="1" x14ac:dyDescent="0.35"/>
    <row r="2291" spans="1:8" ht="33" customHeight="1" x14ac:dyDescent="0.3">
      <c r="A2291" s="24" t="s">
        <v>80</v>
      </c>
      <c r="B2291" s="26"/>
    </row>
    <row r="2292" spans="1:8" ht="33.75" thickBot="1" x14ac:dyDescent="0.35">
      <c r="A2292" s="13" t="s">
        <v>81</v>
      </c>
      <c r="B2292" s="2" t="s">
        <v>82</v>
      </c>
    </row>
    <row r="2293" spans="1:8" ht="25.5" x14ac:dyDescent="0.3">
      <c r="A2293" s="14" t="s">
        <v>83</v>
      </c>
      <c r="B2293" s="2" t="s">
        <v>84</v>
      </c>
    </row>
    <row r="2294" spans="1:8" ht="17.25" thickBot="1" x14ac:dyDescent="0.35"/>
    <row r="2295" spans="1:8" ht="16.5" customHeight="1" x14ac:dyDescent="0.3">
      <c r="A2295" s="24" t="s">
        <v>130</v>
      </c>
      <c r="B2295" s="26"/>
      <c r="C2295" s="26"/>
      <c r="D2295" s="26"/>
      <c r="E2295" s="26"/>
      <c r="F2295" s="26"/>
    </row>
    <row r="2296" spans="1:8" x14ac:dyDescent="0.3">
      <c r="A2296" s="25" t="s">
        <v>131</v>
      </c>
      <c r="B2296" s="27" t="s">
        <v>46</v>
      </c>
      <c r="C2296" s="27" t="s">
        <v>132</v>
      </c>
      <c r="D2296" s="3" t="s">
        <v>133</v>
      </c>
      <c r="E2296" s="27" t="s">
        <v>135</v>
      </c>
      <c r="F2296" s="27"/>
    </row>
    <row r="2297" spans="1:8" x14ac:dyDescent="0.3">
      <c r="A2297" s="25"/>
      <c r="B2297" s="27"/>
      <c r="C2297" s="27"/>
      <c r="D2297" s="3" t="s">
        <v>134</v>
      </c>
      <c r="E2297" s="27"/>
      <c r="F2297" s="27"/>
    </row>
    <row r="2298" spans="1:8" ht="17.25" thickBot="1" x14ac:dyDescent="0.35">
      <c r="A2298" s="13" t="s">
        <v>66</v>
      </c>
      <c r="B2298" s="2">
        <v>5258</v>
      </c>
      <c r="C2298" s="2">
        <v>8.3174469999999996</v>
      </c>
      <c r="D2298" s="2">
        <v>1.1032999999999999E-2</v>
      </c>
      <c r="E2298" s="2">
        <v>8.2957750000000008</v>
      </c>
      <c r="F2298" s="2">
        <v>8.3391193999999995</v>
      </c>
      <c r="H2298" s="8" t="str">
        <f t="shared" ref="H2298:H2301" si="95">TEXT(C2298,"0.00")&amp;" ("&amp;TEXT(E2298,"0.00")&amp;" to "&amp;TEXT(F2298,"0.00")&amp;")"</f>
        <v>8.32 (8.30 to 8.34)</v>
      </c>
    </row>
    <row r="2299" spans="1:8" ht="17.25" thickBot="1" x14ac:dyDescent="0.35">
      <c r="A2299" s="13" t="s">
        <v>67</v>
      </c>
      <c r="B2299" s="2">
        <v>5258</v>
      </c>
      <c r="C2299" s="2">
        <v>0.63337399999999999</v>
      </c>
      <c r="D2299" s="2">
        <v>1.3370000000000001E-3</v>
      </c>
      <c r="E2299" s="2">
        <v>0.63074739999999996</v>
      </c>
      <c r="F2299" s="2">
        <v>0.63600080000000003</v>
      </c>
      <c r="H2299" s="8" t="str">
        <f t="shared" si="95"/>
        <v>0.63 (0.63 to 0.64)</v>
      </c>
    </row>
    <row r="2300" spans="1:8" ht="17.25" thickBot="1" x14ac:dyDescent="0.35">
      <c r="A2300" s="13" t="s">
        <v>68</v>
      </c>
      <c r="B2300" s="2">
        <v>5258</v>
      </c>
      <c r="C2300" s="2">
        <v>0.24127799999999999</v>
      </c>
      <c r="D2300" s="2">
        <v>5.2030000000000002E-3</v>
      </c>
      <c r="E2300" s="2">
        <v>0.2310574</v>
      </c>
      <c r="F2300" s="2">
        <v>0.2514979</v>
      </c>
      <c r="H2300" s="8" t="str">
        <f t="shared" si="95"/>
        <v>0.24 (0.23 to 0.25)</v>
      </c>
    </row>
    <row r="2301" spans="1:8" x14ac:dyDescent="0.3">
      <c r="A2301" s="14" t="s">
        <v>69</v>
      </c>
      <c r="B2301" s="2">
        <v>5258</v>
      </c>
      <c r="C2301" s="2">
        <v>30.389561</v>
      </c>
      <c r="D2301" s="2">
        <v>6.4210000000000003E-2</v>
      </c>
      <c r="E2301" s="2">
        <v>30.2634349</v>
      </c>
      <c r="F2301" s="2">
        <v>30.515687400000001</v>
      </c>
      <c r="H2301" s="8" t="str">
        <f t="shared" si="95"/>
        <v>30.39 (30.26 to 30.52)</v>
      </c>
    </row>
    <row r="2305" spans="1:6" x14ac:dyDescent="0.3">
      <c r="A2305" s="1" t="s">
        <v>129</v>
      </c>
    </row>
    <row r="2307" spans="1:6" x14ac:dyDescent="0.3">
      <c r="A2307" s="1" t="s">
        <v>238</v>
      </c>
    </row>
    <row r="2308" spans="1:6" ht="17.25" thickBot="1" x14ac:dyDescent="0.35"/>
    <row r="2309" spans="1:6" ht="16.5" customHeight="1" x14ac:dyDescent="0.3">
      <c r="A2309" s="24" t="s">
        <v>75</v>
      </c>
      <c r="B2309" s="26"/>
    </row>
    <row r="2310" spans="1:6" ht="26.25" thickBot="1" x14ac:dyDescent="0.35">
      <c r="A2310" s="13" t="s">
        <v>76</v>
      </c>
      <c r="B2310" s="2">
        <v>25</v>
      </c>
    </row>
    <row r="2311" spans="1:6" ht="26.25" thickBot="1" x14ac:dyDescent="0.35">
      <c r="A2311" s="13" t="s">
        <v>77</v>
      </c>
      <c r="B2311" s="2">
        <v>569</v>
      </c>
    </row>
    <row r="2312" spans="1:6" ht="39" thickBot="1" x14ac:dyDescent="0.35">
      <c r="A2312" s="13" t="s">
        <v>78</v>
      </c>
      <c r="B2312" s="2">
        <v>3114</v>
      </c>
    </row>
    <row r="2313" spans="1:6" ht="25.5" x14ac:dyDescent="0.3">
      <c r="A2313" s="14" t="s">
        <v>79</v>
      </c>
      <c r="B2313" s="2">
        <v>1266596.1499999999</v>
      </c>
    </row>
    <row r="2314" spans="1:6" ht="17.25" thickBot="1" x14ac:dyDescent="0.35"/>
    <row r="2315" spans="1:6" ht="33" customHeight="1" x14ac:dyDescent="0.3">
      <c r="A2315" s="24" t="s">
        <v>80</v>
      </c>
      <c r="B2315" s="26"/>
    </row>
    <row r="2316" spans="1:6" ht="33.75" thickBot="1" x14ac:dyDescent="0.35">
      <c r="A2316" s="13" t="s">
        <v>81</v>
      </c>
      <c r="B2316" s="2" t="s">
        <v>82</v>
      </c>
    </row>
    <row r="2317" spans="1:6" ht="25.5" x14ac:dyDescent="0.3">
      <c r="A2317" s="14" t="s">
        <v>83</v>
      </c>
      <c r="B2317" s="2" t="s">
        <v>84</v>
      </c>
    </row>
    <row r="2318" spans="1:6" ht="17.25" thickBot="1" x14ac:dyDescent="0.35"/>
    <row r="2319" spans="1:6" ht="16.5" customHeight="1" x14ac:dyDescent="0.3">
      <c r="A2319" s="24" t="s">
        <v>130</v>
      </c>
      <c r="B2319" s="26"/>
      <c r="C2319" s="26"/>
      <c r="D2319" s="26"/>
      <c r="E2319" s="26"/>
      <c r="F2319" s="26"/>
    </row>
    <row r="2320" spans="1:6" x14ac:dyDescent="0.3">
      <c r="A2320" s="25" t="s">
        <v>131</v>
      </c>
      <c r="B2320" s="27" t="s">
        <v>46</v>
      </c>
      <c r="C2320" s="27" t="s">
        <v>132</v>
      </c>
      <c r="D2320" s="3" t="s">
        <v>133</v>
      </c>
      <c r="E2320" s="27" t="s">
        <v>135</v>
      </c>
      <c r="F2320" s="27"/>
    </row>
    <row r="2321" spans="1:8" x14ac:dyDescent="0.3">
      <c r="A2321" s="25"/>
      <c r="B2321" s="27"/>
      <c r="C2321" s="27"/>
      <c r="D2321" s="3" t="s">
        <v>134</v>
      </c>
      <c r="E2321" s="27"/>
      <c r="F2321" s="27"/>
    </row>
    <row r="2322" spans="1:8" ht="17.25" thickBot="1" x14ac:dyDescent="0.35">
      <c r="A2322" s="13" t="s">
        <v>66</v>
      </c>
      <c r="B2322" s="2">
        <v>3114</v>
      </c>
      <c r="C2322" s="2">
        <v>8.6296440000000008</v>
      </c>
      <c r="D2322" s="2">
        <v>1.6001000000000001E-2</v>
      </c>
      <c r="E2322" s="2">
        <v>8.5982122000000007</v>
      </c>
      <c r="F2322" s="2">
        <v>8.6610756000000002</v>
      </c>
      <c r="H2322" s="8" t="str">
        <f t="shared" ref="H2322:H2325" si="96">TEXT(C2322,"0.00")&amp;" ("&amp;TEXT(E2322,"0.00")&amp;" to "&amp;TEXT(F2322,"0.00")&amp;")"</f>
        <v>8.63 (8.60 to 8.66)</v>
      </c>
    </row>
    <row r="2323" spans="1:8" ht="17.25" thickBot="1" x14ac:dyDescent="0.35">
      <c r="A2323" s="13" t="s">
        <v>67</v>
      </c>
      <c r="B2323" s="2">
        <v>3114</v>
      </c>
      <c r="C2323" s="2">
        <v>0.66726600000000003</v>
      </c>
      <c r="D2323" s="2">
        <v>1.812E-3</v>
      </c>
      <c r="E2323" s="2">
        <v>0.66370680000000004</v>
      </c>
      <c r="F2323" s="2">
        <v>0.67082509999999995</v>
      </c>
      <c r="H2323" s="8" t="str">
        <f t="shared" si="96"/>
        <v>0.67 (0.66 to 0.67)</v>
      </c>
    </row>
    <row r="2324" spans="1:8" ht="17.25" thickBot="1" x14ac:dyDescent="0.35">
      <c r="A2324" s="13" t="s">
        <v>68</v>
      </c>
      <c r="B2324" s="2">
        <v>3114</v>
      </c>
      <c r="C2324" s="2">
        <v>0.39133499999999999</v>
      </c>
      <c r="D2324" s="2">
        <v>7.6309999999999998E-3</v>
      </c>
      <c r="E2324" s="2">
        <v>0.37634450000000003</v>
      </c>
      <c r="F2324" s="2">
        <v>0.40632459999999998</v>
      </c>
      <c r="H2324" s="8" t="str">
        <f t="shared" si="96"/>
        <v>0.39 (0.38 to 0.41)</v>
      </c>
    </row>
    <row r="2325" spans="1:8" x14ac:dyDescent="0.3">
      <c r="A2325" s="14" t="s">
        <v>69</v>
      </c>
      <c r="B2325" s="2">
        <v>3114</v>
      </c>
      <c r="C2325" s="2">
        <v>36.094960999999998</v>
      </c>
      <c r="D2325" s="2">
        <v>8.3392999999999995E-2</v>
      </c>
      <c r="E2325" s="2">
        <v>35.931148200000003</v>
      </c>
      <c r="F2325" s="2">
        <v>36.2587732</v>
      </c>
      <c r="H2325" s="8" t="str">
        <f t="shared" si="96"/>
        <v>36.09 (35.93 to 36.26)</v>
      </c>
    </row>
    <row r="2329" spans="1:8" x14ac:dyDescent="0.3">
      <c r="A2329" s="1" t="s">
        <v>129</v>
      </c>
    </row>
    <row r="2331" spans="1:8" x14ac:dyDescent="0.3">
      <c r="A2331" s="1" t="s">
        <v>239</v>
      </c>
    </row>
    <row r="2332" spans="1:8" ht="17.25" thickBot="1" x14ac:dyDescent="0.35"/>
    <row r="2333" spans="1:8" ht="16.5" customHeight="1" x14ac:dyDescent="0.3">
      <c r="A2333" s="24" t="s">
        <v>75</v>
      </c>
      <c r="B2333" s="26"/>
    </row>
    <row r="2334" spans="1:8" ht="26.25" thickBot="1" x14ac:dyDescent="0.35">
      <c r="A2334" s="13" t="s">
        <v>76</v>
      </c>
      <c r="B2334" s="2">
        <v>25</v>
      </c>
    </row>
    <row r="2335" spans="1:8" ht="26.25" thickBot="1" x14ac:dyDescent="0.35">
      <c r="A2335" s="13" t="s">
        <v>77</v>
      </c>
      <c r="B2335" s="2">
        <v>574</v>
      </c>
    </row>
    <row r="2336" spans="1:8" ht="39" thickBot="1" x14ac:dyDescent="0.35">
      <c r="A2336" s="13" t="s">
        <v>78</v>
      </c>
      <c r="B2336" s="2">
        <v>4219</v>
      </c>
    </row>
    <row r="2337" spans="1:8" ht="25.5" x14ac:dyDescent="0.3">
      <c r="A2337" s="14" t="s">
        <v>79</v>
      </c>
      <c r="B2337" s="2">
        <v>1789306.35</v>
      </c>
    </row>
    <row r="2338" spans="1:8" ht="17.25" thickBot="1" x14ac:dyDescent="0.35"/>
    <row r="2339" spans="1:8" ht="33" customHeight="1" x14ac:dyDescent="0.3">
      <c r="A2339" s="24" t="s">
        <v>80</v>
      </c>
      <c r="B2339" s="26"/>
    </row>
    <row r="2340" spans="1:8" ht="33.75" thickBot="1" x14ac:dyDescent="0.35">
      <c r="A2340" s="13" t="s">
        <v>81</v>
      </c>
      <c r="B2340" s="2" t="s">
        <v>82</v>
      </c>
    </row>
    <row r="2341" spans="1:8" ht="25.5" x14ac:dyDescent="0.3">
      <c r="A2341" s="14" t="s">
        <v>83</v>
      </c>
      <c r="B2341" s="2" t="s">
        <v>84</v>
      </c>
    </row>
    <row r="2342" spans="1:8" ht="17.25" thickBot="1" x14ac:dyDescent="0.35"/>
    <row r="2343" spans="1:8" ht="16.5" customHeight="1" x14ac:dyDescent="0.3">
      <c r="A2343" s="24" t="s">
        <v>130</v>
      </c>
      <c r="B2343" s="26"/>
      <c r="C2343" s="26"/>
      <c r="D2343" s="26"/>
      <c r="E2343" s="26"/>
      <c r="F2343" s="26"/>
    </row>
    <row r="2344" spans="1:8" x14ac:dyDescent="0.3">
      <c r="A2344" s="25" t="s">
        <v>131</v>
      </c>
      <c r="B2344" s="27" t="s">
        <v>46</v>
      </c>
      <c r="C2344" s="27" t="s">
        <v>132</v>
      </c>
      <c r="D2344" s="3" t="s">
        <v>133</v>
      </c>
      <c r="E2344" s="27" t="s">
        <v>135</v>
      </c>
      <c r="F2344" s="27"/>
    </row>
    <row r="2345" spans="1:8" x14ac:dyDescent="0.3">
      <c r="A2345" s="25"/>
      <c r="B2345" s="27"/>
      <c r="C2345" s="27"/>
      <c r="D2345" s="3" t="s">
        <v>134</v>
      </c>
      <c r="E2345" s="27"/>
      <c r="F2345" s="27"/>
    </row>
    <row r="2346" spans="1:8" ht="17.25" thickBot="1" x14ac:dyDescent="0.35">
      <c r="A2346" s="13" t="s">
        <v>66</v>
      </c>
      <c r="B2346" s="2">
        <v>4219</v>
      </c>
      <c r="C2346" s="2">
        <v>8.8692530000000005</v>
      </c>
      <c r="D2346" s="2">
        <v>1.2729000000000001E-2</v>
      </c>
      <c r="E2346" s="2">
        <v>8.8442491000000008</v>
      </c>
      <c r="F2346" s="2">
        <v>8.8942563000000003</v>
      </c>
      <c r="H2346" s="8" t="str">
        <f t="shared" ref="H2346:H2349" si="97">TEXT(C2346,"0.00")&amp;" ("&amp;TEXT(E2346,"0.00")&amp;" to "&amp;TEXT(F2346,"0.00")&amp;")"</f>
        <v>8.87 (8.84 to 8.89)</v>
      </c>
    </row>
    <row r="2347" spans="1:8" ht="17.25" thickBot="1" x14ac:dyDescent="0.35">
      <c r="A2347" s="13" t="s">
        <v>67</v>
      </c>
      <c r="B2347" s="2">
        <v>4219</v>
      </c>
      <c r="C2347" s="2">
        <v>0.68715899999999996</v>
      </c>
      <c r="D2347" s="2">
        <v>1.4599999999999999E-3</v>
      </c>
      <c r="E2347" s="2">
        <v>0.68429200000000001</v>
      </c>
      <c r="F2347" s="2">
        <v>0.6900269</v>
      </c>
      <c r="H2347" s="8" t="str">
        <f t="shared" si="97"/>
        <v>0.69 (0.68 to 0.69)</v>
      </c>
    </row>
    <row r="2348" spans="1:8" ht="17.25" thickBot="1" x14ac:dyDescent="0.35">
      <c r="A2348" s="13" t="s">
        <v>68</v>
      </c>
      <c r="B2348" s="2">
        <v>4219</v>
      </c>
      <c r="C2348" s="2">
        <v>0.50467300000000004</v>
      </c>
      <c r="D2348" s="2">
        <v>5.8100000000000001E-3</v>
      </c>
      <c r="E2348" s="2">
        <v>0.49326140000000002</v>
      </c>
      <c r="F2348" s="2">
        <v>0.5160846</v>
      </c>
      <c r="H2348" s="8" t="str">
        <f t="shared" si="97"/>
        <v>0.50 (0.49 to 0.52)</v>
      </c>
    </row>
    <row r="2349" spans="1:8" x14ac:dyDescent="0.3">
      <c r="A2349" s="14" t="s">
        <v>69</v>
      </c>
      <c r="B2349" s="2">
        <v>4219</v>
      </c>
      <c r="C2349" s="2">
        <v>42.901297999999997</v>
      </c>
      <c r="D2349" s="2">
        <v>0.123473</v>
      </c>
      <c r="E2349" s="2">
        <v>42.658760700000002</v>
      </c>
      <c r="F2349" s="2">
        <v>43.143835500000002</v>
      </c>
      <c r="H2349" s="8" t="str">
        <f t="shared" si="97"/>
        <v>42.90 (42.66 to 43.14)</v>
      </c>
    </row>
    <row r="2353" spans="1:6" x14ac:dyDescent="0.3">
      <c r="A2353" s="1" t="s">
        <v>129</v>
      </c>
    </row>
    <row r="2355" spans="1:6" x14ac:dyDescent="0.3">
      <c r="A2355" s="1" t="s">
        <v>240</v>
      </c>
    </row>
    <row r="2356" spans="1:6" ht="17.25" thickBot="1" x14ac:dyDescent="0.35"/>
    <row r="2357" spans="1:6" ht="16.5" customHeight="1" x14ac:dyDescent="0.3">
      <c r="A2357" s="24" t="s">
        <v>75</v>
      </c>
      <c r="B2357" s="26"/>
    </row>
    <row r="2358" spans="1:6" ht="26.25" thickBot="1" x14ac:dyDescent="0.35">
      <c r="A2358" s="13" t="s">
        <v>76</v>
      </c>
      <c r="B2358" s="2">
        <v>25</v>
      </c>
    </row>
    <row r="2359" spans="1:6" ht="26.25" thickBot="1" x14ac:dyDescent="0.35">
      <c r="A2359" s="13" t="s">
        <v>77</v>
      </c>
      <c r="B2359" s="2">
        <v>294</v>
      </c>
    </row>
    <row r="2360" spans="1:6" ht="39" thickBot="1" x14ac:dyDescent="0.35">
      <c r="A2360" s="13" t="s">
        <v>78</v>
      </c>
      <c r="B2360" s="2">
        <v>454</v>
      </c>
    </row>
    <row r="2361" spans="1:6" ht="25.5" x14ac:dyDescent="0.3">
      <c r="A2361" s="14" t="s">
        <v>79</v>
      </c>
      <c r="B2361" s="2">
        <v>238151.478</v>
      </c>
    </row>
    <row r="2362" spans="1:6" ht="17.25" thickBot="1" x14ac:dyDescent="0.35"/>
    <row r="2363" spans="1:6" ht="33" customHeight="1" x14ac:dyDescent="0.3">
      <c r="A2363" s="24" t="s">
        <v>80</v>
      </c>
      <c r="B2363" s="26"/>
    </row>
    <row r="2364" spans="1:6" ht="33.75" thickBot="1" x14ac:dyDescent="0.35">
      <c r="A2364" s="13" t="s">
        <v>81</v>
      </c>
      <c r="B2364" s="2" t="s">
        <v>82</v>
      </c>
    </row>
    <row r="2365" spans="1:6" ht="25.5" x14ac:dyDescent="0.3">
      <c r="A2365" s="14" t="s">
        <v>83</v>
      </c>
      <c r="B2365" s="2" t="s">
        <v>84</v>
      </c>
    </row>
    <row r="2366" spans="1:6" ht="17.25" thickBot="1" x14ac:dyDescent="0.35"/>
    <row r="2367" spans="1:6" ht="16.5" customHeight="1" x14ac:dyDescent="0.3">
      <c r="A2367" s="24" t="s">
        <v>130</v>
      </c>
      <c r="B2367" s="26"/>
      <c r="C2367" s="26"/>
      <c r="D2367" s="26"/>
      <c r="E2367" s="26"/>
      <c r="F2367" s="26"/>
    </row>
    <row r="2368" spans="1:6" x14ac:dyDescent="0.3">
      <c r="A2368" s="25" t="s">
        <v>131</v>
      </c>
      <c r="B2368" s="27" t="s">
        <v>46</v>
      </c>
      <c r="C2368" s="27" t="s">
        <v>132</v>
      </c>
      <c r="D2368" s="3" t="s">
        <v>133</v>
      </c>
      <c r="E2368" s="27" t="s">
        <v>135</v>
      </c>
      <c r="F2368" s="27"/>
    </row>
    <row r="2369" spans="1:8" x14ac:dyDescent="0.3">
      <c r="A2369" s="25"/>
      <c r="B2369" s="27"/>
      <c r="C2369" s="27"/>
      <c r="D2369" s="3" t="s">
        <v>134</v>
      </c>
      <c r="E2369" s="27"/>
      <c r="F2369" s="27"/>
    </row>
    <row r="2370" spans="1:8" ht="17.25" thickBot="1" x14ac:dyDescent="0.35">
      <c r="A2370" s="13" t="s">
        <v>66</v>
      </c>
      <c r="B2370" s="2">
        <v>454</v>
      </c>
      <c r="C2370" s="2">
        <v>8.0612259999999996</v>
      </c>
      <c r="D2370" s="2">
        <v>2.5590999999999999E-2</v>
      </c>
      <c r="E2370" s="2">
        <v>8.0108414999999997</v>
      </c>
      <c r="F2370" s="2">
        <v>8.1116113999999993</v>
      </c>
      <c r="H2370" s="8" t="str">
        <f t="shared" ref="H2370:H2373" si="98">TEXT(C2370,"0.00")&amp;" ("&amp;TEXT(E2370,"0.00")&amp;" to "&amp;TEXT(F2370,"0.00")&amp;")"</f>
        <v>8.06 (8.01 to 8.11)</v>
      </c>
    </row>
    <row r="2371" spans="1:8" ht="17.25" thickBot="1" x14ac:dyDescent="0.35">
      <c r="A2371" s="13" t="s">
        <v>67</v>
      </c>
      <c r="B2371" s="2">
        <v>454</v>
      </c>
      <c r="C2371" s="2">
        <v>0.60538000000000003</v>
      </c>
      <c r="D2371" s="2">
        <v>2.9060000000000002E-3</v>
      </c>
      <c r="E2371" s="2">
        <v>0.59965800000000002</v>
      </c>
      <c r="F2371" s="2">
        <v>0.61110140000000002</v>
      </c>
      <c r="H2371" s="8" t="str">
        <f t="shared" si="98"/>
        <v>0.61 (0.60 to 0.61)</v>
      </c>
    </row>
    <row r="2372" spans="1:8" ht="17.25" thickBot="1" x14ac:dyDescent="0.35">
      <c r="A2372" s="13" t="s">
        <v>68</v>
      </c>
      <c r="B2372" s="2">
        <v>454</v>
      </c>
      <c r="C2372" s="2">
        <v>9.7082000000000002E-2</v>
      </c>
      <c r="D2372" s="2">
        <v>1.2434000000000001E-2</v>
      </c>
      <c r="E2372" s="2">
        <v>7.2601499999999999E-2</v>
      </c>
      <c r="F2372" s="2">
        <v>0.1215618</v>
      </c>
      <c r="H2372" s="8" t="str">
        <f t="shared" si="98"/>
        <v>0.10 (0.07 to 0.12)</v>
      </c>
    </row>
    <row r="2373" spans="1:8" x14ac:dyDescent="0.3">
      <c r="A2373" s="14" t="s">
        <v>69</v>
      </c>
      <c r="B2373" s="2">
        <v>454</v>
      </c>
      <c r="C2373" s="2">
        <v>24.106282</v>
      </c>
      <c r="D2373" s="2">
        <v>0.104252</v>
      </c>
      <c r="E2373" s="2">
        <v>23.901028100000001</v>
      </c>
      <c r="F2373" s="2">
        <v>24.3115357</v>
      </c>
      <c r="H2373" s="8" t="str">
        <f t="shared" si="98"/>
        <v>24.11 (23.90 to 24.31)</v>
      </c>
    </row>
    <row r="2377" spans="1:8" x14ac:dyDescent="0.3">
      <c r="A2377" s="1" t="s">
        <v>129</v>
      </c>
    </row>
    <row r="2379" spans="1:8" x14ac:dyDescent="0.3">
      <c r="A2379" s="1" t="s">
        <v>241</v>
      </c>
    </row>
    <row r="2380" spans="1:8" ht="17.25" thickBot="1" x14ac:dyDescent="0.35"/>
    <row r="2381" spans="1:8" ht="16.5" customHeight="1" x14ac:dyDescent="0.3">
      <c r="A2381" s="24" t="s">
        <v>75</v>
      </c>
      <c r="B2381" s="26"/>
    </row>
    <row r="2382" spans="1:8" ht="26.25" thickBot="1" x14ac:dyDescent="0.35">
      <c r="A2382" s="13" t="s">
        <v>76</v>
      </c>
      <c r="B2382" s="2">
        <v>25</v>
      </c>
    </row>
    <row r="2383" spans="1:8" ht="26.25" thickBot="1" x14ac:dyDescent="0.35">
      <c r="A2383" s="13" t="s">
        <v>77</v>
      </c>
      <c r="B2383" s="2">
        <v>573</v>
      </c>
    </row>
    <row r="2384" spans="1:8" ht="39" thickBot="1" x14ac:dyDescent="0.35">
      <c r="A2384" s="13" t="s">
        <v>78</v>
      </c>
      <c r="B2384" s="2">
        <v>4525</v>
      </c>
    </row>
    <row r="2385" spans="1:8" ht="25.5" x14ac:dyDescent="0.3">
      <c r="A2385" s="14" t="s">
        <v>79</v>
      </c>
      <c r="B2385" s="2">
        <v>2158083.33</v>
      </c>
    </row>
    <row r="2386" spans="1:8" ht="17.25" thickBot="1" x14ac:dyDescent="0.35"/>
    <row r="2387" spans="1:8" ht="33" customHeight="1" x14ac:dyDescent="0.3">
      <c r="A2387" s="24" t="s">
        <v>80</v>
      </c>
      <c r="B2387" s="26"/>
    </row>
    <row r="2388" spans="1:8" ht="33.75" thickBot="1" x14ac:dyDescent="0.35">
      <c r="A2388" s="13" t="s">
        <v>81</v>
      </c>
      <c r="B2388" s="2" t="s">
        <v>82</v>
      </c>
    </row>
    <row r="2389" spans="1:8" ht="25.5" x14ac:dyDescent="0.3">
      <c r="A2389" s="14" t="s">
        <v>83</v>
      </c>
      <c r="B2389" s="2" t="s">
        <v>84</v>
      </c>
    </row>
    <row r="2390" spans="1:8" ht="17.25" thickBot="1" x14ac:dyDescent="0.35"/>
    <row r="2391" spans="1:8" ht="16.5" customHeight="1" x14ac:dyDescent="0.3">
      <c r="A2391" s="24" t="s">
        <v>130</v>
      </c>
      <c r="B2391" s="26"/>
      <c r="C2391" s="26"/>
      <c r="D2391" s="26"/>
      <c r="E2391" s="26"/>
      <c r="F2391" s="26"/>
    </row>
    <row r="2392" spans="1:8" x14ac:dyDescent="0.3">
      <c r="A2392" s="25" t="s">
        <v>131</v>
      </c>
      <c r="B2392" s="27" t="s">
        <v>46</v>
      </c>
      <c r="C2392" s="27" t="s">
        <v>132</v>
      </c>
      <c r="D2392" s="3" t="s">
        <v>133</v>
      </c>
      <c r="E2392" s="27" t="s">
        <v>135</v>
      </c>
      <c r="F2392" s="27"/>
    </row>
    <row r="2393" spans="1:8" x14ac:dyDescent="0.3">
      <c r="A2393" s="25"/>
      <c r="B2393" s="27"/>
      <c r="C2393" s="27"/>
      <c r="D2393" s="3" t="s">
        <v>134</v>
      </c>
      <c r="E2393" s="27"/>
      <c r="F2393" s="27"/>
    </row>
    <row r="2394" spans="1:8" ht="17.25" thickBot="1" x14ac:dyDescent="0.35">
      <c r="A2394" s="13" t="s">
        <v>66</v>
      </c>
      <c r="B2394" s="2">
        <v>4525</v>
      </c>
      <c r="C2394" s="2">
        <v>8.3398529999999997</v>
      </c>
      <c r="D2394" s="2">
        <v>1.0919999999999999E-2</v>
      </c>
      <c r="E2394" s="2">
        <v>8.3184038000000005</v>
      </c>
      <c r="F2394" s="2">
        <v>8.3613032</v>
      </c>
      <c r="H2394" s="8" t="str">
        <f t="shared" ref="H2394:H2397" si="99">TEXT(C2394,"0.00")&amp;" ("&amp;TEXT(E2394,"0.00")&amp;" to "&amp;TEXT(F2394,"0.00")&amp;")"</f>
        <v>8.34 (8.32 to 8.36)</v>
      </c>
    </row>
    <row r="2395" spans="1:8" ht="17.25" thickBot="1" x14ac:dyDescent="0.35">
      <c r="A2395" s="13" t="s">
        <v>67</v>
      </c>
      <c r="B2395" s="2">
        <v>4525</v>
      </c>
      <c r="C2395" s="2">
        <v>0.63551400000000002</v>
      </c>
      <c r="D2395" s="2">
        <v>1.42E-3</v>
      </c>
      <c r="E2395" s="2">
        <v>0.63272349999999999</v>
      </c>
      <c r="F2395" s="2">
        <v>0.63830399999999998</v>
      </c>
      <c r="H2395" s="8" t="str">
        <f t="shared" si="99"/>
        <v>0.64 (0.63 to 0.64)</v>
      </c>
    </row>
    <row r="2396" spans="1:8" ht="17.25" thickBot="1" x14ac:dyDescent="0.35">
      <c r="A2396" s="13" t="s">
        <v>68</v>
      </c>
      <c r="B2396" s="2">
        <v>4525</v>
      </c>
      <c r="C2396" s="2">
        <v>0.222249</v>
      </c>
      <c r="D2396" s="2">
        <v>5.1850000000000004E-3</v>
      </c>
      <c r="E2396" s="2">
        <v>0.21206410000000001</v>
      </c>
      <c r="F2396" s="2">
        <v>0.2324331</v>
      </c>
      <c r="H2396" s="8" t="str">
        <f t="shared" si="99"/>
        <v>0.22 (0.21 to 0.23)</v>
      </c>
    </row>
    <row r="2397" spans="1:8" x14ac:dyDescent="0.3">
      <c r="A2397" s="14" t="s">
        <v>69</v>
      </c>
      <c r="B2397" s="2">
        <v>4525</v>
      </c>
      <c r="C2397" s="2">
        <v>30.157330999999999</v>
      </c>
      <c r="D2397" s="2">
        <v>5.8091999999999998E-2</v>
      </c>
      <c r="E2397" s="2">
        <v>30.043221599999999</v>
      </c>
      <c r="F2397" s="2">
        <v>30.2714414</v>
      </c>
      <c r="H2397" s="8" t="str">
        <f t="shared" si="99"/>
        <v>30.16 (30.04 to 30.27)</v>
      </c>
    </row>
    <row r="2401" spans="1:6" x14ac:dyDescent="0.3">
      <c r="A2401" s="1" t="s">
        <v>129</v>
      </c>
    </row>
    <row r="2403" spans="1:6" x14ac:dyDescent="0.3">
      <c r="A2403" s="1" t="s">
        <v>242</v>
      </c>
    </row>
    <row r="2404" spans="1:6" ht="17.25" thickBot="1" x14ac:dyDescent="0.35"/>
    <row r="2405" spans="1:6" ht="16.5" customHeight="1" x14ac:dyDescent="0.3">
      <c r="A2405" s="24" t="s">
        <v>75</v>
      </c>
      <c r="B2405" s="26"/>
    </row>
    <row r="2406" spans="1:6" ht="26.25" thickBot="1" x14ac:dyDescent="0.35">
      <c r="A2406" s="13" t="s">
        <v>76</v>
      </c>
      <c r="B2406" s="2">
        <v>25</v>
      </c>
    </row>
    <row r="2407" spans="1:6" ht="26.25" thickBot="1" x14ac:dyDescent="0.35">
      <c r="A2407" s="13" t="s">
        <v>77</v>
      </c>
      <c r="B2407" s="2">
        <v>570</v>
      </c>
    </row>
    <row r="2408" spans="1:6" ht="39" thickBot="1" x14ac:dyDescent="0.35">
      <c r="A2408" s="13" t="s">
        <v>78</v>
      </c>
      <c r="B2408" s="2">
        <v>2758</v>
      </c>
    </row>
    <row r="2409" spans="1:6" ht="25.5" x14ac:dyDescent="0.3">
      <c r="A2409" s="14" t="s">
        <v>79</v>
      </c>
      <c r="B2409" s="2">
        <v>1260265.81</v>
      </c>
    </row>
    <row r="2410" spans="1:6" ht="17.25" thickBot="1" x14ac:dyDescent="0.35"/>
    <row r="2411" spans="1:6" ht="33" customHeight="1" x14ac:dyDescent="0.3">
      <c r="A2411" s="24" t="s">
        <v>80</v>
      </c>
      <c r="B2411" s="26"/>
    </row>
    <row r="2412" spans="1:6" ht="33.75" thickBot="1" x14ac:dyDescent="0.35">
      <c r="A2412" s="13" t="s">
        <v>81</v>
      </c>
      <c r="B2412" s="2" t="s">
        <v>82</v>
      </c>
    </row>
    <row r="2413" spans="1:6" ht="25.5" x14ac:dyDescent="0.3">
      <c r="A2413" s="14" t="s">
        <v>83</v>
      </c>
      <c r="B2413" s="2" t="s">
        <v>84</v>
      </c>
    </row>
    <row r="2414" spans="1:6" ht="17.25" thickBot="1" x14ac:dyDescent="0.35"/>
    <row r="2415" spans="1:6" ht="16.5" customHeight="1" x14ac:dyDescent="0.3">
      <c r="A2415" s="24" t="s">
        <v>130</v>
      </c>
      <c r="B2415" s="26"/>
      <c r="C2415" s="26"/>
      <c r="D2415" s="26"/>
      <c r="E2415" s="26"/>
      <c r="F2415" s="26"/>
    </row>
    <row r="2416" spans="1:6" x14ac:dyDescent="0.3">
      <c r="A2416" s="25" t="s">
        <v>131</v>
      </c>
      <c r="B2416" s="27" t="s">
        <v>46</v>
      </c>
      <c r="C2416" s="27" t="s">
        <v>132</v>
      </c>
      <c r="D2416" s="3" t="s">
        <v>133</v>
      </c>
      <c r="E2416" s="27" t="s">
        <v>135</v>
      </c>
      <c r="F2416" s="27"/>
    </row>
    <row r="2417" spans="1:8" x14ac:dyDescent="0.3">
      <c r="A2417" s="25"/>
      <c r="B2417" s="27"/>
      <c r="C2417" s="27"/>
      <c r="D2417" s="3" t="s">
        <v>134</v>
      </c>
      <c r="E2417" s="27"/>
      <c r="F2417" s="27"/>
    </row>
    <row r="2418" spans="1:8" ht="17.25" thickBot="1" x14ac:dyDescent="0.35">
      <c r="A2418" s="13" t="s">
        <v>66</v>
      </c>
      <c r="B2418" s="2">
        <v>2758</v>
      </c>
      <c r="C2418" s="2">
        <v>8.6585599999999996</v>
      </c>
      <c r="D2418" s="2">
        <v>1.5100000000000001E-2</v>
      </c>
      <c r="E2418" s="2">
        <v>8.6288993000000005</v>
      </c>
      <c r="F2418" s="2">
        <v>8.6882213000000004</v>
      </c>
      <c r="H2418" s="8" t="str">
        <f t="shared" ref="H2418:H2421" si="100">TEXT(C2418,"0.00")&amp;" ("&amp;TEXT(E2418,"0.00")&amp;" to "&amp;TEXT(F2418,"0.00")&amp;")"</f>
        <v>8.66 (8.63 to 8.69)</v>
      </c>
    </row>
    <row r="2419" spans="1:8" ht="17.25" thickBot="1" x14ac:dyDescent="0.35">
      <c r="A2419" s="13" t="s">
        <v>67</v>
      </c>
      <c r="B2419" s="2">
        <v>2758</v>
      </c>
      <c r="C2419" s="2">
        <v>0.66746300000000003</v>
      </c>
      <c r="D2419" s="2">
        <v>1.7700000000000001E-3</v>
      </c>
      <c r="E2419" s="2">
        <v>0.66398670000000004</v>
      </c>
      <c r="F2419" s="2">
        <v>0.6709387</v>
      </c>
      <c r="H2419" s="8" t="str">
        <f t="shared" si="100"/>
        <v>0.67 (0.66 to 0.67)</v>
      </c>
    </row>
    <row r="2420" spans="1:8" ht="17.25" thickBot="1" x14ac:dyDescent="0.35">
      <c r="A2420" s="13" t="s">
        <v>68</v>
      </c>
      <c r="B2420" s="2">
        <v>2758</v>
      </c>
      <c r="C2420" s="2">
        <v>0.38516600000000001</v>
      </c>
      <c r="D2420" s="2">
        <v>7.169E-3</v>
      </c>
      <c r="E2420" s="2">
        <v>0.37108370000000002</v>
      </c>
      <c r="F2420" s="2">
        <v>0.3992484</v>
      </c>
      <c r="H2420" s="8" t="str">
        <f t="shared" si="100"/>
        <v>0.39 (0.37 to 0.40)</v>
      </c>
    </row>
    <row r="2421" spans="1:8" x14ac:dyDescent="0.3">
      <c r="A2421" s="14" t="s">
        <v>69</v>
      </c>
      <c r="B2421" s="2">
        <v>2758</v>
      </c>
      <c r="C2421" s="2">
        <v>35.841278000000003</v>
      </c>
      <c r="D2421" s="2">
        <v>8.1083000000000002E-2</v>
      </c>
      <c r="E2421" s="2">
        <v>35.682004499999998</v>
      </c>
      <c r="F2421" s="2">
        <v>36.000551299999998</v>
      </c>
      <c r="H2421" s="8" t="str">
        <f t="shared" si="100"/>
        <v>35.84 (35.68 to 36.00)</v>
      </c>
    </row>
    <row r="2425" spans="1:8" x14ac:dyDescent="0.3">
      <c r="A2425" s="1" t="s">
        <v>129</v>
      </c>
    </row>
    <row r="2427" spans="1:8" x14ac:dyDescent="0.3">
      <c r="A2427" s="1" t="s">
        <v>243</v>
      </c>
    </row>
    <row r="2428" spans="1:8" ht="17.25" thickBot="1" x14ac:dyDescent="0.35"/>
    <row r="2429" spans="1:8" ht="16.5" customHeight="1" x14ac:dyDescent="0.3">
      <c r="A2429" s="24" t="s">
        <v>75</v>
      </c>
      <c r="B2429" s="26"/>
    </row>
    <row r="2430" spans="1:8" ht="26.25" thickBot="1" x14ac:dyDescent="0.35">
      <c r="A2430" s="13" t="s">
        <v>76</v>
      </c>
      <c r="B2430" s="2">
        <v>25</v>
      </c>
    </row>
    <row r="2431" spans="1:8" ht="26.25" thickBot="1" x14ac:dyDescent="0.35">
      <c r="A2431" s="13" t="s">
        <v>77</v>
      </c>
      <c r="B2431" s="2">
        <v>574</v>
      </c>
    </row>
    <row r="2432" spans="1:8" ht="39" thickBot="1" x14ac:dyDescent="0.35">
      <c r="A2432" s="13" t="s">
        <v>78</v>
      </c>
      <c r="B2432" s="2">
        <v>3738</v>
      </c>
    </row>
    <row r="2433" spans="1:8" ht="25.5" x14ac:dyDescent="0.3">
      <c r="A2433" s="14" t="s">
        <v>79</v>
      </c>
      <c r="B2433" s="2">
        <v>1738028.4</v>
      </c>
    </row>
    <row r="2434" spans="1:8" ht="17.25" thickBot="1" x14ac:dyDescent="0.35"/>
    <row r="2435" spans="1:8" ht="33" customHeight="1" x14ac:dyDescent="0.3">
      <c r="A2435" s="24" t="s">
        <v>80</v>
      </c>
      <c r="B2435" s="26"/>
    </row>
    <row r="2436" spans="1:8" ht="33.75" thickBot="1" x14ac:dyDescent="0.35">
      <c r="A2436" s="13" t="s">
        <v>81</v>
      </c>
      <c r="B2436" s="2" t="s">
        <v>82</v>
      </c>
    </row>
    <row r="2437" spans="1:8" ht="25.5" x14ac:dyDescent="0.3">
      <c r="A2437" s="14" t="s">
        <v>83</v>
      </c>
      <c r="B2437" s="2" t="s">
        <v>84</v>
      </c>
    </row>
    <row r="2438" spans="1:8" ht="17.25" thickBot="1" x14ac:dyDescent="0.35"/>
    <row r="2439" spans="1:8" ht="16.5" customHeight="1" x14ac:dyDescent="0.3">
      <c r="A2439" s="24" t="s">
        <v>130</v>
      </c>
      <c r="B2439" s="26"/>
      <c r="C2439" s="26"/>
      <c r="D2439" s="26"/>
      <c r="E2439" s="26"/>
      <c r="F2439" s="26"/>
    </row>
    <row r="2440" spans="1:8" x14ac:dyDescent="0.3">
      <c r="A2440" s="25" t="s">
        <v>131</v>
      </c>
      <c r="B2440" s="27" t="s">
        <v>46</v>
      </c>
      <c r="C2440" s="27" t="s">
        <v>132</v>
      </c>
      <c r="D2440" s="3" t="s">
        <v>133</v>
      </c>
      <c r="E2440" s="27" t="s">
        <v>135</v>
      </c>
      <c r="F2440" s="27"/>
    </row>
    <row r="2441" spans="1:8" x14ac:dyDescent="0.3">
      <c r="A2441" s="25"/>
      <c r="B2441" s="27"/>
      <c r="C2441" s="27"/>
      <c r="D2441" s="3" t="s">
        <v>134</v>
      </c>
      <c r="E2441" s="27"/>
      <c r="F2441" s="27"/>
    </row>
    <row r="2442" spans="1:8" ht="17.25" thickBot="1" x14ac:dyDescent="0.35">
      <c r="A2442" s="13" t="s">
        <v>66</v>
      </c>
      <c r="B2442" s="2">
        <v>3738</v>
      </c>
      <c r="C2442" s="2">
        <v>8.9204019999999993</v>
      </c>
      <c r="D2442" s="2">
        <v>1.2992999999999999E-2</v>
      </c>
      <c r="E2442" s="2">
        <v>8.8948795</v>
      </c>
      <c r="F2442" s="2">
        <v>8.9459253000000007</v>
      </c>
      <c r="H2442" s="8" t="str">
        <f t="shared" ref="H2442:H2445" si="101">TEXT(C2442,"0.00")&amp;" ("&amp;TEXT(E2442,"0.00")&amp;" to "&amp;TEXT(F2442,"0.00")&amp;")"</f>
        <v>8.92 (8.89 to 8.95)</v>
      </c>
    </row>
    <row r="2443" spans="1:8" ht="17.25" thickBot="1" x14ac:dyDescent="0.35">
      <c r="A2443" s="13" t="s">
        <v>67</v>
      </c>
      <c r="B2443" s="2">
        <v>3738</v>
      </c>
      <c r="C2443" s="2">
        <v>0.68919200000000003</v>
      </c>
      <c r="D2443" s="2">
        <v>1.4059999999999999E-3</v>
      </c>
      <c r="E2443" s="2">
        <v>0.68643080000000001</v>
      </c>
      <c r="F2443" s="2">
        <v>0.69195249999999997</v>
      </c>
      <c r="H2443" s="8" t="str">
        <f t="shared" si="101"/>
        <v>0.69 (0.69 to 0.69)</v>
      </c>
    </row>
    <row r="2444" spans="1:8" ht="17.25" thickBot="1" x14ac:dyDescent="0.35">
      <c r="A2444" s="13" t="s">
        <v>68</v>
      </c>
      <c r="B2444" s="2">
        <v>3738</v>
      </c>
      <c r="C2444" s="2">
        <v>0.51284700000000005</v>
      </c>
      <c r="D2444" s="2">
        <v>6.2979999999999998E-3</v>
      </c>
      <c r="E2444" s="2">
        <v>0.50047549999999996</v>
      </c>
      <c r="F2444" s="2">
        <v>0.52521899999999999</v>
      </c>
      <c r="H2444" s="8" t="str">
        <f t="shared" si="101"/>
        <v>0.51 (0.50 to 0.53)</v>
      </c>
    </row>
    <row r="2445" spans="1:8" x14ac:dyDescent="0.3">
      <c r="A2445" s="14" t="s">
        <v>69</v>
      </c>
      <c r="B2445" s="2">
        <v>3738</v>
      </c>
      <c r="C2445" s="2">
        <v>43.104773000000002</v>
      </c>
      <c r="D2445" s="2">
        <v>0.120062</v>
      </c>
      <c r="E2445" s="2">
        <v>42.868936599999998</v>
      </c>
      <c r="F2445" s="2">
        <v>43.340609700000002</v>
      </c>
      <c r="H2445" s="8" t="str">
        <f t="shared" si="101"/>
        <v>43.10 (42.87 to 43.34)</v>
      </c>
    </row>
    <row r="2449" spans="1:6" x14ac:dyDescent="0.3">
      <c r="A2449" s="1" t="s">
        <v>129</v>
      </c>
    </row>
    <row r="2451" spans="1:6" x14ac:dyDescent="0.3">
      <c r="A2451" s="1" t="s">
        <v>244</v>
      </c>
    </row>
    <row r="2452" spans="1:6" ht="17.25" thickBot="1" x14ac:dyDescent="0.35"/>
    <row r="2453" spans="1:6" ht="16.5" customHeight="1" x14ac:dyDescent="0.3">
      <c r="A2453" s="24" t="s">
        <v>75</v>
      </c>
      <c r="B2453" s="26"/>
    </row>
    <row r="2454" spans="1:6" ht="26.25" thickBot="1" x14ac:dyDescent="0.35">
      <c r="A2454" s="13" t="s">
        <v>76</v>
      </c>
      <c r="B2454" s="2">
        <v>51</v>
      </c>
    </row>
    <row r="2455" spans="1:6" ht="26.25" thickBot="1" x14ac:dyDescent="0.35">
      <c r="A2455" s="13" t="s">
        <v>77</v>
      </c>
      <c r="B2455" s="2">
        <v>322</v>
      </c>
    </row>
    <row r="2456" spans="1:6" ht="39" thickBot="1" x14ac:dyDescent="0.35">
      <c r="A2456" s="13" t="s">
        <v>78</v>
      </c>
      <c r="B2456" s="2">
        <v>531</v>
      </c>
    </row>
    <row r="2457" spans="1:6" ht="25.5" x14ac:dyDescent="0.3">
      <c r="A2457" s="14" t="s">
        <v>79</v>
      </c>
      <c r="B2457" s="2">
        <v>252857.476</v>
      </c>
    </row>
    <row r="2458" spans="1:6" ht="17.25" thickBot="1" x14ac:dyDescent="0.35"/>
    <row r="2459" spans="1:6" ht="33" customHeight="1" x14ac:dyDescent="0.3">
      <c r="A2459" s="24" t="s">
        <v>80</v>
      </c>
      <c r="B2459" s="26"/>
    </row>
    <row r="2460" spans="1:6" ht="33.75" thickBot="1" x14ac:dyDescent="0.35">
      <c r="A2460" s="13" t="s">
        <v>81</v>
      </c>
      <c r="B2460" s="2" t="s">
        <v>82</v>
      </c>
    </row>
    <row r="2461" spans="1:6" ht="25.5" x14ac:dyDescent="0.3">
      <c r="A2461" s="14" t="s">
        <v>83</v>
      </c>
      <c r="B2461" s="2" t="s">
        <v>84</v>
      </c>
    </row>
    <row r="2462" spans="1:6" ht="17.25" thickBot="1" x14ac:dyDescent="0.35"/>
    <row r="2463" spans="1:6" ht="16.5" customHeight="1" x14ac:dyDescent="0.3">
      <c r="A2463" s="24" t="s">
        <v>130</v>
      </c>
      <c r="B2463" s="26"/>
      <c r="C2463" s="26"/>
      <c r="D2463" s="26"/>
      <c r="E2463" s="26"/>
      <c r="F2463" s="26"/>
    </row>
    <row r="2464" spans="1:6" x14ac:dyDescent="0.3">
      <c r="A2464" s="25" t="s">
        <v>131</v>
      </c>
      <c r="B2464" s="27" t="s">
        <v>46</v>
      </c>
      <c r="C2464" s="27" t="s">
        <v>132</v>
      </c>
      <c r="D2464" s="3" t="s">
        <v>133</v>
      </c>
      <c r="E2464" s="27" t="s">
        <v>135</v>
      </c>
      <c r="F2464" s="27"/>
    </row>
    <row r="2465" spans="1:8" x14ac:dyDescent="0.3">
      <c r="A2465" s="25"/>
      <c r="B2465" s="27"/>
      <c r="C2465" s="27"/>
      <c r="D2465" s="3" t="s">
        <v>134</v>
      </c>
      <c r="E2465" s="27"/>
      <c r="F2465" s="27"/>
    </row>
    <row r="2466" spans="1:8" ht="17.25" thickBot="1" x14ac:dyDescent="0.35">
      <c r="A2466" s="13" t="s">
        <v>66</v>
      </c>
      <c r="B2466" s="2">
        <v>531</v>
      </c>
      <c r="C2466" s="2">
        <v>8.1091119999999997</v>
      </c>
      <c r="D2466" s="2">
        <v>2.1908E-2</v>
      </c>
      <c r="E2466" s="2">
        <v>8.0659801000000009</v>
      </c>
      <c r="F2466" s="2">
        <v>8.1522445999999995</v>
      </c>
      <c r="H2466" s="8" t="str">
        <f t="shared" ref="H2466:H2469" si="102">TEXT(C2466,"0.00")&amp;" ("&amp;TEXT(E2466,"0.00")&amp;" to "&amp;TEXT(F2466,"0.00")&amp;")"</f>
        <v>8.11 (8.07 to 8.15)</v>
      </c>
    </row>
    <row r="2467" spans="1:8" ht="17.25" thickBot="1" x14ac:dyDescent="0.35">
      <c r="A2467" s="13" t="s">
        <v>67</v>
      </c>
      <c r="B2467" s="2">
        <v>531</v>
      </c>
      <c r="C2467" s="2">
        <v>0.61261500000000002</v>
      </c>
      <c r="D2467" s="2">
        <v>2.5699999999999998E-3</v>
      </c>
      <c r="E2467" s="2">
        <v>0.6075545</v>
      </c>
      <c r="F2467" s="2">
        <v>0.61767499999999997</v>
      </c>
      <c r="H2467" s="8" t="str">
        <f t="shared" si="102"/>
        <v>0.61 (0.61 to 0.62)</v>
      </c>
    </row>
    <row r="2468" spans="1:8" ht="17.25" thickBot="1" x14ac:dyDescent="0.35">
      <c r="A2468" s="13" t="s">
        <v>68</v>
      </c>
      <c r="B2468" s="2">
        <v>531</v>
      </c>
      <c r="C2468" s="2">
        <v>0.105309</v>
      </c>
      <c r="D2468" s="2">
        <v>1.1046E-2</v>
      </c>
      <c r="E2468" s="2">
        <v>8.3561800000000006E-2</v>
      </c>
      <c r="F2468" s="2">
        <v>0.12705620000000001</v>
      </c>
      <c r="H2468" s="8" t="str">
        <f t="shared" si="102"/>
        <v>0.11 (0.08 to 0.13)</v>
      </c>
    </row>
    <row r="2469" spans="1:8" x14ac:dyDescent="0.3">
      <c r="A2469" s="14" t="s">
        <v>69</v>
      </c>
      <c r="B2469" s="2">
        <v>531</v>
      </c>
      <c r="C2469" s="2">
        <v>24.015567999999998</v>
      </c>
      <c r="D2469" s="2">
        <v>0.108622</v>
      </c>
      <c r="E2469" s="2">
        <v>23.801717799999999</v>
      </c>
      <c r="F2469" s="2">
        <v>24.2294184</v>
      </c>
      <c r="H2469" s="8" t="str">
        <f t="shared" si="102"/>
        <v>24.02 (23.80 to 24.23)</v>
      </c>
    </row>
    <row r="2473" spans="1:8" x14ac:dyDescent="0.3">
      <c r="A2473" s="1" t="s">
        <v>129</v>
      </c>
    </row>
    <row r="2475" spans="1:8" x14ac:dyDescent="0.3">
      <c r="A2475" s="1" t="s">
        <v>245</v>
      </c>
    </row>
    <row r="2476" spans="1:8" ht="17.25" thickBot="1" x14ac:dyDescent="0.35"/>
    <row r="2477" spans="1:8" ht="16.5" customHeight="1" x14ac:dyDescent="0.3">
      <c r="A2477" s="24" t="s">
        <v>75</v>
      </c>
      <c r="B2477" s="26"/>
    </row>
    <row r="2478" spans="1:8" ht="26.25" thickBot="1" x14ac:dyDescent="0.35">
      <c r="A2478" s="13" t="s">
        <v>76</v>
      </c>
      <c r="B2478" s="2">
        <v>54</v>
      </c>
    </row>
    <row r="2479" spans="1:8" ht="26.25" thickBot="1" x14ac:dyDescent="0.35">
      <c r="A2479" s="13" t="s">
        <v>77</v>
      </c>
      <c r="B2479" s="2">
        <v>573</v>
      </c>
    </row>
    <row r="2480" spans="1:8" ht="39" thickBot="1" x14ac:dyDescent="0.35">
      <c r="A2480" s="13" t="s">
        <v>78</v>
      </c>
      <c r="B2480" s="2">
        <v>5470</v>
      </c>
    </row>
    <row r="2481" spans="1:8" ht="25.5" x14ac:dyDescent="0.3">
      <c r="A2481" s="14" t="s">
        <v>79</v>
      </c>
      <c r="B2481" s="2">
        <v>2435608.91</v>
      </c>
    </row>
    <row r="2482" spans="1:8" ht="17.25" thickBot="1" x14ac:dyDescent="0.35"/>
    <row r="2483" spans="1:8" ht="33" customHeight="1" x14ac:dyDescent="0.3">
      <c r="A2483" s="24" t="s">
        <v>80</v>
      </c>
      <c r="B2483" s="26"/>
    </row>
    <row r="2484" spans="1:8" ht="33.75" thickBot="1" x14ac:dyDescent="0.35">
      <c r="A2484" s="13" t="s">
        <v>81</v>
      </c>
      <c r="B2484" s="2" t="s">
        <v>82</v>
      </c>
    </row>
    <row r="2485" spans="1:8" ht="25.5" x14ac:dyDescent="0.3">
      <c r="A2485" s="14" t="s">
        <v>83</v>
      </c>
      <c r="B2485" s="2" t="s">
        <v>84</v>
      </c>
    </row>
    <row r="2486" spans="1:8" ht="17.25" thickBot="1" x14ac:dyDescent="0.35"/>
    <row r="2487" spans="1:8" ht="16.5" customHeight="1" x14ac:dyDescent="0.3">
      <c r="A2487" s="24" t="s">
        <v>130</v>
      </c>
      <c r="B2487" s="26"/>
      <c r="C2487" s="26"/>
      <c r="D2487" s="26"/>
      <c r="E2487" s="26"/>
      <c r="F2487" s="26"/>
    </row>
    <row r="2488" spans="1:8" x14ac:dyDescent="0.3">
      <c r="A2488" s="25" t="s">
        <v>131</v>
      </c>
      <c r="B2488" s="27" t="s">
        <v>46</v>
      </c>
      <c r="C2488" s="27" t="s">
        <v>132</v>
      </c>
      <c r="D2488" s="3" t="s">
        <v>133</v>
      </c>
      <c r="E2488" s="27" t="s">
        <v>135</v>
      </c>
      <c r="F2488" s="27"/>
    </row>
    <row r="2489" spans="1:8" x14ac:dyDescent="0.3">
      <c r="A2489" s="25"/>
      <c r="B2489" s="27"/>
      <c r="C2489" s="27"/>
      <c r="D2489" s="3" t="s">
        <v>134</v>
      </c>
      <c r="E2489" s="27"/>
      <c r="F2489" s="27"/>
    </row>
    <row r="2490" spans="1:8" ht="17.25" thickBot="1" x14ac:dyDescent="0.35">
      <c r="A2490" s="13" t="s">
        <v>66</v>
      </c>
      <c r="B2490" s="2">
        <v>5470</v>
      </c>
      <c r="C2490" s="2">
        <v>8.3618199999999998</v>
      </c>
      <c r="D2490" s="2">
        <v>1.0101000000000001E-2</v>
      </c>
      <c r="E2490" s="2">
        <v>8.3419757000000008</v>
      </c>
      <c r="F2490" s="2">
        <v>8.3816646000000006</v>
      </c>
      <c r="H2490" s="8" t="str">
        <f t="shared" ref="H2490:H2493" si="103">TEXT(C2490,"0.00")&amp;" ("&amp;TEXT(E2490,"0.00")&amp;" to "&amp;TEXT(F2490,"0.00")&amp;")"</f>
        <v>8.36 (8.34 to 8.38)</v>
      </c>
    </row>
    <row r="2491" spans="1:8" ht="17.25" thickBot="1" x14ac:dyDescent="0.35">
      <c r="A2491" s="13" t="s">
        <v>67</v>
      </c>
      <c r="B2491" s="2">
        <v>5470</v>
      </c>
      <c r="C2491" s="2">
        <v>0.63883500000000004</v>
      </c>
      <c r="D2491" s="2">
        <v>1.3029999999999999E-3</v>
      </c>
      <c r="E2491" s="2">
        <v>0.63627590000000001</v>
      </c>
      <c r="F2491" s="2">
        <v>0.64139380000000001</v>
      </c>
      <c r="H2491" s="8" t="str">
        <f t="shared" si="103"/>
        <v>0.64 (0.64 to 0.64)</v>
      </c>
    </row>
    <row r="2492" spans="1:8" ht="17.25" thickBot="1" x14ac:dyDescent="0.35">
      <c r="A2492" s="13" t="s">
        <v>68</v>
      </c>
      <c r="B2492" s="2">
        <v>5470</v>
      </c>
      <c r="C2492" s="2">
        <v>0.22959099999999999</v>
      </c>
      <c r="D2492" s="2">
        <v>4.9480000000000001E-3</v>
      </c>
      <c r="E2492" s="2">
        <v>0.21987129999999999</v>
      </c>
      <c r="F2492" s="2">
        <v>0.2393112</v>
      </c>
      <c r="H2492" s="8" t="str">
        <f t="shared" si="103"/>
        <v>0.23 (0.22 to 0.24)</v>
      </c>
    </row>
    <row r="2493" spans="1:8" x14ac:dyDescent="0.3">
      <c r="A2493" s="14" t="s">
        <v>69</v>
      </c>
      <c r="B2493" s="2">
        <v>5470</v>
      </c>
      <c r="C2493" s="2">
        <v>30.181539999999998</v>
      </c>
      <c r="D2493" s="2">
        <v>5.8094E-2</v>
      </c>
      <c r="E2493" s="2">
        <v>30.0674116</v>
      </c>
      <c r="F2493" s="2">
        <v>30.295669</v>
      </c>
      <c r="H2493" s="8" t="str">
        <f t="shared" si="103"/>
        <v>30.18 (30.07 to 30.30)</v>
      </c>
    </row>
    <row r="2497" spans="1:6" x14ac:dyDescent="0.3">
      <c r="A2497" s="1" t="s">
        <v>129</v>
      </c>
    </row>
    <row r="2499" spans="1:6" x14ac:dyDescent="0.3">
      <c r="A2499" s="1" t="s">
        <v>246</v>
      </c>
    </row>
    <row r="2500" spans="1:6" ht="17.25" thickBot="1" x14ac:dyDescent="0.35"/>
    <row r="2501" spans="1:6" ht="16.5" customHeight="1" x14ac:dyDescent="0.3">
      <c r="A2501" s="24" t="s">
        <v>75</v>
      </c>
      <c r="B2501" s="26"/>
    </row>
    <row r="2502" spans="1:6" ht="26.25" thickBot="1" x14ac:dyDescent="0.35">
      <c r="A2502" s="13" t="s">
        <v>76</v>
      </c>
      <c r="B2502" s="2">
        <v>54</v>
      </c>
    </row>
    <row r="2503" spans="1:6" ht="26.25" thickBot="1" x14ac:dyDescent="0.35">
      <c r="A2503" s="13" t="s">
        <v>77</v>
      </c>
      <c r="B2503" s="2">
        <v>571</v>
      </c>
    </row>
    <row r="2504" spans="1:6" ht="39" thickBot="1" x14ac:dyDescent="0.35">
      <c r="A2504" s="13" t="s">
        <v>78</v>
      </c>
      <c r="B2504" s="2">
        <v>3265</v>
      </c>
    </row>
    <row r="2505" spans="1:6" ht="25.5" x14ac:dyDescent="0.3">
      <c r="A2505" s="14" t="s">
        <v>79</v>
      </c>
      <c r="B2505" s="2">
        <v>1432118.41</v>
      </c>
    </row>
    <row r="2506" spans="1:6" ht="17.25" thickBot="1" x14ac:dyDescent="0.35"/>
    <row r="2507" spans="1:6" ht="33" customHeight="1" x14ac:dyDescent="0.3">
      <c r="A2507" s="24" t="s">
        <v>80</v>
      </c>
      <c r="B2507" s="26"/>
    </row>
    <row r="2508" spans="1:6" ht="33.75" thickBot="1" x14ac:dyDescent="0.35">
      <c r="A2508" s="13" t="s">
        <v>81</v>
      </c>
      <c r="B2508" s="2" t="s">
        <v>82</v>
      </c>
    </row>
    <row r="2509" spans="1:6" ht="25.5" x14ac:dyDescent="0.3">
      <c r="A2509" s="14" t="s">
        <v>83</v>
      </c>
      <c r="B2509" s="2" t="s">
        <v>84</v>
      </c>
    </row>
    <row r="2510" spans="1:6" ht="17.25" thickBot="1" x14ac:dyDescent="0.35"/>
    <row r="2511" spans="1:6" ht="16.5" customHeight="1" x14ac:dyDescent="0.3">
      <c r="A2511" s="24" t="s">
        <v>130</v>
      </c>
      <c r="B2511" s="26"/>
      <c r="C2511" s="26"/>
      <c r="D2511" s="26"/>
      <c r="E2511" s="26"/>
      <c r="F2511" s="26"/>
    </row>
    <row r="2512" spans="1:6" x14ac:dyDescent="0.3">
      <c r="A2512" s="25" t="s">
        <v>131</v>
      </c>
      <c r="B2512" s="27" t="s">
        <v>46</v>
      </c>
      <c r="C2512" s="27" t="s">
        <v>132</v>
      </c>
      <c r="D2512" s="3" t="s">
        <v>133</v>
      </c>
      <c r="E2512" s="27" t="s">
        <v>135</v>
      </c>
      <c r="F2512" s="27"/>
    </row>
    <row r="2513" spans="1:8" x14ac:dyDescent="0.3">
      <c r="A2513" s="25"/>
      <c r="B2513" s="27"/>
      <c r="C2513" s="27"/>
      <c r="D2513" s="3" t="s">
        <v>134</v>
      </c>
      <c r="E2513" s="27"/>
      <c r="F2513" s="27"/>
    </row>
    <row r="2514" spans="1:8" ht="17.25" thickBot="1" x14ac:dyDescent="0.35">
      <c r="A2514" s="13" t="s">
        <v>66</v>
      </c>
      <c r="B2514" s="2">
        <v>3265</v>
      </c>
      <c r="C2514" s="2">
        <v>8.671011</v>
      </c>
      <c r="D2514" s="2">
        <v>1.4914999999999999E-2</v>
      </c>
      <c r="E2514" s="2">
        <v>8.6417103999999991</v>
      </c>
      <c r="F2514" s="2">
        <v>8.7003120999999997</v>
      </c>
      <c r="H2514" s="8" t="str">
        <f t="shared" ref="H2514:H2517" si="104">TEXT(C2514,"0.00")&amp;" ("&amp;TEXT(E2514,"0.00")&amp;" to "&amp;TEXT(F2514,"0.00")&amp;")"</f>
        <v>8.67 (8.64 to 8.70)</v>
      </c>
    </row>
    <row r="2515" spans="1:8" ht="17.25" thickBot="1" x14ac:dyDescent="0.35">
      <c r="A2515" s="13" t="s">
        <v>67</v>
      </c>
      <c r="B2515" s="2">
        <v>3265</v>
      </c>
      <c r="C2515" s="2">
        <v>0.67396400000000001</v>
      </c>
      <c r="D2515" s="2">
        <v>1.653E-3</v>
      </c>
      <c r="E2515" s="2">
        <v>0.67071720000000001</v>
      </c>
      <c r="F2515" s="2">
        <v>0.67721169999999997</v>
      </c>
      <c r="H2515" s="8" t="str">
        <f t="shared" si="104"/>
        <v>0.67 (0.67 to 0.68)</v>
      </c>
    </row>
    <row r="2516" spans="1:8" ht="17.25" thickBot="1" x14ac:dyDescent="0.35">
      <c r="A2516" s="13" t="s">
        <v>68</v>
      </c>
      <c r="B2516" s="2">
        <v>3265</v>
      </c>
      <c r="C2516" s="2">
        <v>0.388322</v>
      </c>
      <c r="D2516" s="2">
        <v>7.0369999999999999E-3</v>
      </c>
      <c r="E2516" s="2">
        <v>0.37449840000000001</v>
      </c>
      <c r="F2516" s="2">
        <v>0.402146</v>
      </c>
      <c r="H2516" s="8" t="str">
        <f t="shared" si="104"/>
        <v>0.39 (0.37 to 0.40)</v>
      </c>
    </row>
    <row r="2517" spans="1:8" x14ac:dyDescent="0.3">
      <c r="A2517" s="14" t="s">
        <v>69</v>
      </c>
      <c r="B2517" s="2">
        <v>3265</v>
      </c>
      <c r="C2517" s="2">
        <v>35.994906</v>
      </c>
      <c r="D2517" s="2">
        <v>8.2492999999999997E-2</v>
      </c>
      <c r="E2517" s="2">
        <v>35.832842900000003</v>
      </c>
      <c r="F2517" s="2">
        <v>36.156970100000002</v>
      </c>
      <c r="H2517" s="8" t="str">
        <f t="shared" si="104"/>
        <v>35.99 (35.83 to 36.16)</v>
      </c>
    </row>
    <row r="2521" spans="1:8" x14ac:dyDescent="0.3">
      <c r="A2521" s="1" t="s">
        <v>129</v>
      </c>
    </row>
    <row r="2523" spans="1:8" x14ac:dyDescent="0.3">
      <c r="A2523" s="1" t="s">
        <v>247</v>
      </c>
    </row>
    <row r="2524" spans="1:8" ht="17.25" thickBot="1" x14ac:dyDescent="0.35"/>
    <row r="2525" spans="1:8" ht="16.5" customHeight="1" x14ac:dyDescent="0.3">
      <c r="A2525" s="24" t="s">
        <v>75</v>
      </c>
      <c r="B2525" s="26"/>
    </row>
    <row r="2526" spans="1:8" ht="26.25" thickBot="1" x14ac:dyDescent="0.35">
      <c r="A2526" s="13" t="s">
        <v>76</v>
      </c>
      <c r="B2526" s="2">
        <v>54</v>
      </c>
    </row>
    <row r="2527" spans="1:8" ht="26.25" thickBot="1" x14ac:dyDescent="0.35">
      <c r="A2527" s="13" t="s">
        <v>77</v>
      </c>
      <c r="B2527" s="2">
        <v>574</v>
      </c>
    </row>
    <row r="2528" spans="1:8" ht="39" thickBot="1" x14ac:dyDescent="0.35">
      <c r="A2528" s="13" t="s">
        <v>78</v>
      </c>
      <c r="B2528" s="2">
        <v>4892</v>
      </c>
    </row>
    <row r="2529" spans="1:8" ht="25.5" x14ac:dyDescent="0.3">
      <c r="A2529" s="14" t="s">
        <v>79</v>
      </c>
      <c r="B2529" s="2">
        <v>2200375.7200000002</v>
      </c>
    </row>
    <row r="2530" spans="1:8" ht="17.25" thickBot="1" x14ac:dyDescent="0.35"/>
    <row r="2531" spans="1:8" ht="33" customHeight="1" x14ac:dyDescent="0.3">
      <c r="A2531" s="24" t="s">
        <v>80</v>
      </c>
      <c r="B2531" s="26"/>
    </row>
    <row r="2532" spans="1:8" ht="33.75" thickBot="1" x14ac:dyDescent="0.35">
      <c r="A2532" s="13" t="s">
        <v>81</v>
      </c>
      <c r="B2532" s="2" t="s">
        <v>82</v>
      </c>
    </row>
    <row r="2533" spans="1:8" ht="25.5" x14ac:dyDescent="0.3">
      <c r="A2533" s="14" t="s">
        <v>83</v>
      </c>
      <c r="B2533" s="2" t="s">
        <v>84</v>
      </c>
    </row>
    <row r="2534" spans="1:8" ht="17.25" thickBot="1" x14ac:dyDescent="0.35"/>
    <row r="2535" spans="1:8" ht="16.5" customHeight="1" x14ac:dyDescent="0.3">
      <c r="A2535" s="24" t="s">
        <v>130</v>
      </c>
      <c r="B2535" s="26"/>
      <c r="C2535" s="26"/>
      <c r="D2535" s="26"/>
      <c r="E2535" s="26"/>
      <c r="F2535" s="26"/>
    </row>
    <row r="2536" spans="1:8" x14ac:dyDescent="0.3">
      <c r="A2536" s="25" t="s">
        <v>131</v>
      </c>
      <c r="B2536" s="27" t="s">
        <v>46</v>
      </c>
      <c r="C2536" s="27" t="s">
        <v>132</v>
      </c>
      <c r="D2536" s="3" t="s">
        <v>133</v>
      </c>
      <c r="E2536" s="27" t="s">
        <v>135</v>
      </c>
      <c r="F2536" s="27"/>
    </row>
    <row r="2537" spans="1:8" x14ac:dyDescent="0.3">
      <c r="A2537" s="25"/>
      <c r="B2537" s="27"/>
      <c r="C2537" s="27"/>
      <c r="D2537" s="3" t="s">
        <v>134</v>
      </c>
      <c r="E2537" s="27"/>
      <c r="F2537" s="27"/>
    </row>
    <row r="2538" spans="1:8" ht="17.25" thickBot="1" x14ac:dyDescent="0.35">
      <c r="A2538" s="13" t="s">
        <v>66</v>
      </c>
      <c r="B2538" s="2">
        <v>4892</v>
      </c>
      <c r="C2538" s="2">
        <v>8.9016850000000005</v>
      </c>
      <c r="D2538" s="2">
        <v>1.1597E-2</v>
      </c>
      <c r="E2538" s="2">
        <v>8.8789022000000006</v>
      </c>
      <c r="F2538" s="2">
        <v>8.9244675999999998</v>
      </c>
      <c r="H2538" s="8" t="str">
        <f t="shared" ref="H2538:H2541" si="105">TEXT(C2538,"0.00")&amp;" ("&amp;TEXT(E2538,"0.00")&amp;" to "&amp;TEXT(F2538,"0.00")&amp;")"</f>
        <v>8.90 (8.88 to 8.92)</v>
      </c>
    </row>
    <row r="2539" spans="1:8" ht="17.25" thickBot="1" x14ac:dyDescent="0.35">
      <c r="A2539" s="13" t="s">
        <v>67</v>
      </c>
      <c r="B2539" s="2">
        <v>4892</v>
      </c>
      <c r="C2539" s="2">
        <v>0.69284199999999996</v>
      </c>
      <c r="D2539" s="2">
        <v>1.2769999999999999E-3</v>
      </c>
      <c r="E2539" s="2">
        <v>0.69033250000000002</v>
      </c>
      <c r="F2539" s="2">
        <v>0.69535130000000001</v>
      </c>
      <c r="H2539" s="8" t="str">
        <f t="shared" si="105"/>
        <v>0.69 (0.69 to 0.70)</v>
      </c>
    </row>
    <row r="2540" spans="1:8" ht="17.25" thickBot="1" x14ac:dyDescent="0.35">
      <c r="A2540" s="13" t="s">
        <v>68</v>
      </c>
      <c r="B2540" s="2">
        <v>4892</v>
      </c>
      <c r="C2540" s="2">
        <v>0.49499799999999999</v>
      </c>
      <c r="D2540" s="2">
        <v>5.5009999999999998E-3</v>
      </c>
      <c r="E2540" s="2">
        <v>0.48419129999999999</v>
      </c>
      <c r="F2540" s="2">
        <v>0.50580380000000003</v>
      </c>
      <c r="H2540" s="8" t="str">
        <f t="shared" si="105"/>
        <v>0.49 (0.48 to 0.51)</v>
      </c>
    </row>
    <row r="2541" spans="1:8" x14ac:dyDescent="0.3">
      <c r="A2541" s="14" t="s">
        <v>69</v>
      </c>
      <c r="B2541" s="2">
        <v>4892</v>
      </c>
      <c r="C2541" s="2">
        <v>43.074581000000002</v>
      </c>
      <c r="D2541" s="2">
        <v>0.10771</v>
      </c>
      <c r="E2541" s="2">
        <v>42.862980299999997</v>
      </c>
      <c r="F2541" s="2">
        <v>43.286180700000003</v>
      </c>
      <c r="H2541" s="8" t="str">
        <f t="shared" si="105"/>
        <v>43.07 (42.86 to 43.29)</v>
      </c>
    </row>
    <row r="2545" spans="1:6" x14ac:dyDescent="0.3">
      <c r="A2545" s="1" t="s">
        <v>129</v>
      </c>
    </row>
    <row r="2547" spans="1:6" x14ac:dyDescent="0.3">
      <c r="A2547" s="1" t="s">
        <v>248</v>
      </c>
    </row>
    <row r="2548" spans="1:6" ht="17.25" thickBot="1" x14ac:dyDescent="0.35"/>
    <row r="2549" spans="1:6" ht="16.5" customHeight="1" x14ac:dyDescent="0.3">
      <c r="A2549" s="24" t="s">
        <v>75</v>
      </c>
      <c r="B2549" s="26"/>
    </row>
    <row r="2550" spans="1:6" ht="26.25" thickBot="1" x14ac:dyDescent="0.35">
      <c r="A2550" s="13" t="s">
        <v>76</v>
      </c>
      <c r="B2550" s="2">
        <v>27</v>
      </c>
    </row>
    <row r="2551" spans="1:6" ht="26.25" thickBot="1" x14ac:dyDescent="0.35">
      <c r="A2551" s="13" t="s">
        <v>77</v>
      </c>
      <c r="B2551" s="2">
        <v>315</v>
      </c>
    </row>
    <row r="2552" spans="1:6" ht="39" thickBot="1" x14ac:dyDescent="0.35">
      <c r="A2552" s="13" t="s">
        <v>78</v>
      </c>
      <c r="B2552" s="2">
        <v>522</v>
      </c>
    </row>
    <row r="2553" spans="1:6" ht="25.5" x14ac:dyDescent="0.3">
      <c r="A2553" s="14" t="s">
        <v>79</v>
      </c>
      <c r="B2553" s="2">
        <v>267082.42200000002</v>
      </c>
    </row>
    <row r="2554" spans="1:6" ht="17.25" thickBot="1" x14ac:dyDescent="0.35"/>
    <row r="2555" spans="1:6" ht="33" customHeight="1" x14ac:dyDescent="0.3">
      <c r="A2555" s="24" t="s">
        <v>80</v>
      </c>
      <c r="B2555" s="26"/>
    </row>
    <row r="2556" spans="1:6" ht="33.75" thickBot="1" x14ac:dyDescent="0.35">
      <c r="A2556" s="13" t="s">
        <v>81</v>
      </c>
      <c r="B2556" s="2" t="s">
        <v>82</v>
      </c>
    </row>
    <row r="2557" spans="1:6" ht="25.5" x14ac:dyDescent="0.3">
      <c r="A2557" s="14" t="s">
        <v>83</v>
      </c>
      <c r="B2557" s="2" t="s">
        <v>84</v>
      </c>
    </row>
    <row r="2558" spans="1:6" ht="17.25" thickBot="1" x14ac:dyDescent="0.35"/>
    <row r="2559" spans="1:6" ht="16.5" customHeight="1" x14ac:dyDescent="0.3">
      <c r="A2559" s="24" t="s">
        <v>130</v>
      </c>
      <c r="B2559" s="26"/>
      <c r="C2559" s="26"/>
      <c r="D2559" s="26"/>
      <c r="E2559" s="26"/>
      <c r="F2559" s="26"/>
    </row>
    <row r="2560" spans="1:6" x14ac:dyDescent="0.3">
      <c r="A2560" s="25" t="s">
        <v>131</v>
      </c>
      <c r="B2560" s="27" t="s">
        <v>46</v>
      </c>
      <c r="C2560" s="27" t="s">
        <v>132</v>
      </c>
      <c r="D2560" s="3" t="s">
        <v>133</v>
      </c>
      <c r="E2560" s="27" t="s">
        <v>135</v>
      </c>
      <c r="F2560" s="27"/>
    </row>
    <row r="2561" spans="1:8" x14ac:dyDescent="0.3">
      <c r="A2561" s="25"/>
      <c r="B2561" s="27"/>
      <c r="C2561" s="27"/>
      <c r="D2561" s="3" t="s">
        <v>134</v>
      </c>
      <c r="E2561" s="27"/>
      <c r="F2561" s="27"/>
    </row>
    <row r="2562" spans="1:8" ht="17.25" thickBot="1" x14ac:dyDescent="0.35">
      <c r="A2562" s="13" t="s">
        <v>66</v>
      </c>
      <c r="B2562" s="2">
        <v>522</v>
      </c>
      <c r="C2562" s="2">
        <v>8.0663210000000003</v>
      </c>
      <c r="D2562" s="2">
        <v>2.4698000000000001E-2</v>
      </c>
      <c r="E2562" s="2">
        <v>8.0177101999999998</v>
      </c>
      <c r="F2562" s="2">
        <v>8.1149319999999996</v>
      </c>
      <c r="H2562" s="8" t="str">
        <f t="shared" ref="H2562:H2565" si="106">TEXT(C2562,"0.00")&amp;" ("&amp;TEXT(E2562,"0.00")&amp;" to "&amp;TEXT(F2562,"0.00")&amp;")"</f>
        <v>8.07 (8.02 to 8.11)</v>
      </c>
    </row>
    <row r="2563" spans="1:8" ht="17.25" thickBot="1" x14ac:dyDescent="0.35">
      <c r="A2563" s="13" t="s">
        <v>67</v>
      </c>
      <c r="B2563" s="2">
        <v>522</v>
      </c>
      <c r="C2563" s="2">
        <v>0.61076699999999995</v>
      </c>
      <c r="D2563" s="2">
        <v>2.882E-3</v>
      </c>
      <c r="E2563" s="2">
        <v>0.60509329999999995</v>
      </c>
      <c r="F2563" s="2">
        <v>0.61643990000000004</v>
      </c>
      <c r="H2563" s="8" t="str">
        <f t="shared" si="106"/>
        <v>0.61 (0.61 to 0.62)</v>
      </c>
    </row>
    <row r="2564" spans="1:8" ht="17.25" thickBot="1" x14ac:dyDescent="0.35">
      <c r="A2564" s="13" t="s">
        <v>68</v>
      </c>
      <c r="B2564" s="2">
        <v>522</v>
      </c>
      <c r="C2564" s="2">
        <v>6.3267000000000004E-2</v>
      </c>
      <c r="D2564" s="2">
        <v>1.2286E-2</v>
      </c>
      <c r="E2564" s="2">
        <v>3.9085399999999999E-2</v>
      </c>
      <c r="F2564" s="2">
        <v>8.7449299999999994E-2</v>
      </c>
      <c r="H2564" s="8" t="str">
        <f t="shared" si="106"/>
        <v>0.06 (0.04 to 0.09)</v>
      </c>
    </row>
    <row r="2565" spans="1:8" x14ac:dyDescent="0.3">
      <c r="A2565" s="14" t="s">
        <v>69</v>
      </c>
      <c r="B2565" s="2">
        <v>522</v>
      </c>
      <c r="C2565" s="2">
        <v>23.766375</v>
      </c>
      <c r="D2565" s="2">
        <v>0.106269</v>
      </c>
      <c r="E2565" s="2">
        <v>23.557213000000001</v>
      </c>
      <c r="F2565" s="2">
        <v>23.975536900000002</v>
      </c>
      <c r="H2565" s="8" t="str">
        <f t="shared" si="106"/>
        <v>23.77 (23.56 to 23.98)</v>
      </c>
    </row>
    <row r="2569" spans="1:8" x14ac:dyDescent="0.3">
      <c r="A2569" s="1" t="s">
        <v>129</v>
      </c>
    </row>
    <row r="2571" spans="1:8" x14ac:dyDescent="0.3">
      <c r="A2571" s="1" t="s">
        <v>249</v>
      </c>
    </row>
    <row r="2572" spans="1:8" ht="17.25" thickBot="1" x14ac:dyDescent="0.35"/>
    <row r="2573" spans="1:8" ht="16.5" customHeight="1" x14ac:dyDescent="0.3">
      <c r="A2573" s="24" t="s">
        <v>75</v>
      </c>
      <c r="B2573" s="26"/>
    </row>
    <row r="2574" spans="1:8" ht="26.25" thickBot="1" x14ac:dyDescent="0.35">
      <c r="A2574" s="13" t="s">
        <v>76</v>
      </c>
      <c r="B2574" s="2">
        <v>27</v>
      </c>
    </row>
    <row r="2575" spans="1:8" ht="26.25" thickBot="1" x14ac:dyDescent="0.35">
      <c r="A2575" s="13" t="s">
        <v>77</v>
      </c>
      <c r="B2575" s="2">
        <v>563</v>
      </c>
    </row>
    <row r="2576" spans="1:8" ht="39" thickBot="1" x14ac:dyDescent="0.35">
      <c r="A2576" s="13" t="s">
        <v>78</v>
      </c>
      <c r="B2576" s="2">
        <v>4948</v>
      </c>
    </row>
    <row r="2577" spans="1:8" ht="25.5" x14ac:dyDescent="0.3">
      <c r="A2577" s="14" t="s">
        <v>79</v>
      </c>
      <c r="B2577" s="2">
        <v>2362926.63</v>
      </c>
    </row>
    <row r="2578" spans="1:8" ht="17.25" thickBot="1" x14ac:dyDescent="0.35"/>
    <row r="2579" spans="1:8" ht="33" customHeight="1" x14ac:dyDescent="0.3">
      <c r="A2579" s="24" t="s">
        <v>80</v>
      </c>
      <c r="B2579" s="26"/>
    </row>
    <row r="2580" spans="1:8" ht="33.75" thickBot="1" x14ac:dyDescent="0.35">
      <c r="A2580" s="13" t="s">
        <v>81</v>
      </c>
      <c r="B2580" s="2" t="s">
        <v>82</v>
      </c>
    </row>
    <row r="2581" spans="1:8" ht="25.5" x14ac:dyDescent="0.3">
      <c r="A2581" s="14" t="s">
        <v>83</v>
      </c>
      <c r="B2581" s="2" t="s">
        <v>84</v>
      </c>
    </row>
    <row r="2582" spans="1:8" ht="17.25" thickBot="1" x14ac:dyDescent="0.35"/>
    <row r="2583" spans="1:8" ht="16.5" customHeight="1" x14ac:dyDescent="0.3">
      <c r="A2583" s="24" t="s">
        <v>130</v>
      </c>
      <c r="B2583" s="26"/>
      <c r="C2583" s="26"/>
      <c r="D2583" s="26"/>
      <c r="E2583" s="26"/>
      <c r="F2583" s="26"/>
    </row>
    <row r="2584" spans="1:8" x14ac:dyDescent="0.3">
      <c r="A2584" s="25" t="s">
        <v>131</v>
      </c>
      <c r="B2584" s="27" t="s">
        <v>46</v>
      </c>
      <c r="C2584" s="27" t="s">
        <v>132</v>
      </c>
      <c r="D2584" s="3" t="s">
        <v>133</v>
      </c>
      <c r="E2584" s="27" t="s">
        <v>135</v>
      </c>
      <c r="F2584" s="27"/>
    </row>
    <row r="2585" spans="1:8" x14ac:dyDescent="0.3">
      <c r="A2585" s="25"/>
      <c r="B2585" s="27"/>
      <c r="C2585" s="27"/>
      <c r="D2585" s="3" t="s">
        <v>134</v>
      </c>
      <c r="E2585" s="27"/>
      <c r="F2585" s="27"/>
    </row>
    <row r="2586" spans="1:8" ht="17.25" thickBot="1" x14ac:dyDescent="0.35">
      <c r="A2586" s="13" t="s">
        <v>66</v>
      </c>
      <c r="B2586" s="2">
        <v>4948</v>
      </c>
      <c r="C2586" s="2">
        <v>8.3380539999999996</v>
      </c>
      <c r="D2586" s="2">
        <v>1.0383E-2</v>
      </c>
      <c r="E2586" s="2">
        <v>8.3176567000000006</v>
      </c>
      <c r="F2586" s="2">
        <v>8.3584505999999994</v>
      </c>
      <c r="H2586" s="8" t="str">
        <f t="shared" ref="H2586:H2589" si="107">TEXT(C2586,"0.00")&amp;" ("&amp;TEXT(E2586,"0.00")&amp;" to "&amp;TEXT(F2586,"0.00")&amp;")"</f>
        <v>8.34 (8.32 to 8.36)</v>
      </c>
    </row>
    <row r="2587" spans="1:8" ht="17.25" thickBot="1" x14ac:dyDescent="0.35">
      <c r="A2587" s="13" t="s">
        <v>67</v>
      </c>
      <c r="B2587" s="2">
        <v>4948</v>
      </c>
      <c r="C2587" s="2">
        <v>0.64583599999999997</v>
      </c>
      <c r="D2587" s="2">
        <v>1.3110000000000001E-3</v>
      </c>
      <c r="E2587" s="2">
        <v>0.64325969999999999</v>
      </c>
      <c r="F2587" s="2">
        <v>0.64841219999999999</v>
      </c>
      <c r="H2587" s="8" t="str">
        <f t="shared" si="107"/>
        <v>0.65 (0.64 to 0.65)</v>
      </c>
    </row>
    <row r="2588" spans="1:8" ht="17.25" thickBot="1" x14ac:dyDescent="0.35">
      <c r="A2588" s="13" t="s">
        <v>68</v>
      </c>
      <c r="B2588" s="2">
        <v>4948</v>
      </c>
      <c r="C2588" s="2">
        <v>0.20122899999999999</v>
      </c>
      <c r="D2588" s="2">
        <v>5.1520000000000003E-3</v>
      </c>
      <c r="E2588" s="2">
        <v>0.1911091</v>
      </c>
      <c r="F2588" s="2">
        <v>0.21134919999999999</v>
      </c>
      <c r="H2588" s="8" t="str">
        <f t="shared" si="107"/>
        <v>0.20 (0.19 to 0.21)</v>
      </c>
    </row>
    <row r="2589" spans="1:8" x14ac:dyDescent="0.3">
      <c r="A2589" s="14" t="s">
        <v>69</v>
      </c>
      <c r="B2589" s="2">
        <v>4948</v>
      </c>
      <c r="C2589" s="2">
        <v>29.884257000000002</v>
      </c>
      <c r="D2589" s="2">
        <v>5.9242000000000003E-2</v>
      </c>
      <c r="E2589" s="2">
        <v>29.767881500000001</v>
      </c>
      <c r="F2589" s="2">
        <v>30.000632599999999</v>
      </c>
      <c r="H2589" s="8" t="str">
        <f t="shared" si="107"/>
        <v>29.88 (29.77 to 30.00)</v>
      </c>
    </row>
    <row r="2593" spans="1:6" x14ac:dyDescent="0.3">
      <c r="A2593" s="1" t="s">
        <v>129</v>
      </c>
    </row>
    <row r="2595" spans="1:6" x14ac:dyDescent="0.3">
      <c r="A2595" s="1" t="s">
        <v>250</v>
      </c>
    </row>
    <row r="2596" spans="1:6" ht="17.25" thickBot="1" x14ac:dyDescent="0.35"/>
    <row r="2597" spans="1:6" ht="16.5" customHeight="1" x14ac:dyDescent="0.3">
      <c r="A2597" s="24" t="s">
        <v>75</v>
      </c>
      <c r="B2597" s="26"/>
    </row>
    <row r="2598" spans="1:6" ht="26.25" thickBot="1" x14ac:dyDescent="0.35">
      <c r="A2598" s="13" t="s">
        <v>76</v>
      </c>
      <c r="B2598" s="2">
        <v>27</v>
      </c>
    </row>
    <row r="2599" spans="1:6" ht="26.25" thickBot="1" x14ac:dyDescent="0.35">
      <c r="A2599" s="13" t="s">
        <v>77</v>
      </c>
      <c r="B2599" s="2">
        <v>558</v>
      </c>
    </row>
    <row r="2600" spans="1:6" ht="39" thickBot="1" x14ac:dyDescent="0.35">
      <c r="A2600" s="13" t="s">
        <v>78</v>
      </c>
      <c r="B2600" s="2">
        <v>3184</v>
      </c>
    </row>
    <row r="2601" spans="1:6" ht="25.5" x14ac:dyDescent="0.3">
      <c r="A2601" s="14" t="s">
        <v>79</v>
      </c>
      <c r="B2601" s="2">
        <v>1508538.9</v>
      </c>
    </row>
    <row r="2602" spans="1:6" ht="17.25" thickBot="1" x14ac:dyDescent="0.35"/>
    <row r="2603" spans="1:6" ht="33" customHeight="1" x14ac:dyDescent="0.3">
      <c r="A2603" s="24" t="s">
        <v>80</v>
      </c>
      <c r="B2603" s="26"/>
    </row>
    <row r="2604" spans="1:6" ht="33.75" thickBot="1" x14ac:dyDescent="0.35">
      <c r="A2604" s="13" t="s">
        <v>81</v>
      </c>
      <c r="B2604" s="2" t="s">
        <v>82</v>
      </c>
    </row>
    <row r="2605" spans="1:6" ht="25.5" x14ac:dyDescent="0.3">
      <c r="A2605" s="14" t="s">
        <v>83</v>
      </c>
      <c r="B2605" s="2" t="s">
        <v>84</v>
      </c>
    </row>
    <row r="2606" spans="1:6" ht="17.25" thickBot="1" x14ac:dyDescent="0.35"/>
    <row r="2607" spans="1:6" ht="16.5" customHeight="1" x14ac:dyDescent="0.3">
      <c r="A2607" s="24" t="s">
        <v>130</v>
      </c>
      <c r="B2607" s="26"/>
      <c r="C2607" s="26"/>
      <c r="D2607" s="26"/>
      <c r="E2607" s="26"/>
      <c r="F2607" s="26"/>
    </row>
    <row r="2608" spans="1:6" x14ac:dyDescent="0.3">
      <c r="A2608" s="25" t="s">
        <v>131</v>
      </c>
      <c r="B2608" s="27" t="s">
        <v>46</v>
      </c>
      <c r="C2608" s="27" t="s">
        <v>132</v>
      </c>
      <c r="D2608" s="3" t="s">
        <v>133</v>
      </c>
      <c r="E2608" s="27" t="s">
        <v>135</v>
      </c>
      <c r="F2608" s="27"/>
    </row>
    <row r="2609" spans="1:8" x14ac:dyDescent="0.3">
      <c r="A2609" s="25"/>
      <c r="B2609" s="27"/>
      <c r="C2609" s="27"/>
      <c r="D2609" s="3" t="s">
        <v>134</v>
      </c>
      <c r="E2609" s="27"/>
      <c r="F2609" s="27"/>
    </row>
    <row r="2610" spans="1:8" ht="17.25" thickBot="1" x14ac:dyDescent="0.35">
      <c r="A2610" s="13" t="s">
        <v>66</v>
      </c>
      <c r="B2610" s="2">
        <v>3184</v>
      </c>
      <c r="C2610" s="2">
        <v>8.6174680000000006</v>
      </c>
      <c r="D2610" s="2">
        <v>1.3094E-2</v>
      </c>
      <c r="E2610" s="2">
        <v>8.5917445000000008</v>
      </c>
      <c r="F2610" s="2">
        <v>8.6431910999999992</v>
      </c>
      <c r="H2610" s="8" t="str">
        <f t="shared" ref="H2610:H2613" si="108">TEXT(C2610,"0.00")&amp;" ("&amp;TEXT(E2610,"0.00")&amp;" to "&amp;TEXT(F2610,"0.00")&amp;")"</f>
        <v>8.62 (8.59 to 8.64)</v>
      </c>
    </row>
    <row r="2611" spans="1:8" ht="17.25" thickBot="1" x14ac:dyDescent="0.35">
      <c r="A2611" s="13" t="s">
        <v>67</v>
      </c>
      <c r="B2611" s="2">
        <v>3184</v>
      </c>
      <c r="C2611" s="2">
        <v>0.67969999999999997</v>
      </c>
      <c r="D2611" s="2">
        <v>1.567E-3</v>
      </c>
      <c r="E2611" s="2">
        <v>0.67662100000000003</v>
      </c>
      <c r="F2611" s="2">
        <v>0.68277929999999998</v>
      </c>
      <c r="H2611" s="8" t="str">
        <f t="shared" si="108"/>
        <v>0.68 (0.68 to 0.68)</v>
      </c>
    </row>
    <row r="2612" spans="1:8" ht="17.25" thickBot="1" x14ac:dyDescent="0.35">
      <c r="A2612" s="13" t="s">
        <v>68</v>
      </c>
      <c r="B2612" s="2">
        <v>3184</v>
      </c>
      <c r="C2612" s="2">
        <v>0.35047600000000001</v>
      </c>
      <c r="D2612" s="2">
        <v>6.5440000000000003E-3</v>
      </c>
      <c r="E2612" s="2">
        <v>0.33761960000000002</v>
      </c>
      <c r="F2612" s="2">
        <v>0.36333189999999999</v>
      </c>
      <c r="H2612" s="8" t="str">
        <f t="shared" si="108"/>
        <v>0.35 (0.34 to 0.36)</v>
      </c>
    </row>
    <row r="2613" spans="1:8" x14ac:dyDescent="0.3">
      <c r="A2613" s="14" t="s">
        <v>69</v>
      </c>
      <c r="B2613" s="2">
        <v>3184</v>
      </c>
      <c r="C2613" s="2">
        <v>35.566333</v>
      </c>
      <c r="D2613" s="2">
        <v>7.1137000000000006E-2</v>
      </c>
      <c r="E2613" s="2">
        <v>35.426588000000002</v>
      </c>
      <c r="F2613" s="2">
        <v>35.706078400000003</v>
      </c>
      <c r="H2613" s="8" t="str">
        <f t="shared" si="108"/>
        <v>35.57 (35.43 to 35.71)</v>
      </c>
    </row>
    <row r="2617" spans="1:8" x14ac:dyDescent="0.3">
      <c r="A2617" s="1" t="s">
        <v>129</v>
      </c>
    </row>
    <row r="2619" spans="1:8" x14ac:dyDescent="0.3">
      <c r="A2619" s="1" t="s">
        <v>251</v>
      </c>
    </row>
    <row r="2620" spans="1:8" ht="17.25" thickBot="1" x14ac:dyDescent="0.35"/>
    <row r="2621" spans="1:8" ht="16.5" customHeight="1" x14ac:dyDescent="0.3">
      <c r="A2621" s="24" t="s">
        <v>75</v>
      </c>
      <c r="B2621" s="26"/>
    </row>
    <row r="2622" spans="1:8" ht="26.25" thickBot="1" x14ac:dyDescent="0.35">
      <c r="A2622" s="13" t="s">
        <v>76</v>
      </c>
      <c r="B2622" s="2">
        <v>27</v>
      </c>
    </row>
    <row r="2623" spans="1:8" ht="26.25" thickBot="1" x14ac:dyDescent="0.35">
      <c r="A2623" s="13" t="s">
        <v>77</v>
      </c>
      <c r="B2623" s="2">
        <v>562</v>
      </c>
    </row>
    <row r="2624" spans="1:8" ht="39" thickBot="1" x14ac:dyDescent="0.35">
      <c r="A2624" s="13" t="s">
        <v>78</v>
      </c>
      <c r="B2624" s="2">
        <v>4901</v>
      </c>
    </row>
    <row r="2625" spans="1:8" ht="25.5" x14ac:dyDescent="0.3">
      <c r="A2625" s="14" t="s">
        <v>79</v>
      </c>
      <c r="B2625" s="2">
        <v>2416150.86</v>
      </c>
    </row>
    <row r="2626" spans="1:8" ht="17.25" thickBot="1" x14ac:dyDescent="0.35"/>
    <row r="2627" spans="1:8" ht="33" customHeight="1" x14ac:dyDescent="0.3">
      <c r="A2627" s="24" t="s">
        <v>80</v>
      </c>
      <c r="B2627" s="26"/>
    </row>
    <row r="2628" spans="1:8" ht="33.75" thickBot="1" x14ac:dyDescent="0.35">
      <c r="A2628" s="13" t="s">
        <v>81</v>
      </c>
      <c r="B2628" s="2" t="s">
        <v>82</v>
      </c>
    </row>
    <row r="2629" spans="1:8" ht="25.5" x14ac:dyDescent="0.3">
      <c r="A2629" s="14" t="s">
        <v>83</v>
      </c>
      <c r="B2629" s="2" t="s">
        <v>84</v>
      </c>
    </row>
    <row r="2630" spans="1:8" ht="17.25" thickBot="1" x14ac:dyDescent="0.35"/>
    <row r="2631" spans="1:8" ht="16.5" customHeight="1" x14ac:dyDescent="0.3">
      <c r="A2631" s="24" t="s">
        <v>130</v>
      </c>
      <c r="B2631" s="26"/>
      <c r="C2631" s="26"/>
      <c r="D2631" s="26"/>
      <c r="E2631" s="26"/>
      <c r="F2631" s="26"/>
    </row>
    <row r="2632" spans="1:8" x14ac:dyDescent="0.3">
      <c r="A2632" s="25" t="s">
        <v>131</v>
      </c>
      <c r="B2632" s="27" t="s">
        <v>46</v>
      </c>
      <c r="C2632" s="27" t="s">
        <v>132</v>
      </c>
      <c r="D2632" s="3" t="s">
        <v>133</v>
      </c>
      <c r="E2632" s="27" t="s">
        <v>135</v>
      </c>
      <c r="F2632" s="27"/>
    </row>
    <row r="2633" spans="1:8" x14ac:dyDescent="0.3">
      <c r="A2633" s="25"/>
      <c r="B2633" s="27"/>
      <c r="C2633" s="27"/>
      <c r="D2633" s="3" t="s">
        <v>134</v>
      </c>
      <c r="E2633" s="27"/>
      <c r="F2633" s="27"/>
    </row>
    <row r="2634" spans="1:8" ht="17.25" thickBot="1" x14ac:dyDescent="0.35">
      <c r="A2634" s="13" t="s">
        <v>66</v>
      </c>
      <c r="B2634" s="2">
        <v>4901</v>
      </c>
      <c r="C2634" s="2">
        <v>8.8660359999999994</v>
      </c>
      <c r="D2634" s="2">
        <v>1.0913000000000001E-2</v>
      </c>
      <c r="E2634" s="2">
        <v>8.8445981000000007</v>
      </c>
      <c r="F2634" s="2">
        <v>8.8874739999999992</v>
      </c>
      <c r="H2634" s="8" t="str">
        <f t="shared" ref="H2634:H2637" si="109">TEXT(C2634,"0.00")&amp;" ("&amp;TEXT(E2634,"0.00")&amp;" to "&amp;TEXT(F2634,"0.00")&amp;")"</f>
        <v>8.87 (8.84 to 8.89)</v>
      </c>
    </row>
    <row r="2635" spans="1:8" ht="17.25" thickBot="1" x14ac:dyDescent="0.35">
      <c r="A2635" s="13" t="s">
        <v>67</v>
      </c>
      <c r="B2635" s="2">
        <v>4901</v>
      </c>
      <c r="C2635" s="2">
        <v>0.70040500000000006</v>
      </c>
      <c r="D2635" s="2">
        <v>1.17E-3</v>
      </c>
      <c r="E2635" s="2">
        <v>0.69810680000000003</v>
      </c>
      <c r="F2635" s="2">
        <v>0.70270250000000001</v>
      </c>
      <c r="H2635" s="8" t="str">
        <f t="shared" si="109"/>
        <v>0.70 (0.70 to 0.70)</v>
      </c>
    </row>
    <row r="2636" spans="1:8" ht="17.25" thickBot="1" x14ac:dyDescent="0.35">
      <c r="A2636" s="13" t="s">
        <v>68</v>
      </c>
      <c r="B2636" s="2">
        <v>4901</v>
      </c>
      <c r="C2636" s="2">
        <v>0.46809400000000001</v>
      </c>
      <c r="D2636" s="2">
        <v>5.169E-3</v>
      </c>
      <c r="E2636" s="2">
        <v>0.45794099999999999</v>
      </c>
      <c r="F2636" s="2">
        <v>0.47824739999999999</v>
      </c>
      <c r="H2636" s="8" t="str">
        <f t="shared" si="109"/>
        <v>0.47 (0.46 to 0.48)</v>
      </c>
    </row>
    <row r="2637" spans="1:8" x14ac:dyDescent="0.3">
      <c r="A2637" s="14" t="s">
        <v>69</v>
      </c>
      <c r="B2637" s="2">
        <v>4901</v>
      </c>
      <c r="C2637" s="2">
        <v>43.076735999999997</v>
      </c>
      <c r="D2637" s="2">
        <v>0.11342099999999999</v>
      </c>
      <c r="E2637" s="2">
        <v>42.853929800000003</v>
      </c>
      <c r="F2637" s="2">
        <v>43.299541499999997</v>
      </c>
      <c r="H2637" s="8" t="str">
        <f t="shared" si="109"/>
        <v>43.08 (42.85 to 43.30)</v>
      </c>
    </row>
    <row r="2641" spans="1:6" x14ac:dyDescent="0.3">
      <c r="A2641" s="1" t="s">
        <v>129</v>
      </c>
    </row>
    <row r="2643" spans="1:6" x14ac:dyDescent="0.3">
      <c r="A2643" s="1" t="s">
        <v>252</v>
      </c>
    </row>
    <row r="2644" spans="1:6" ht="17.25" thickBot="1" x14ac:dyDescent="0.35"/>
    <row r="2645" spans="1:6" ht="16.5" customHeight="1" x14ac:dyDescent="0.3">
      <c r="A2645" s="24" t="s">
        <v>75</v>
      </c>
      <c r="B2645" s="26"/>
    </row>
    <row r="2646" spans="1:6" ht="26.25" thickBot="1" x14ac:dyDescent="0.35">
      <c r="A2646" s="13" t="s">
        <v>76</v>
      </c>
      <c r="B2646" s="2">
        <v>26</v>
      </c>
    </row>
    <row r="2647" spans="1:6" ht="26.25" thickBot="1" x14ac:dyDescent="0.35">
      <c r="A2647" s="13" t="s">
        <v>77</v>
      </c>
      <c r="B2647" s="2">
        <v>120</v>
      </c>
    </row>
    <row r="2648" spans="1:6" ht="39" thickBot="1" x14ac:dyDescent="0.35">
      <c r="A2648" s="13" t="s">
        <v>78</v>
      </c>
      <c r="B2648" s="2">
        <v>212</v>
      </c>
    </row>
    <row r="2649" spans="1:6" ht="25.5" x14ac:dyDescent="0.3">
      <c r="A2649" s="14" t="s">
        <v>79</v>
      </c>
      <c r="B2649" s="2">
        <v>104753.836</v>
      </c>
    </row>
    <row r="2650" spans="1:6" ht="17.25" thickBot="1" x14ac:dyDescent="0.35"/>
    <row r="2651" spans="1:6" ht="33" customHeight="1" x14ac:dyDescent="0.3">
      <c r="A2651" s="24" t="s">
        <v>80</v>
      </c>
      <c r="B2651" s="26"/>
    </row>
    <row r="2652" spans="1:6" ht="33.75" thickBot="1" x14ac:dyDescent="0.35">
      <c r="A2652" s="13" t="s">
        <v>81</v>
      </c>
      <c r="B2652" s="2" t="s">
        <v>82</v>
      </c>
    </row>
    <row r="2653" spans="1:6" ht="25.5" x14ac:dyDescent="0.3">
      <c r="A2653" s="14" t="s">
        <v>83</v>
      </c>
      <c r="B2653" s="2" t="s">
        <v>84</v>
      </c>
    </row>
    <row r="2654" spans="1:6" ht="17.25" thickBot="1" x14ac:dyDescent="0.35"/>
    <row r="2655" spans="1:6" ht="16.5" customHeight="1" x14ac:dyDescent="0.3">
      <c r="A2655" s="24" t="s">
        <v>130</v>
      </c>
      <c r="B2655" s="26"/>
      <c r="C2655" s="26"/>
      <c r="D2655" s="26"/>
      <c r="E2655" s="26"/>
      <c r="F2655" s="26"/>
    </row>
    <row r="2656" spans="1:6" x14ac:dyDescent="0.3">
      <c r="A2656" s="25" t="s">
        <v>131</v>
      </c>
      <c r="B2656" s="27" t="s">
        <v>46</v>
      </c>
      <c r="C2656" s="27" t="s">
        <v>132</v>
      </c>
      <c r="D2656" s="3" t="s">
        <v>133</v>
      </c>
      <c r="E2656" s="27" t="s">
        <v>135</v>
      </c>
      <c r="F2656" s="27"/>
    </row>
    <row r="2657" spans="1:8" x14ac:dyDescent="0.3">
      <c r="A2657" s="25"/>
      <c r="B2657" s="27"/>
      <c r="C2657" s="27"/>
      <c r="D2657" s="3" t="s">
        <v>134</v>
      </c>
      <c r="E2657" s="27"/>
      <c r="F2657" s="27"/>
    </row>
    <row r="2658" spans="1:8" ht="17.25" thickBot="1" x14ac:dyDescent="0.35">
      <c r="A2658" s="13" t="s">
        <v>66</v>
      </c>
      <c r="B2658" s="2">
        <v>212</v>
      </c>
      <c r="C2658" s="2">
        <v>8.1400489999999994</v>
      </c>
      <c r="D2658" s="2">
        <v>2.9874999999999999E-2</v>
      </c>
      <c r="E2658" s="2">
        <v>8.0807309000000007</v>
      </c>
      <c r="F2658" s="2">
        <v>8.1993662</v>
      </c>
      <c r="H2658" s="8" t="str">
        <f t="shared" ref="H2658:H2661" si="110">TEXT(C2658,"0.00")&amp;" ("&amp;TEXT(E2658,"0.00")&amp;" to "&amp;TEXT(F2658,"0.00")&amp;")"</f>
        <v>8.14 (8.08 to 8.20)</v>
      </c>
    </row>
    <row r="2659" spans="1:8" ht="17.25" thickBot="1" x14ac:dyDescent="0.35">
      <c r="A2659" s="13" t="s">
        <v>67</v>
      </c>
      <c r="B2659" s="2">
        <v>212</v>
      </c>
      <c r="C2659" s="2">
        <v>0.61656200000000005</v>
      </c>
      <c r="D2659" s="2">
        <v>4.1250000000000002E-3</v>
      </c>
      <c r="E2659" s="2">
        <v>0.60837140000000001</v>
      </c>
      <c r="F2659" s="2">
        <v>0.62475250000000004</v>
      </c>
      <c r="H2659" s="8" t="str">
        <f t="shared" si="110"/>
        <v>0.62 (0.61 to 0.62)</v>
      </c>
    </row>
    <row r="2660" spans="1:8" ht="17.25" thickBot="1" x14ac:dyDescent="0.35">
      <c r="A2660" s="13" t="s">
        <v>68</v>
      </c>
      <c r="B2660" s="2">
        <v>212</v>
      </c>
      <c r="C2660" s="2">
        <v>3.1222E-2</v>
      </c>
      <c r="D2660" s="2">
        <v>1.6088000000000002E-2</v>
      </c>
      <c r="E2660" s="16">
        <v>-7.2039999999999995E-4</v>
      </c>
      <c r="F2660" s="2">
        <v>6.3164899999999996E-2</v>
      </c>
      <c r="H2660" s="8" t="str">
        <f t="shared" si="110"/>
        <v>0.03 (0.00 to 0.06)</v>
      </c>
    </row>
    <row r="2661" spans="1:8" x14ac:dyDescent="0.3">
      <c r="A2661" s="14" t="s">
        <v>69</v>
      </c>
      <c r="B2661" s="2">
        <v>212</v>
      </c>
      <c r="C2661" s="2">
        <v>22.859629999999999</v>
      </c>
      <c r="D2661" s="2">
        <v>0.14329800000000001</v>
      </c>
      <c r="E2661" s="2">
        <v>22.575108799999999</v>
      </c>
      <c r="F2661" s="2">
        <v>23.144150799999998</v>
      </c>
      <c r="H2661" s="8" t="str">
        <f t="shared" si="110"/>
        <v>22.86 (22.58 to 23.14)</v>
      </c>
    </row>
    <row r="2665" spans="1:8" x14ac:dyDescent="0.3">
      <c r="A2665" s="1" t="s">
        <v>129</v>
      </c>
    </row>
    <row r="2667" spans="1:8" x14ac:dyDescent="0.3">
      <c r="A2667" s="1" t="s">
        <v>253</v>
      </c>
    </row>
    <row r="2668" spans="1:8" ht="17.25" thickBot="1" x14ac:dyDescent="0.35"/>
    <row r="2669" spans="1:8" ht="16.5" customHeight="1" x14ac:dyDescent="0.3">
      <c r="A2669" s="24" t="s">
        <v>75</v>
      </c>
      <c r="B2669" s="26"/>
    </row>
    <row r="2670" spans="1:8" ht="26.25" thickBot="1" x14ac:dyDescent="0.35">
      <c r="A2670" s="13" t="s">
        <v>76</v>
      </c>
      <c r="B2670" s="2">
        <v>27</v>
      </c>
    </row>
    <row r="2671" spans="1:8" ht="26.25" thickBot="1" x14ac:dyDescent="0.35">
      <c r="A2671" s="13" t="s">
        <v>77</v>
      </c>
      <c r="B2671" s="2">
        <v>190</v>
      </c>
    </row>
    <row r="2672" spans="1:8" ht="39" thickBot="1" x14ac:dyDescent="0.35">
      <c r="A2672" s="13" t="s">
        <v>78</v>
      </c>
      <c r="B2672" s="2">
        <v>1581</v>
      </c>
    </row>
    <row r="2673" spans="1:8" ht="25.5" x14ac:dyDescent="0.3">
      <c r="A2673" s="14" t="s">
        <v>79</v>
      </c>
      <c r="B2673" s="2">
        <v>740642.53099999996</v>
      </c>
    </row>
    <row r="2674" spans="1:8" ht="17.25" thickBot="1" x14ac:dyDescent="0.35"/>
    <row r="2675" spans="1:8" ht="33" customHeight="1" x14ac:dyDescent="0.3">
      <c r="A2675" s="24" t="s">
        <v>80</v>
      </c>
      <c r="B2675" s="26"/>
    </row>
    <row r="2676" spans="1:8" ht="33.75" thickBot="1" x14ac:dyDescent="0.35">
      <c r="A2676" s="13" t="s">
        <v>81</v>
      </c>
      <c r="B2676" s="2" t="s">
        <v>82</v>
      </c>
    </row>
    <row r="2677" spans="1:8" ht="25.5" x14ac:dyDescent="0.3">
      <c r="A2677" s="14" t="s">
        <v>83</v>
      </c>
      <c r="B2677" s="2" t="s">
        <v>84</v>
      </c>
    </row>
    <row r="2678" spans="1:8" ht="17.25" thickBot="1" x14ac:dyDescent="0.35"/>
    <row r="2679" spans="1:8" ht="16.5" customHeight="1" x14ac:dyDescent="0.3">
      <c r="A2679" s="24" t="s">
        <v>130</v>
      </c>
      <c r="B2679" s="26"/>
      <c r="C2679" s="26"/>
      <c r="D2679" s="26"/>
      <c r="E2679" s="26"/>
      <c r="F2679" s="26"/>
    </row>
    <row r="2680" spans="1:8" x14ac:dyDescent="0.3">
      <c r="A2680" s="25" t="s">
        <v>131</v>
      </c>
      <c r="B2680" s="27" t="s">
        <v>46</v>
      </c>
      <c r="C2680" s="27" t="s">
        <v>132</v>
      </c>
      <c r="D2680" s="3" t="s">
        <v>133</v>
      </c>
      <c r="E2680" s="27" t="s">
        <v>135</v>
      </c>
      <c r="F2680" s="27"/>
    </row>
    <row r="2681" spans="1:8" x14ac:dyDescent="0.3">
      <c r="A2681" s="25"/>
      <c r="B2681" s="27"/>
      <c r="C2681" s="27"/>
      <c r="D2681" s="3" t="s">
        <v>134</v>
      </c>
      <c r="E2681" s="27"/>
      <c r="F2681" s="27"/>
    </row>
    <row r="2682" spans="1:8" ht="17.25" thickBot="1" x14ac:dyDescent="0.35">
      <c r="A2682" s="13" t="s">
        <v>66</v>
      </c>
      <c r="B2682" s="2">
        <v>1581</v>
      </c>
      <c r="C2682" s="2">
        <v>8.3532469999999996</v>
      </c>
      <c r="D2682" s="2">
        <v>1.6097E-2</v>
      </c>
      <c r="E2682" s="2">
        <v>8.3214617999999998</v>
      </c>
      <c r="F2682" s="2">
        <v>8.3850324999999994</v>
      </c>
      <c r="H2682" s="8" t="str">
        <f t="shared" ref="H2682:H2685" si="111">TEXT(C2682,"0.00")&amp;" ("&amp;TEXT(E2682,"0.00")&amp;" to "&amp;TEXT(F2682,"0.00")&amp;")"</f>
        <v>8.35 (8.32 to 8.39)</v>
      </c>
    </row>
    <row r="2683" spans="1:8" ht="17.25" thickBot="1" x14ac:dyDescent="0.35">
      <c r="A2683" s="13" t="s">
        <v>67</v>
      </c>
      <c r="B2683" s="2">
        <v>1581</v>
      </c>
      <c r="C2683" s="2">
        <v>0.64195199999999997</v>
      </c>
      <c r="D2683" s="2">
        <v>2.137E-3</v>
      </c>
      <c r="E2683" s="2">
        <v>0.63773179999999996</v>
      </c>
      <c r="F2683" s="2">
        <v>0.64617230000000003</v>
      </c>
      <c r="H2683" s="8" t="str">
        <f t="shared" si="111"/>
        <v>0.64 (0.64 to 0.65)</v>
      </c>
    </row>
    <row r="2684" spans="1:8" ht="17.25" thickBot="1" x14ac:dyDescent="0.35">
      <c r="A2684" s="13" t="s">
        <v>68</v>
      </c>
      <c r="B2684" s="2">
        <v>1581</v>
      </c>
      <c r="C2684" s="2">
        <v>0.15942300000000001</v>
      </c>
      <c r="D2684" s="2">
        <v>8.2629999999999995E-3</v>
      </c>
      <c r="E2684" s="2">
        <v>0.14310700000000001</v>
      </c>
      <c r="F2684" s="2">
        <v>0.17573839999999999</v>
      </c>
      <c r="H2684" s="8" t="str">
        <f t="shared" si="111"/>
        <v>0.16 (0.14 to 0.18)</v>
      </c>
    </row>
    <row r="2685" spans="1:8" x14ac:dyDescent="0.3">
      <c r="A2685" s="14" t="s">
        <v>69</v>
      </c>
      <c r="B2685" s="2">
        <v>1581</v>
      </c>
      <c r="C2685" s="2">
        <v>29.092562999999998</v>
      </c>
      <c r="D2685" s="2">
        <v>0.10785599999999999</v>
      </c>
      <c r="E2685" s="2">
        <v>28.879587999999998</v>
      </c>
      <c r="F2685" s="2">
        <v>29.305538500000001</v>
      </c>
      <c r="H2685" s="8" t="str">
        <f t="shared" si="111"/>
        <v>29.09 (28.88 to 29.31)</v>
      </c>
    </row>
    <row r="2689" spans="1:6" x14ac:dyDescent="0.3">
      <c r="A2689" s="1" t="s">
        <v>129</v>
      </c>
    </row>
    <row r="2691" spans="1:6" x14ac:dyDescent="0.3">
      <c r="A2691" s="1" t="s">
        <v>254</v>
      </c>
    </row>
    <row r="2692" spans="1:6" ht="17.25" thickBot="1" x14ac:dyDescent="0.35"/>
    <row r="2693" spans="1:6" ht="16.5" customHeight="1" x14ac:dyDescent="0.3">
      <c r="A2693" s="24" t="s">
        <v>75</v>
      </c>
      <c r="B2693" s="26"/>
    </row>
    <row r="2694" spans="1:6" ht="26.25" thickBot="1" x14ac:dyDescent="0.35">
      <c r="A2694" s="13" t="s">
        <v>76</v>
      </c>
      <c r="B2694" s="2">
        <v>27</v>
      </c>
    </row>
    <row r="2695" spans="1:6" ht="26.25" thickBot="1" x14ac:dyDescent="0.35">
      <c r="A2695" s="13" t="s">
        <v>77</v>
      </c>
      <c r="B2695" s="2">
        <v>187</v>
      </c>
    </row>
    <row r="2696" spans="1:6" ht="39" thickBot="1" x14ac:dyDescent="0.35">
      <c r="A2696" s="13" t="s">
        <v>78</v>
      </c>
      <c r="B2696" s="2">
        <v>986</v>
      </c>
    </row>
    <row r="2697" spans="1:6" ht="25.5" x14ac:dyDescent="0.3">
      <c r="A2697" s="14" t="s">
        <v>79</v>
      </c>
      <c r="B2697" s="2">
        <v>474613.29499999998</v>
      </c>
    </row>
    <row r="2698" spans="1:6" ht="17.25" thickBot="1" x14ac:dyDescent="0.35"/>
    <row r="2699" spans="1:6" ht="33" customHeight="1" x14ac:dyDescent="0.3">
      <c r="A2699" s="24" t="s">
        <v>80</v>
      </c>
      <c r="B2699" s="26"/>
    </row>
    <row r="2700" spans="1:6" ht="33.75" thickBot="1" x14ac:dyDescent="0.35">
      <c r="A2700" s="13" t="s">
        <v>81</v>
      </c>
      <c r="B2700" s="2" t="s">
        <v>82</v>
      </c>
    </row>
    <row r="2701" spans="1:6" ht="25.5" x14ac:dyDescent="0.3">
      <c r="A2701" s="14" t="s">
        <v>83</v>
      </c>
      <c r="B2701" s="2" t="s">
        <v>84</v>
      </c>
    </row>
    <row r="2702" spans="1:6" ht="17.25" thickBot="1" x14ac:dyDescent="0.35"/>
    <row r="2703" spans="1:6" ht="16.5" customHeight="1" x14ac:dyDescent="0.3">
      <c r="A2703" s="24" t="s">
        <v>130</v>
      </c>
      <c r="B2703" s="26"/>
      <c r="C2703" s="26"/>
      <c r="D2703" s="26"/>
      <c r="E2703" s="26"/>
      <c r="F2703" s="26"/>
    </row>
    <row r="2704" spans="1:6" x14ac:dyDescent="0.3">
      <c r="A2704" s="25" t="s">
        <v>131</v>
      </c>
      <c r="B2704" s="27" t="s">
        <v>46</v>
      </c>
      <c r="C2704" s="27" t="s">
        <v>132</v>
      </c>
      <c r="D2704" s="3" t="s">
        <v>133</v>
      </c>
      <c r="E2704" s="27" t="s">
        <v>135</v>
      </c>
      <c r="F2704" s="27"/>
    </row>
    <row r="2705" spans="1:8" x14ac:dyDescent="0.3">
      <c r="A2705" s="25"/>
      <c r="B2705" s="27"/>
      <c r="C2705" s="27"/>
      <c r="D2705" s="3" t="s">
        <v>134</v>
      </c>
      <c r="E2705" s="27"/>
      <c r="F2705" s="27"/>
    </row>
    <row r="2706" spans="1:8" ht="17.25" thickBot="1" x14ac:dyDescent="0.35">
      <c r="A2706" s="13" t="s">
        <v>66</v>
      </c>
      <c r="B2706" s="2">
        <v>986</v>
      </c>
      <c r="C2706" s="2">
        <v>8.6035400000000006</v>
      </c>
      <c r="D2706" s="2">
        <v>2.112E-2</v>
      </c>
      <c r="E2706" s="2">
        <v>8.5618291000000006</v>
      </c>
      <c r="F2706" s="2">
        <v>8.6452507000000001</v>
      </c>
      <c r="H2706" s="8" t="str">
        <f t="shared" ref="H2706:H2709" si="112">TEXT(C2706,"0.00")&amp;" ("&amp;TEXT(E2706,"0.00")&amp;" to "&amp;TEXT(F2706,"0.00")&amp;")"</f>
        <v>8.60 (8.56 to 8.65)</v>
      </c>
    </row>
    <row r="2707" spans="1:8" ht="17.25" thickBot="1" x14ac:dyDescent="0.35">
      <c r="A2707" s="13" t="s">
        <v>67</v>
      </c>
      <c r="B2707" s="2">
        <v>986</v>
      </c>
      <c r="C2707" s="2">
        <v>0.67403299999999999</v>
      </c>
      <c r="D2707" s="2">
        <v>2.679E-3</v>
      </c>
      <c r="E2707" s="2">
        <v>0.6687419</v>
      </c>
      <c r="F2707" s="2">
        <v>0.67932380000000003</v>
      </c>
      <c r="H2707" s="8" t="str">
        <f t="shared" si="112"/>
        <v>0.67 (0.67 to 0.68)</v>
      </c>
    </row>
    <row r="2708" spans="1:8" ht="17.25" thickBot="1" x14ac:dyDescent="0.35">
      <c r="A2708" s="13" t="s">
        <v>68</v>
      </c>
      <c r="B2708" s="2">
        <v>986</v>
      </c>
      <c r="C2708" s="2">
        <v>0.29989199999999999</v>
      </c>
      <c r="D2708" s="2">
        <v>1.0717000000000001E-2</v>
      </c>
      <c r="E2708" s="2">
        <v>0.2787269</v>
      </c>
      <c r="F2708" s="2">
        <v>0.3210577</v>
      </c>
      <c r="H2708" s="8" t="str">
        <f t="shared" si="112"/>
        <v>0.30 (0.28 to 0.32)</v>
      </c>
    </row>
    <row r="2709" spans="1:8" x14ac:dyDescent="0.3">
      <c r="A2709" s="14" t="s">
        <v>69</v>
      </c>
      <c r="B2709" s="2">
        <v>986</v>
      </c>
      <c r="C2709" s="2">
        <v>34.681744999999999</v>
      </c>
      <c r="D2709" s="2">
        <v>0.12728800000000001</v>
      </c>
      <c r="E2709" s="2">
        <v>34.430363399999997</v>
      </c>
      <c r="F2709" s="2">
        <v>34.933127200000001</v>
      </c>
      <c r="H2709" s="8" t="str">
        <f t="shared" si="112"/>
        <v>34.68 (34.43 to 34.93)</v>
      </c>
    </row>
    <row r="2713" spans="1:8" x14ac:dyDescent="0.3">
      <c r="A2713" s="1" t="s">
        <v>129</v>
      </c>
    </row>
    <row r="2715" spans="1:8" x14ac:dyDescent="0.3">
      <c r="A2715" s="1" t="s">
        <v>255</v>
      </c>
    </row>
    <row r="2716" spans="1:8" ht="17.25" thickBot="1" x14ac:dyDescent="0.35"/>
    <row r="2717" spans="1:8" ht="16.5" customHeight="1" x14ac:dyDescent="0.3">
      <c r="A2717" s="24" t="s">
        <v>75</v>
      </c>
      <c r="B2717" s="26"/>
    </row>
    <row r="2718" spans="1:8" ht="26.25" thickBot="1" x14ac:dyDescent="0.35">
      <c r="A2718" s="13" t="s">
        <v>76</v>
      </c>
      <c r="B2718" s="2">
        <v>27</v>
      </c>
    </row>
    <row r="2719" spans="1:8" ht="26.25" thickBot="1" x14ac:dyDescent="0.35">
      <c r="A2719" s="13" t="s">
        <v>77</v>
      </c>
      <c r="B2719" s="2">
        <v>190</v>
      </c>
    </row>
    <row r="2720" spans="1:8" ht="39" thickBot="1" x14ac:dyDescent="0.35">
      <c r="A2720" s="13" t="s">
        <v>78</v>
      </c>
      <c r="B2720" s="2">
        <v>1637</v>
      </c>
    </row>
    <row r="2721" spans="1:8" ht="25.5" x14ac:dyDescent="0.3">
      <c r="A2721" s="14" t="s">
        <v>79</v>
      </c>
      <c r="B2721" s="2">
        <v>830904.01300000004</v>
      </c>
    </row>
    <row r="2722" spans="1:8" ht="17.25" thickBot="1" x14ac:dyDescent="0.35"/>
    <row r="2723" spans="1:8" ht="33" customHeight="1" x14ac:dyDescent="0.3">
      <c r="A2723" s="24" t="s">
        <v>80</v>
      </c>
      <c r="B2723" s="26"/>
    </row>
    <row r="2724" spans="1:8" ht="33.75" thickBot="1" x14ac:dyDescent="0.35">
      <c r="A2724" s="13" t="s">
        <v>81</v>
      </c>
      <c r="B2724" s="2" t="s">
        <v>82</v>
      </c>
    </row>
    <row r="2725" spans="1:8" ht="25.5" x14ac:dyDescent="0.3">
      <c r="A2725" s="14" t="s">
        <v>83</v>
      </c>
      <c r="B2725" s="2" t="s">
        <v>84</v>
      </c>
    </row>
    <row r="2726" spans="1:8" ht="17.25" thickBot="1" x14ac:dyDescent="0.35"/>
    <row r="2727" spans="1:8" ht="16.5" customHeight="1" x14ac:dyDescent="0.3">
      <c r="A2727" s="24" t="s">
        <v>130</v>
      </c>
      <c r="B2727" s="26"/>
      <c r="C2727" s="26"/>
      <c r="D2727" s="26"/>
      <c r="E2727" s="26"/>
      <c r="F2727" s="26"/>
    </row>
    <row r="2728" spans="1:8" x14ac:dyDescent="0.3">
      <c r="A2728" s="25" t="s">
        <v>131</v>
      </c>
      <c r="B2728" s="27" t="s">
        <v>46</v>
      </c>
      <c r="C2728" s="27" t="s">
        <v>132</v>
      </c>
      <c r="D2728" s="3" t="s">
        <v>133</v>
      </c>
      <c r="E2728" s="27" t="s">
        <v>135</v>
      </c>
      <c r="F2728" s="27"/>
    </row>
    <row r="2729" spans="1:8" x14ac:dyDescent="0.3">
      <c r="A2729" s="25"/>
      <c r="B2729" s="27"/>
      <c r="C2729" s="27"/>
      <c r="D2729" s="3" t="s">
        <v>134</v>
      </c>
      <c r="E2729" s="27"/>
      <c r="F2729" s="27"/>
    </row>
    <row r="2730" spans="1:8" ht="17.25" thickBot="1" x14ac:dyDescent="0.35">
      <c r="A2730" s="13" t="s">
        <v>66</v>
      </c>
      <c r="B2730" s="2">
        <v>1637</v>
      </c>
      <c r="C2730" s="2">
        <v>8.8591560000000005</v>
      </c>
      <c r="D2730" s="2">
        <v>1.7389999999999999E-2</v>
      </c>
      <c r="E2730" s="2">
        <v>8.8248172999999994</v>
      </c>
      <c r="F2730" s="2">
        <v>8.8934943999999998</v>
      </c>
      <c r="H2730" s="8" t="str">
        <f t="shared" ref="H2730:H2733" si="113">TEXT(C2730,"0.00")&amp;" ("&amp;TEXT(E2730,"0.00")&amp;" to "&amp;TEXT(F2730,"0.00")&amp;")"</f>
        <v>8.86 (8.82 to 8.89)</v>
      </c>
    </row>
    <row r="2731" spans="1:8" ht="17.25" thickBot="1" x14ac:dyDescent="0.35">
      <c r="A2731" s="13" t="s">
        <v>67</v>
      </c>
      <c r="B2731" s="2">
        <v>1637</v>
      </c>
      <c r="C2731" s="2">
        <v>0.69665500000000002</v>
      </c>
      <c r="D2731" s="2">
        <v>2.0400000000000001E-3</v>
      </c>
      <c r="E2731" s="2">
        <v>0.69262619999999997</v>
      </c>
      <c r="F2731" s="2">
        <v>0.70068430000000004</v>
      </c>
      <c r="H2731" s="8" t="str">
        <f t="shared" si="113"/>
        <v>0.70 (0.69 to 0.70)</v>
      </c>
    </row>
    <row r="2732" spans="1:8" ht="17.25" thickBot="1" x14ac:dyDescent="0.35">
      <c r="A2732" s="13" t="s">
        <v>68</v>
      </c>
      <c r="B2732" s="2">
        <v>1637</v>
      </c>
      <c r="C2732" s="2">
        <v>0.43553999999999998</v>
      </c>
      <c r="D2732" s="2">
        <v>8.8649999999999996E-3</v>
      </c>
      <c r="E2732" s="2">
        <v>0.41803410000000002</v>
      </c>
      <c r="F2732" s="2">
        <v>0.45304559999999999</v>
      </c>
      <c r="H2732" s="8" t="str">
        <f t="shared" si="113"/>
        <v>0.44 (0.42 to 0.45)</v>
      </c>
    </row>
    <row r="2733" spans="1:8" x14ac:dyDescent="0.3">
      <c r="A2733" s="14" t="s">
        <v>69</v>
      </c>
      <c r="B2733" s="2">
        <v>1637</v>
      </c>
      <c r="C2733" s="2">
        <v>42.713982999999999</v>
      </c>
      <c r="D2733" s="2">
        <v>0.199459</v>
      </c>
      <c r="E2733" s="2">
        <v>42.320127399999997</v>
      </c>
      <c r="F2733" s="2">
        <v>43.1078391</v>
      </c>
      <c r="H2733" s="8" t="str">
        <f t="shared" si="113"/>
        <v>42.71 (42.32 to 43.11)</v>
      </c>
    </row>
    <row r="2737" spans="1:6" x14ac:dyDescent="0.3">
      <c r="A2737" s="1" t="s">
        <v>129</v>
      </c>
    </row>
    <row r="2739" spans="1:6" x14ac:dyDescent="0.3">
      <c r="A2739" s="1" t="s">
        <v>256</v>
      </c>
    </row>
    <row r="2740" spans="1:6" ht="17.25" thickBot="1" x14ac:dyDescent="0.35"/>
    <row r="2741" spans="1:6" ht="16.5" customHeight="1" x14ac:dyDescent="0.3">
      <c r="A2741" s="24" t="s">
        <v>75</v>
      </c>
      <c r="B2741" s="26"/>
    </row>
    <row r="2742" spans="1:6" ht="26.25" thickBot="1" x14ac:dyDescent="0.35">
      <c r="A2742" s="13" t="s">
        <v>76</v>
      </c>
      <c r="B2742" s="2">
        <v>25</v>
      </c>
    </row>
    <row r="2743" spans="1:6" ht="26.25" thickBot="1" x14ac:dyDescent="0.35">
      <c r="A2743" s="13" t="s">
        <v>77</v>
      </c>
      <c r="B2743" s="2">
        <v>500</v>
      </c>
    </row>
    <row r="2744" spans="1:6" ht="39" thickBot="1" x14ac:dyDescent="0.35">
      <c r="A2744" s="13" t="s">
        <v>78</v>
      </c>
      <c r="B2744" s="2">
        <v>10177</v>
      </c>
    </row>
    <row r="2745" spans="1:6" ht="25.5" x14ac:dyDescent="0.3">
      <c r="A2745" s="14" t="s">
        <v>79</v>
      </c>
      <c r="B2745" s="2">
        <v>3428290.99</v>
      </c>
    </row>
    <row r="2746" spans="1:6" ht="17.25" thickBot="1" x14ac:dyDescent="0.35"/>
    <row r="2747" spans="1:6" ht="33" customHeight="1" x14ac:dyDescent="0.3">
      <c r="A2747" s="24" t="s">
        <v>80</v>
      </c>
      <c r="B2747" s="26"/>
    </row>
    <row r="2748" spans="1:6" ht="33.75" thickBot="1" x14ac:dyDescent="0.35">
      <c r="A2748" s="13" t="s">
        <v>81</v>
      </c>
      <c r="B2748" s="2" t="s">
        <v>82</v>
      </c>
    </row>
    <row r="2749" spans="1:6" ht="25.5" x14ac:dyDescent="0.3">
      <c r="A2749" s="14" t="s">
        <v>83</v>
      </c>
      <c r="B2749" s="2" t="s">
        <v>84</v>
      </c>
    </row>
    <row r="2750" spans="1:6" ht="17.25" thickBot="1" x14ac:dyDescent="0.35"/>
    <row r="2751" spans="1:6" ht="16.5" customHeight="1" x14ac:dyDescent="0.3">
      <c r="A2751" s="24" t="s">
        <v>130</v>
      </c>
      <c r="B2751" s="26"/>
      <c r="C2751" s="26"/>
      <c r="D2751" s="26"/>
      <c r="E2751" s="26"/>
      <c r="F2751" s="26"/>
    </row>
    <row r="2752" spans="1:6" x14ac:dyDescent="0.3">
      <c r="A2752" s="25" t="s">
        <v>131</v>
      </c>
      <c r="B2752" s="27" t="s">
        <v>46</v>
      </c>
      <c r="C2752" s="27" t="s">
        <v>132</v>
      </c>
      <c r="D2752" s="3" t="s">
        <v>133</v>
      </c>
      <c r="E2752" s="27" t="s">
        <v>135</v>
      </c>
      <c r="F2752" s="27"/>
    </row>
    <row r="2753" spans="1:8" x14ac:dyDescent="0.3">
      <c r="A2753" s="25"/>
      <c r="B2753" s="27"/>
      <c r="C2753" s="27"/>
      <c r="D2753" s="3" t="s">
        <v>134</v>
      </c>
      <c r="E2753" s="27"/>
      <c r="F2753" s="27"/>
    </row>
    <row r="2754" spans="1:8" ht="17.25" thickBot="1" x14ac:dyDescent="0.35">
      <c r="A2754" s="13" t="s">
        <v>66</v>
      </c>
      <c r="B2754" s="2">
        <v>10177</v>
      </c>
      <c r="C2754" s="2">
        <v>8.6253010000000003</v>
      </c>
      <c r="D2754" s="2">
        <v>8.8570000000000003E-3</v>
      </c>
      <c r="E2754" s="2">
        <v>8.6078968000000007</v>
      </c>
      <c r="F2754" s="2">
        <v>8.6427061999999992</v>
      </c>
      <c r="H2754" s="8" t="str">
        <f t="shared" ref="H2754:H2757" si="114">TEXT(C2754,"0.00")&amp;" ("&amp;TEXT(E2754,"0.00")&amp;" to "&amp;TEXT(F2754,"0.00")&amp;")"</f>
        <v>8.63 (8.61 to 8.64)</v>
      </c>
    </row>
    <row r="2755" spans="1:8" ht="17.25" thickBot="1" x14ac:dyDescent="0.35">
      <c r="A2755" s="13" t="s">
        <v>67</v>
      </c>
      <c r="B2755" s="2">
        <v>10177</v>
      </c>
      <c r="C2755" s="2">
        <v>0.67193199999999997</v>
      </c>
      <c r="D2755" s="2">
        <v>1.214E-3</v>
      </c>
      <c r="E2755" s="2">
        <v>0.66954749999999996</v>
      </c>
      <c r="F2755" s="2">
        <v>0.67431700000000006</v>
      </c>
      <c r="H2755" s="8" t="str">
        <f t="shared" si="114"/>
        <v>0.67 (0.67 to 0.67)</v>
      </c>
    </row>
    <row r="2756" spans="1:8" ht="17.25" thickBot="1" x14ac:dyDescent="0.35">
      <c r="A2756" s="13" t="s">
        <v>68</v>
      </c>
      <c r="B2756" s="2">
        <v>10177</v>
      </c>
      <c r="C2756" s="2">
        <v>0.39533699999999999</v>
      </c>
      <c r="D2756" s="2">
        <v>4.0039999999999997E-3</v>
      </c>
      <c r="E2756" s="2">
        <v>0.3874687</v>
      </c>
      <c r="F2756" s="2">
        <v>0.40320460000000002</v>
      </c>
      <c r="H2756" s="8" t="str">
        <f t="shared" si="114"/>
        <v>0.40 (0.39 to 0.40)</v>
      </c>
    </row>
    <row r="2757" spans="1:8" x14ac:dyDescent="0.3">
      <c r="A2757" s="14" t="s">
        <v>69</v>
      </c>
      <c r="B2757" s="2">
        <v>10177</v>
      </c>
      <c r="C2757" s="2">
        <v>36.218677999999997</v>
      </c>
      <c r="D2757" s="2">
        <v>8.8562000000000002E-2</v>
      </c>
      <c r="E2757" s="2">
        <v>36.044656000000003</v>
      </c>
      <c r="F2757" s="2">
        <v>36.392700900000001</v>
      </c>
      <c r="H2757" s="8" t="str">
        <f t="shared" si="114"/>
        <v>36.22 (36.04 to 36.39)</v>
      </c>
    </row>
    <row r="2761" spans="1:8" x14ac:dyDescent="0.3">
      <c r="A2761" s="1" t="s">
        <v>129</v>
      </c>
    </row>
    <row r="2763" spans="1:8" x14ac:dyDescent="0.3">
      <c r="A2763" s="1" t="s">
        <v>257</v>
      </c>
    </row>
    <row r="2764" spans="1:8" ht="17.25" thickBot="1" x14ac:dyDescent="0.35"/>
    <row r="2765" spans="1:8" ht="16.5" customHeight="1" x14ac:dyDescent="0.3">
      <c r="A2765" s="24" t="s">
        <v>75</v>
      </c>
      <c r="B2765" s="26"/>
    </row>
    <row r="2766" spans="1:8" ht="26.25" thickBot="1" x14ac:dyDescent="0.35">
      <c r="A2766" s="13" t="s">
        <v>76</v>
      </c>
      <c r="B2766" s="2">
        <v>25</v>
      </c>
    </row>
    <row r="2767" spans="1:8" ht="26.25" thickBot="1" x14ac:dyDescent="0.35">
      <c r="A2767" s="13" t="s">
        <v>77</v>
      </c>
      <c r="B2767" s="2">
        <v>453</v>
      </c>
    </row>
    <row r="2768" spans="1:8" ht="39" thickBot="1" x14ac:dyDescent="0.35">
      <c r="A2768" s="13" t="s">
        <v>78</v>
      </c>
      <c r="B2768" s="2">
        <v>1738</v>
      </c>
    </row>
    <row r="2769" spans="1:8" ht="25.5" x14ac:dyDescent="0.3">
      <c r="A2769" s="14" t="s">
        <v>79</v>
      </c>
      <c r="B2769" s="2">
        <v>941877.72499999998</v>
      </c>
    </row>
    <row r="2770" spans="1:8" ht="17.25" thickBot="1" x14ac:dyDescent="0.35"/>
    <row r="2771" spans="1:8" ht="33" customHeight="1" x14ac:dyDescent="0.3">
      <c r="A2771" s="24" t="s">
        <v>80</v>
      </c>
      <c r="B2771" s="26"/>
    </row>
    <row r="2772" spans="1:8" ht="33.75" thickBot="1" x14ac:dyDescent="0.35">
      <c r="A2772" s="13" t="s">
        <v>81</v>
      </c>
      <c r="B2772" s="2" t="s">
        <v>82</v>
      </c>
    </row>
    <row r="2773" spans="1:8" ht="25.5" x14ac:dyDescent="0.3">
      <c r="A2773" s="14" t="s">
        <v>83</v>
      </c>
      <c r="B2773" s="2" t="s">
        <v>84</v>
      </c>
    </row>
    <row r="2774" spans="1:8" ht="17.25" thickBot="1" x14ac:dyDescent="0.35"/>
    <row r="2775" spans="1:8" ht="16.5" customHeight="1" x14ac:dyDescent="0.3">
      <c r="A2775" s="24" t="s">
        <v>130</v>
      </c>
      <c r="B2775" s="26"/>
      <c r="C2775" s="26"/>
      <c r="D2775" s="26"/>
      <c r="E2775" s="26"/>
      <c r="F2775" s="26"/>
    </row>
    <row r="2776" spans="1:8" x14ac:dyDescent="0.3">
      <c r="A2776" s="25" t="s">
        <v>131</v>
      </c>
      <c r="B2776" s="27" t="s">
        <v>46</v>
      </c>
      <c r="C2776" s="27" t="s">
        <v>132</v>
      </c>
      <c r="D2776" s="3" t="s">
        <v>133</v>
      </c>
      <c r="E2776" s="27" t="s">
        <v>135</v>
      </c>
      <c r="F2776" s="27"/>
    </row>
    <row r="2777" spans="1:8" x14ac:dyDescent="0.3">
      <c r="A2777" s="25"/>
      <c r="B2777" s="27"/>
      <c r="C2777" s="27"/>
      <c r="D2777" s="3" t="s">
        <v>134</v>
      </c>
      <c r="E2777" s="27"/>
      <c r="F2777" s="27"/>
    </row>
    <row r="2778" spans="1:8" ht="17.25" thickBot="1" x14ac:dyDescent="0.35">
      <c r="A2778" s="13" t="s">
        <v>66</v>
      </c>
      <c r="B2778" s="2">
        <v>1738</v>
      </c>
      <c r="C2778" s="2">
        <v>8.2991620000000008</v>
      </c>
      <c r="D2778" s="2">
        <v>1.7243999999999999E-2</v>
      </c>
      <c r="E2778" s="2">
        <v>8.2652687999999994</v>
      </c>
      <c r="F2778" s="2">
        <v>8.3330555999999998</v>
      </c>
      <c r="H2778" s="8" t="str">
        <f t="shared" ref="H2778:H2781" si="115">TEXT(C2778,"0.00")&amp;" ("&amp;TEXT(E2778,"0.00")&amp;" to "&amp;TEXT(F2778,"0.00")&amp;")"</f>
        <v>8.30 (8.27 to 8.33)</v>
      </c>
    </row>
    <row r="2779" spans="1:8" ht="17.25" thickBot="1" x14ac:dyDescent="0.35">
      <c r="A2779" s="13" t="s">
        <v>67</v>
      </c>
      <c r="B2779" s="2">
        <v>1738</v>
      </c>
      <c r="C2779" s="2">
        <v>0.61871100000000001</v>
      </c>
      <c r="D2779" s="2">
        <v>1.954E-3</v>
      </c>
      <c r="E2779" s="2">
        <v>0.61487069999999999</v>
      </c>
      <c r="F2779" s="2">
        <v>0.62255070000000001</v>
      </c>
      <c r="H2779" s="8" t="str">
        <f t="shared" si="115"/>
        <v>0.62 (0.61 to 0.62)</v>
      </c>
    </row>
    <row r="2780" spans="1:8" ht="17.25" thickBot="1" x14ac:dyDescent="0.35">
      <c r="A2780" s="13" t="s">
        <v>68</v>
      </c>
      <c r="B2780" s="2">
        <v>1738</v>
      </c>
      <c r="C2780" s="2">
        <v>0.26802999999999999</v>
      </c>
      <c r="D2780" s="2">
        <v>8.5939999999999992E-3</v>
      </c>
      <c r="E2780" s="2">
        <v>0.25113809999999998</v>
      </c>
      <c r="F2780" s="2">
        <v>0.28492109999999998</v>
      </c>
      <c r="H2780" s="8" t="str">
        <f t="shared" si="115"/>
        <v>0.27 (0.25 to 0.28)</v>
      </c>
    </row>
    <row r="2781" spans="1:8" x14ac:dyDescent="0.3">
      <c r="A2781" s="14" t="s">
        <v>69</v>
      </c>
      <c r="B2781" s="2">
        <v>1738</v>
      </c>
      <c r="C2781" s="2">
        <v>33.240656999999999</v>
      </c>
      <c r="D2781" s="2">
        <v>0.194606</v>
      </c>
      <c r="E2781" s="2">
        <v>32.858155500000002</v>
      </c>
      <c r="F2781" s="2">
        <v>33.623158799999999</v>
      </c>
      <c r="H2781" s="8" t="str">
        <f t="shared" si="115"/>
        <v>33.24 (32.86 to 33.62)</v>
      </c>
    </row>
    <row r="2785" spans="1:6" x14ac:dyDescent="0.3">
      <c r="A2785" s="1" t="s">
        <v>129</v>
      </c>
    </row>
    <row r="2787" spans="1:6" x14ac:dyDescent="0.3">
      <c r="A2787" s="1" t="s">
        <v>258</v>
      </c>
    </row>
    <row r="2788" spans="1:6" ht="17.25" thickBot="1" x14ac:dyDescent="0.35"/>
    <row r="2789" spans="1:6" ht="16.5" customHeight="1" x14ac:dyDescent="0.3">
      <c r="A2789" s="24" t="s">
        <v>75</v>
      </c>
      <c r="B2789" s="26"/>
    </row>
    <row r="2790" spans="1:6" ht="26.25" thickBot="1" x14ac:dyDescent="0.35">
      <c r="A2790" s="13" t="s">
        <v>76</v>
      </c>
      <c r="B2790" s="2">
        <v>25</v>
      </c>
    </row>
    <row r="2791" spans="1:6" ht="26.25" thickBot="1" x14ac:dyDescent="0.35">
      <c r="A2791" s="13" t="s">
        <v>77</v>
      </c>
      <c r="B2791" s="2">
        <v>576</v>
      </c>
    </row>
    <row r="2792" spans="1:6" ht="39" thickBot="1" x14ac:dyDescent="0.35">
      <c r="A2792" s="13" t="s">
        <v>78</v>
      </c>
      <c r="B2792" s="2">
        <v>11190</v>
      </c>
    </row>
    <row r="2793" spans="1:6" ht="25.5" x14ac:dyDescent="0.3">
      <c r="A2793" s="14" t="s">
        <v>79</v>
      </c>
      <c r="B2793" s="2">
        <v>4187021.02</v>
      </c>
    </row>
    <row r="2794" spans="1:6" ht="17.25" thickBot="1" x14ac:dyDescent="0.35"/>
    <row r="2795" spans="1:6" ht="33" customHeight="1" x14ac:dyDescent="0.3">
      <c r="A2795" s="24" t="s">
        <v>80</v>
      </c>
      <c r="B2795" s="26"/>
    </row>
    <row r="2796" spans="1:6" ht="33.75" thickBot="1" x14ac:dyDescent="0.35">
      <c r="A2796" s="13" t="s">
        <v>81</v>
      </c>
      <c r="B2796" s="2" t="s">
        <v>82</v>
      </c>
    </row>
    <row r="2797" spans="1:6" ht="25.5" x14ac:dyDescent="0.3">
      <c r="A2797" s="14" t="s">
        <v>83</v>
      </c>
      <c r="B2797" s="2" t="s">
        <v>84</v>
      </c>
    </row>
    <row r="2798" spans="1:6" ht="17.25" thickBot="1" x14ac:dyDescent="0.35"/>
    <row r="2799" spans="1:6" ht="16.5" customHeight="1" x14ac:dyDescent="0.3">
      <c r="A2799" s="24" t="s">
        <v>130</v>
      </c>
      <c r="B2799" s="26"/>
      <c r="C2799" s="26"/>
      <c r="D2799" s="26"/>
      <c r="E2799" s="26"/>
      <c r="F2799" s="26"/>
    </row>
    <row r="2800" spans="1:6" x14ac:dyDescent="0.3">
      <c r="A2800" s="25" t="s">
        <v>131</v>
      </c>
      <c r="B2800" s="27" t="s">
        <v>46</v>
      </c>
      <c r="C2800" s="27" t="s">
        <v>132</v>
      </c>
      <c r="D2800" s="3" t="s">
        <v>133</v>
      </c>
      <c r="E2800" s="27" t="s">
        <v>135</v>
      </c>
      <c r="F2800" s="27"/>
    </row>
    <row r="2801" spans="1:8" x14ac:dyDescent="0.3">
      <c r="A2801" s="25"/>
      <c r="B2801" s="27"/>
      <c r="C2801" s="27"/>
      <c r="D2801" s="3" t="s">
        <v>134</v>
      </c>
      <c r="E2801" s="27"/>
      <c r="F2801" s="27"/>
    </row>
    <row r="2802" spans="1:8" ht="17.25" thickBot="1" x14ac:dyDescent="0.35">
      <c r="A2802" s="13" t="s">
        <v>66</v>
      </c>
      <c r="B2802" s="2">
        <v>11190</v>
      </c>
      <c r="C2802" s="2">
        <v>8.6369799999999994</v>
      </c>
      <c r="D2802" s="2">
        <v>8.0669999999999995E-3</v>
      </c>
      <c r="E2802" s="2">
        <v>8.6211345000000001</v>
      </c>
      <c r="F2802" s="2">
        <v>8.652825</v>
      </c>
      <c r="H2802" s="8" t="str">
        <f t="shared" ref="H2802:H2805" si="116">TEXT(C2802,"0.00")&amp;" ("&amp;TEXT(E2802,"0.00")&amp;" to "&amp;TEXT(F2802,"0.00")&amp;")"</f>
        <v>8.64 (8.62 to 8.65)</v>
      </c>
    </row>
    <row r="2803" spans="1:8" ht="17.25" thickBot="1" x14ac:dyDescent="0.35">
      <c r="A2803" s="13" t="s">
        <v>67</v>
      </c>
      <c r="B2803" s="2">
        <v>11190</v>
      </c>
      <c r="C2803" s="2">
        <v>0.67025900000000005</v>
      </c>
      <c r="D2803" s="2">
        <v>1.042E-3</v>
      </c>
      <c r="E2803" s="2">
        <v>0.66821149999999996</v>
      </c>
      <c r="F2803" s="2">
        <v>0.67230619999999996</v>
      </c>
      <c r="H2803" s="8" t="str">
        <f t="shared" si="116"/>
        <v>0.67 (0.67 to 0.67)</v>
      </c>
    </row>
    <row r="2804" spans="1:8" ht="17.25" thickBot="1" x14ac:dyDescent="0.35">
      <c r="A2804" s="13" t="s">
        <v>68</v>
      </c>
      <c r="B2804" s="2">
        <v>11190</v>
      </c>
      <c r="C2804" s="2">
        <v>0.38633699999999999</v>
      </c>
      <c r="D2804" s="2">
        <v>3.7859999999999999E-3</v>
      </c>
      <c r="E2804" s="2">
        <v>0.3788995</v>
      </c>
      <c r="F2804" s="2">
        <v>0.39377459999999997</v>
      </c>
      <c r="H2804" s="8" t="str">
        <f t="shared" si="116"/>
        <v>0.39 (0.38 to 0.39)</v>
      </c>
    </row>
    <row r="2805" spans="1:8" x14ac:dyDescent="0.3">
      <c r="A2805" s="14" t="s">
        <v>69</v>
      </c>
      <c r="B2805" s="2">
        <v>11190</v>
      </c>
      <c r="C2805" s="2">
        <v>36.201275000000003</v>
      </c>
      <c r="D2805" s="2">
        <v>8.4175E-2</v>
      </c>
      <c r="E2805" s="2">
        <v>36.0359324</v>
      </c>
      <c r="F2805" s="2">
        <v>36.366617900000001</v>
      </c>
      <c r="H2805" s="8" t="str">
        <f t="shared" si="116"/>
        <v>36.20 (36.04 to 36.37)</v>
      </c>
    </row>
    <row r="2809" spans="1:8" x14ac:dyDescent="0.3">
      <c r="A2809" s="1" t="s">
        <v>129</v>
      </c>
    </row>
    <row r="2811" spans="1:8" x14ac:dyDescent="0.3">
      <c r="A2811" s="1" t="s">
        <v>259</v>
      </c>
    </row>
    <row r="2812" spans="1:8" ht="17.25" thickBot="1" x14ac:dyDescent="0.35"/>
    <row r="2813" spans="1:8" ht="16.5" customHeight="1" x14ac:dyDescent="0.3">
      <c r="A2813" s="24" t="s">
        <v>75</v>
      </c>
      <c r="B2813" s="26"/>
    </row>
    <row r="2814" spans="1:8" ht="26.25" thickBot="1" x14ac:dyDescent="0.35">
      <c r="A2814" s="13" t="s">
        <v>76</v>
      </c>
      <c r="B2814" s="2">
        <v>25</v>
      </c>
    </row>
    <row r="2815" spans="1:8" ht="26.25" thickBot="1" x14ac:dyDescent="0.35">
      <c r="A2815" s="13" t="s">
        <v>77</v>
      </c>
      <c r="B2815" s="2">
        <v>510</v>
      </c>
    </row>
    <row r="2816" spans="1:8" ht="39" thickBot="1" x14ac:dyDescent="0.35">
      <c r="A2816" s="13" t="s">
        <v>78</v>
      </c>
      <c r="B2816" s="2">
        <v>1926</v>
      </c>
    </row>
    <row r="2817" spans="1:8" ht="25.5" x14ac:dyDescent="0.3">
      <c r="A2817" s="14" t="s">
        <v>79</v>
      </c>
      <c r="B2817" s="2">
        <v>1273643.93</v>
      </c>
    </row>
    <row r="2818" spans="1:8" ht="17.25" thickBot="1" x14ac:dyDescent="0.35"/>
    <row r="2819" spans="1:8" ht="33" customHeight="1" x14ac:dyDescent="0.3">
      <c r="A2819" s="24" t="s">
        <v>80</v>
      </c>
      <c r="B2819" s="26"/>
    </row>
    <row r="2820" spans="1:8" ht="33.75" thickBot="1" x14ac:dyDescent="0.35">
      <c r="A2820" s="13" t="s">
        <v>81</v>
      </c>
      <c r="B2820" s="2" t="s">
        <v>82</v>
      </c>
    </row>
    <row r="2821" spans="1:8" ht="25.5" x14ac:dyDescent="0.3">
      <c r="A2821" s="14" t="s">
        <v>83</v>
      </c>
      <c r="B2821" s="2" t="s">
        <v>84</v>
      </c>
    </row>
    <row r="2822" spans="1:8" ht="17.25" thickBot="1" x14ac:dyDescent="0.35"/>
    <row r="2823" spans="1:8" ht="16.5" customHeight="1" x14ac:dyDescent="0.3">
      <c r="A2823" s="24" t="s">
        <v>130</v>
      </c>
      <c r="B2823" s="26"/>
      <c r="C2823" s="26"/>
      <c r="D2823" s="26"/>
      <c r="E2823" s="26"/>
      <c r="F2823" s="26"/>
    </row>
    <row r="2824" spans="1:8" x14ac:dyDescent="0.3">
      <c r="A2824" s="25" t="s">
        <v>131</v>
      </c>
      <c r="B2824" s="27" t="s">
        <v>46</v>
      </c>
      <c r="C2824" s="27" t="s">
        <v>132</v>
      </c>
      <c r="D2824" s="3" t="s">
        <v>133</v>
      </c>
      <c r="E2824" s="27" t="s">
        <v>135</v>
      </c>
      <c r="F2824" s="27"/>
    </row>
    <row r="2825" spans="1:8" x14ac:dyDescent="0.3">
      <c r="A2825" s="25"/>
      <c r="B2825" s="27"/>
      <c r="C2825" s="27"/>
      <c r="D2825" s="3" t="s">
        <v>134</v>
      </c>
      <c r="E2825" s="27"/>
      <c r="F2825" s="27"/>
    </row>
    <row r="2826" spans="1:8" ht="17.25" thickBot="1" x14ac:dyDescent="0.35">
      <c r="A2826" s="13" t="s">
        <v>66</v>
      </c>
      <c r="B2826" s="2">
        <v>1926</v>
      </c>
      <c r="C2826" s="2">
        <v>8.3049389999999992</v>
      </c>
      <c r="D2826" s="2">
        <v>1.8190999999999999E-2</v>
      </c>
      <c r="E2826" s="2">
        <v>8.2691966000000008</v>
      </c>
      <c r="F2826" s="2">
        <v>8.3406809000000006</v>
      </c>
      <c r="H2826" s="8" t="str">
        <f t="shared" ref="H2826:H2829" si="117">TEXT(C2826,"0.00")&amp;" ("&amp;TEXT(E2826,"0.00")&amp;" to "&amp;TEXT(F2826,"0.00")&amp;")"</f>
        <v>8.30 (8.27 to 8.34)</v>
      </c>
    </row>
    <row r="2827" spans="1:8" ht="17.25" thickBot="1" x14ac:dyDescent="0.35">
      <c r="A2827" s="13" t="s">
        <v>67</v>
      </c>
      <c r="B2827" s="2">
        <v>1926</v>
      </c>
      <c r="C2827" s="2">
        <v>0.61625099999999999</v>
      </c>
      <c r="D2827" s="2">
        <v>1.8270000000000001E-3</v>
      </c>
      <c r="E2827" s="2">
        <v>0.61266169999999998</v>
      </c>
      <c r="F2827" s="2">
        <v>0.6198401</v>
      </c>
      <c r="H2827" s="8" t="str">
        <f t="shared" si="117"/>
        <v>0.62 (0.61 to 0.62)</v>
      </c>
    </row>
    <row r="2828" spans="1:8" ht="17.25" thickBot="1" x14ac:dyDescent="0.35">
      <c r="A2828" s="13" t="s">
        <v>68</v>
      </c>
      <c r="B2828" s="2">
        <v>1926</v>
      </c>
      <c r="C2828" s="2">
        <v>0.25941199999999998</v>
      </c>
      <c r="D2828" s="2">
        <v>8.94E-3</v>
      </c>
      <c r="E2828" s="2">
        <v>0.24184549999999999</v>
      </c>
      <c r="F2828" s="2">
        <v>0.27697919999999998</v>
      </c>
      <c r="H2828" s="8" t="str">
        <f t="shared" si="117"/>
        <v>0.26 (0.24 to 0.28)</v>
      </c>
    </row>
    <row r="2829" spans="1:8" x14ac:dyDescent="0.3">
      <c r="A2829" s="14" t="s">
        <v>69</v>
      </c>
      <c r="B2829" s="2">
        <v>1926</v>
      </c>
      <c r="C2829" s="2">
        <v>33.399717000000003</v>
      </c>
      <c r="D2829" s="2">
        <v>0.224991</v>
      </c>
      <c r="E2829" s="2">
        <v>32.957639899999997</v>
      </c>
      <c r="F2829" s="2">
        <v>33.8417934</v>
      </c>
      <c r="H2829" s="8" t="str">
        <f t="shared" si="117"/>
        <v>33.40 (32.96 to 33.84)</v>
      </c>
    </row>
    <row r="2833" spans="1:6" x14ac:dyDescent="0.3">
      <c r="A2833" s="1" t="s">
        <v>129</v>
      </c>
    </row>
    <row r="2835" spans="1:6" x14ac:dyDescent="0.3">
      <c r="A2835" s="1" t="s">
        <v>260</v>
      </c>
    </row>
    <row r="2836" spans="1:6" ht="17.25" thickBot="1" x14ac:dyDescent="0.35"/>
    <row r="2837" spans="1:6" ht="16.5" customHeight="1" x14ac:dyDescent="0.3">
      <c r="A2837" s="24" t="s">
        <v>75</v>
      </c>
      <c r="B2837" s="26"/>
    </row>
    <row r="2838" spans="1:6" ht="26.25" thickBot="1" x14ac:dyDescent="0.35">
      <c r="A2838" s="13" t="s">
        <v>76</v>
      </c>
      <c r="B2838" s="2">
        <v>25</v>
      </c>
    </row>
    <row r="2839" spans="1:6" ht="26.25" thickBot="1" x14ac:dyDescent="0.35">
      <c r="A2839" s="13" t="s">
        <v>77</v>
      </c>
      <c r="B2839" s="2">
        <v>575</v>
      </c>
    </row>
    <row r="2840" spans="1:6" ht="39" thickBot="1" x14ac:dyDescent="0.35">
      <c r="A2840" s="13" t="s">
        <v>78</v>
      </c>
      <c r="B2840" s="2">
        <v>9576</v>
      </c>
    </row>
    <row r="2841" spans="1:6" ht="25.5" x14ac:dyDescent="0.3">
      <c r="A2841" s="14" t="s">
        <v>79</v>
      </c>
      <c r="B2841" s="2">
        <v>4120388.69</v>
      </c>
    </row>
    <row r="2842" spans="1:6" ht="17.25" thickBot="1" x14ac:dyDescent="0.35"/>
    <row r="2843" spans="1:6" ht="33" customHeight="1" x14ac:dyDescent="0.3">
      <c r="A2843" s="24" t="s">
        <v>80</v>
      </c>
      <c r="B2843" s="26"/>
    </row>
    <row r="2844" spans="1:6" ht="33.75" thickBot="1" x14ac:dyDescent="0.35">
      <c r="A2844" s="13" t="s">
        <v>81</v>
      </c>
      <c r="B2844" s="2" t="s">
        <v>82</v>
      </c>
    </row>
    <row r="2845" spans="1:6" ht="25.5" x14ac:dyDescent="0.3">
      <c r="A2845" s="14" t="s">
        <v>83</v>
      </c>
      <c r="B2845" s="2" t="s">
        <v>84</v>
      </c>
    </row>
    <row r="2846" spans="1:6" ht="17.25" thickBot="1" x14ac:dyDescent="0.35"/>
    <row r="2847" spans="1:6" ht="16.5" customHeight="1" x14ac:dyDescent="0.3">
      <c r="A2847" s="24" t="s">
        <v>130</v>
      </c>
      <c r="B2847" s="26"/>
      <c r="C2847" s="26"/>
      <c r="D2847" s="26"/>
      <c r="E2847" s="26"/>
      <c r="F2847" s="26"/>
    </row>
    <row r="2848" spans="1:6" x14ac:dyDescent="0.3">
      <c r="A2848" s="25" t="s">
        <v>131</v>
      </c>
      <c r="B2848" s="27" t="s">
        <v>46</v>
      </c>
      <c r="C2848" s="27" t="s">
        <v>132</v>
      </c>
      <c r="D2848" s="3" t="s">
        <v>133</v>
      </c>
      <c r="E2848" s="27" t="s">
        <v>135</v>
      </c>
      <c r="F2848" s="27"/>
    </row>
    <row r="2849" spans="1:8" x14ac:dyDescent="0.3">
      <c r="A2849" s="25"/>
      <c r="B2849" s="27"/>
      <c r="C2849" s="27"/>
      <c r="D2849" s="3" t="s">
        <v>134</v>
      </c>
      <c r="E2849" s="27"/>
      <c r="F2849" s="27"/>
    </row>
    <row r="2850" spans="1:8" ht="17.25" thickBot="1" x14ac:dyDescent="0.35">
      <c r="A2850" s="13" t="s">
        <v>66</v>
      </c>
      <c r="B2850" s="2">
        <v>9576</v>
      </c>
      <c r="C2850" s="2">
        <v>8.6630690000000001</v>
      </c>
      <c r="D2850" s="2">
        <v>8.8159999999999992E-3</v>
      </c>
      <c r="E2850" s="2">
        <v>8.6457525999999998</v>
      </c>
      <c r="F2850" s="2">
        <v>8.6803857999999998</v>
      </c>
      <c r="H2850" s="8" t="str">
        <f t="shared" ref="H2850:H2853" si="118">TEXT(C2850,"0.00")&amp;" ("&amp;TEXT(E2850,"0.00")&amp;" to "&amp;TEXT(F2850,"0.00")&amp;")"</f>
        <v>8.66 (8.65 to 8.68)</v>
      </c>
    </row>
    <row r="2851" spans="1:8" ht="17.25" thickBot="1" x14ac:dyDescent="0.35">
      <c r="A2851" s="13" t="s">
        <v>67</v>
      </c>
      <c r="B2851" s="2">
        <v>9576</v>
      </c>
      <c r="C2851" s="2">
        <v>0.66990899999999998</v>
      </c>
      <c r="D2851" s="2">
        <v>1.0950000000000001E-3</v>
      </c>
      <c r="E2851" s="2">
        <v>0.66775799999999996</v>
      </c>
      <c r="F2851" s="2">
        <v>0.67206030000000005</v>
      </c>
      <c r="H2851" s="8" t="str">
        <f t="shared" si="118"/>
        <v>0.67 (0.67 to 0.67)</v>
      </c>
    </row>
    <row r="2852" spans="1:8" ht="17.25" thickBot="1" x14ac:dyDescent="0.35">
      <c r="A2852" s="13" t="s">
        <v>68</v>
      </c>
      <c r="B2852" s="2">
        <v>9576</v>
      </c>
      <c r="C2852" s="2">
        <v>0.37698500000000001</v>
      </c>
      <c r="D2852" s="2">
        <v>4.0169999999999997E-3</v>
      </c>
      <c r="E2852" s="2">
        <v>0.36909409999999998</v>
      </c>
      <c r="F2852" s="2">
        <v>0.384876</v>
      </c>
      <c r="H2852" s="8" t="str">
        <f t="shared" si="118"/>
        <v>0.38 (0.37 to 0.38)</v>
      </c>
    </row>
    <row r="2853" spans="1:8" x14ac:dyDescent="0.3">
      <c r="A2853" s="14" t="s">
        <v>69</v>
      </c>
      <c r="B2853" s="2">
        <v>9576</v>
      </c>
      <c r="C2853" s="2">
        <v>36.004069999999999</v>
      </c>
      <c r="D2853" s="2">
        <v>8.2931000000000005E-2</v>
      </c>
      <c r="E2853" s="2">
        <v>35.841169700000002</v>
      </c>
      <c r="F2853" s="2">
        <v>36.166969600000002</v>
      </c>
      <c r="H2853" s="8" t="str">
        <f t="shared" si="118"/>
        <v>36.00 (35.84 to 36.17)</v>
      </c>
    </row>
    <row r="2857" spans="1:8" x14ac:dyDescent="0.3">
      <c r="A2857" s="1" t="s">
        <v>129</v>
      </c>
    </row>
    <row r="2859" spans="1:8" x14ac:dyDescent="0.3">
      <c r="A2859" s="1" t="s">
        <v>261</v>
      </c>
    </row>
    <row r="2860" spans="1:8" ht="17.25" thickBot="1" x14ac:dyDescent="0.35"/>
    <row r="2861" spans="1:8" ht="16.5" customHeight="1" x14ac:dyDescent="0.3">
      <c r="A2861" s="24" t="s">
        <v>75</v>
      </c>
      <c r="B2861" s="26"/>
    </row>
    <row r="2862" spans="1:8" ht="26.25" thickBot="1" x14ac:dyDescent="0.35">
      <c r="A2862" s="13" t="s">
        <v>76</v>
      </c>
      <c r="B2862" s="2">
        <v>25</v>
      </c>
    </row>
    <row r="2863" spans="1:8" ht="26.25" thickBot="1" x14ac:dyDescent="0.35">
      <c r="A2863" s="13" t="s">
        <v>77</v>
      </c>
      <c r="B2863" s="2">
        <v>521</v>
      </c>
    </row>
    <row r="2864" spans="1:8" ht="39" thickBot="1" x14ac:dyDescent="0.35">
      <c r="A2864" s="13" t="s">
        <v>78</v>
      </c>
      <c r="B2864" s="2">
        <v>1899</v>
      </c>
    </row>
    <row r="2865" spans="1:8" ht="25.5" x14ac:dyDescent="0.3">
      <c r="A2865" s="14" t="s">
        <v>79</v>
      </c>
      <c r="B2865" s="2">
        <v>1274140.33</v>
      </c>
    </row>
    <row r="2866" spans="1:8" ht="17.25" thickBot="1" x14ac:dyDescent="0.35"/>
    <row r="2867" spans="1:8" ht="33" customHeight="1" x14ac:dyDescent="0.3">
      <c r="A2867" s="24" t="s">
        <v>80</v>
      </c>
      <c r="B2867" s="26"/>
    </row>
    <row r="2868" spans="1:8" ht="33.75" thickBot="1" x14ac:dyDescent="0.35">
      <c r="A2868" s="13" t="s">
        <v>81</v>
      </c>
      <c r="B2868" s="2" t="s">
        <v>82</v>
      </c>
    </row>
    <row r="2869" spans="1:8" ht="25.5" x14ac:dyDescent="0.3">
      <c r="A2869" s="14" t="s">
        <v>83</v>
      </c>
      <c r="B2869" s="2" t="s">
        <v>84</v>
      </c>
    </row>
    <row r="2870" spans="1:8" ht="17.25" thickBot="1" x14ac:dyDescent="0.35"/>
    <row r="2871" spans="1:8" ht="16.5" customHeight="1" x14ac:dyDescent="0.3">
      <c r="A2871" s="24" t="s">
        <v>130</v>
      </c>
      <c r="B2871" s="26"/>
      <c r="C2871" s="26"/>
      <c r="D2871" s="26"/>
      <c r="E2871" s="26"/>
      <c r="F2871" s="26"/>
    </row>
    <row r="2872" spans="1:8" x14ac:dyDescent="0.3">
      <c r="A2872" s="25" t="s">
        <v>131</v>
      </c>
      <c r="B2872" s="27" t="s">
        <v>46</v>
      </c>
      <c r="C2872" s="27" t="s">
        <v>132</v>
      </c>
      <c r="D2872" s="3" t="s">
        <v>133</v>
      </c>
      <c r="E2872" s="27" t="s">
        <v>135</v>
      </c>
      <c r="F2872" s="27"/>
    </row>
    <row r="2873" spans="1:8" x14ac:dyDescent="0.3">
      <c r="A2873" s="25"/>
      <c r="B2873" s="27"/>
      <c r="C2873" s="27"/>
      <c r="D2873" s="3" t="s">
        <v>134</v>
      </c>
      <c r="E2873" s="27"/>
      <c r="F2873" s="27"/>
    </row>
    <row r="2874" spans="1:8" ht="17.25" thickBot="1" x14ac:dyDescent="0.35">
      <c r="A2874" s="13" t="s">
        <v>66</v>
      </c>
      <c r="B2874" s="2">
        <v>1899</v>
      </c>
      <c r="C2874" s="2">
        <v>8.3496919999999992</v>
      </c>
      <c r="D2874" s="2">
        <v>1.6574999999999999E-2</v>
      </c>
      <c r="E2874" s="2">
        <v>8.3171271999999998</v>
      </c>
      <c r="F2874" s="2">
        <v>8.3822577000000003</v>
      </c>
      <c r="H2874" s="8" t="str">
        <f t="shared" ref="H2874:H2877" si="119">TEXT(C2874,"0.00")&amp;" ("&amp;TEXT(E2874,"0.00")&amp;" to "&amp;TEXT(F2874,"0.00")&amp;")"</f>
        <v>8.35 (8.32 to 8.38)</v>
      </c>
    </row>
    <row r="2875" spans="1:8" ht="17.25" thickBot="1" x14ac:dyDescent="0.35">
      <c r="A2875" s="13" t="s">
        <v>67</v>
      </c>
      <c r="B2875" s="2">
        <v>1899</v>
      </c>
      <c r="C2875" s="2">
        <v>0.62347300000000005</v>
      </c>
      <c r="D2875" s="2">
        <v>1.787E-3</v>
      </c>
      <c r="E2875" s="2">
        <v>0.61996220000000002</v>
      </c>
      <c r="F2875" s="2">
        <v>0.62698480000000001</v>
      </c>
      <c r="H2875" s="8" t="str">
        <f t="shared" si="119"/>
        <v>0.62 (0.62 to 0.63)</v>
      </c>
    </row>
    <row r="2876" spans="1:8" ht="17.25" thickBot="1" x14ac:dyDescent="0.35">
      <c r="A2876" s="13" t="s">
        <v>68</v>
      </c>
      <c r="B2876" s="2">
        <v>1899</v>
      </c>
      <c r="C2876" s="2">
        <v>0.25600099999999998</v>
      </c>
      <c r="D2876" s="2">
        <v>8.371E-3</v>
      </c>
      <c r="E2876" s="2">
        <v>0.23955360000000001</v>
      </c>
      <c r="F2876" s="2">
        <v>0.27244760000000001</v>
      </c>
      <c r="H2876" s="8" t="str">
        <f t="shared" si="119"/>
        <v>0.26 (0.24 to 0.27)</v>
      </c>
    </row>
    <row r="2877" spans="1:8" x14ac:dyDescent="0.3">
      <c r="A2877" s="14" t="s">
        <v>69</v>
      </c>
      <c r="B2877" s="2">
        <v>1899</v>
      </c>
      <c r="C2877" s="2">
        <v>33.402189</v>
      </c>
      <c r="D2877" s="2">
        <v>0.21185599999999999</v>
      </c>
      <c r="E2877" s="2">
        <v>32.985942700000003</v>
      </c>
      <c r="F2877" s="2">
        <v>33.818435999999998</v>
      </c>
      <c r="H2877" s="8" t="str">
        <f t="shared" si="119"/>
        <v>33.40 (32.99 to 33.82)</v>
      </c>
    </row>
    <row r="2881" spans="1:6" x14ac:dyDescent="0.3">
      <c r="A2881" s="1" t="s">
        <v>129</v>
      </c>
    </row>
    <row r="2883" spans="1:6" x14ac:dyDescent="0.3">
      <c r="A2883" s="1" t="s">
        <v>262</v>
      </c>
    </row>
    <row r="2884" spans="1:6" ht="17.25" thickBot="1" x14ac:dyDescent="0.35"/>
    <row r="2885" spans="1:6" ht="16.5" customHeight="1" x14ac:dyDescent="0.3">
      <c r="A2885" s="24" t="s">
        <v>75</v>
      </c>
      <c r="B2885" s="26"/>
    </row>
    <row r="2886" spans="1:6" ht="26.25" thickBot="1" x14ac:dyDescent="0.35">
      <c r="A2886" s="13" t="s">
        <v>76</v>
      </c>
      <c r="B2886" s="2">
        <v>54</v>
      </c>
    </row>
    <row r="2887" spans="1:6" ht="26.25" thickBot="1" x14ac:dyDescent="0.35">
      <c r="A2887" s="13" t="s">
        <v>77</v>
      </c>
      <c r="B2887" s="2">
        <v>576</v>
      </c>
    </row>
    <row r="2888" spans="1:6" ht="39" thickBot="1" x14ac:dyDescent="0.35">
      <c r="A2888" s="13" t="s">
        <v>78</v>
      </c>
      <c r="B2888" s="2">
        <v>11608</v>
      </c>
    </row>
    <row r="2889" spans="1:6" ht="25.5" x14ac:dyDescent="0.3">
      <c r="A2889" s="14" t="s">
        <v>79</v>
      </c>
      <c r="B2889" s="2">
        <v>4761492.71</v>
      </c>
    </row>
    <row r="2890" spans="1:6" ht="17.25" thickBot="1" x14ac:dyDescent="0.35"/>
    <row r="2891" spans="1:6" ht="33" customHeight="1" x14ac:dyDescent="0.3">
      <c r="A2891" s="24" t="s">
        <v>80</v>
      </c>
      <c r="B2891" s="26"/>
    </row>
    <row r="2892" spans="1:6" ht="33.75" thickBot="1" x14ac:dyDescent="0.35">
      <c r="A2892" s="13" t="s">
        <v>81</v>
      </c>
      <c r="B2892" s="2" t="s">
        <v>82</v>
      </c>
    </row>
    <row r="2893" spans="1:6" ht="25.5" x14ac:dyDescent="0.3">
      <c r="A2893" s="14" t="s">
        <v>83</v>
      </c>
      <c r="B2893" s="2" t="s">
        <v>84</v>
      </c>
    </row>
    <row r="2894" spans="1:6" ht="17.25" thickBot="1" x14ac:dyDescent="0.35"/>
    <row r="2895" spans="1:6" ht="16.5" customHeight="1" x14ac:dyDescent="0.3">
      <c r="A2895" s="24" t="s">
        <v>130</v>
      </c>
      <c r="B2895" s="26"/>
      <c r="C2895" s="26"/>
      <c r="D2895" s="26"/>
      <c r="E2895" s="26"/>
      <c r="F2895" s="26"/>
    </row>
    <row r="2896" spans="1:6" x14ac:dyDescent="0.3">
      <c r="A2896" s="25" t="s">
        <v>131</v>
      </c>
      <c r="B2896" s="27" t="s">
        <v>46</v>
      </c>
      <c r="C2896" s="27" t="s">
        <v>132</v>
      </c>
      <c r="D2896" s="3" t="s">
        <v>133</v>
      </c>
      <c r="E2896" s="27" t="s">
        <v>135</v>
      </c>
      <c r="F2896" s="27"/>
    </row>
    <row r="2897" spans="1:8" x14ac:dyDescent="0.3">
      <c r="A2897" s="25"/>
      <c r="B2897" s="27"/>
      <c r="C2897" s="27"/>
      <c r="D2897" s="3" t="s">
        <v>134</v>
      </c>
      <c r="E2897" s="27"/>
      <c r="F2897" s="27"/>
    </row>
    <row r="2898" spans="1:8" ht="17.25" thickBot="1" x14ac:dyDescent="0.35">
      <c r="A2898" s="13" t="s">
        <v>66</v>
      </c>
      <c r="B2898" s="2">
        <v>11608</v>
      </c>
      <c r="C2898" s="2">
        <v>8.6762619999999995</v>
      </c>
      <c r="D2898" s="2">
        <v>8.2430000000000003E-3</v>
      </c>
      <c r="E2898" s="2">
        <v>8.660069</v>
      </c>
      <c r="F2898" s="2">
        <v>8.6924554999999994</v>
      </c>
      <c r="H2898" s="8" t="str">
        <f t="shared" ref="H2898:H2901" si="120">TEXT(C2898,"0.00")&amp;" ("&amp;TEXT(E2898,"0.00")&amp;" to "&amp;TEXT(F2898,"0.00")&amp;")"</f>
        <v>8.68 (8.66 to 8.69)</v>
      </c>
    </row>
    <row r="2899" spans="1:8" ht="17.25" thickBot="1" x14ac:dyDescent="0.35">
      <c r="A2899" s="13" t="s">
        <v>67</v>
      </c>
      <c r="B2899" s="2">
        <v>11608</v>
      </c>
      <c r="C2899" s="2">
        <v>0.67657500000000004</v>
      </c>
      <c r="D2899" s="2">
        <v>1.003E-3</v>
      </c>
      <c r="E2899" s="2">
        <v>0.67460410000000004</v>
      </c>
      <c r="F2899" s="2">
        <v>0.67854619999999999</v>
      </c>
      <c r="H2899" s="8" t="str">
        <f t="shared" si="120"/>
        <v>0.68 (0.67 to 0.68)</v>
      </c>
    </row>
    <row r="2900" spans="1:8" ht="17.25" thickBot="1" x14ac:dyDescent="0.35">
      <c r="A2900" s="13" t="s">
        <v>68</v>
      </c>
      <c r="B2900" s="2">
        <v>11608</v>
      </c>
      <c r="C2900" s="2">
        <v>0.37760899999999997</v>
      </c>
      <c r="D2900" s="2">
        <v>3.921E-3</v>
      </c>
      <c r="E2900" s="2">
        <v>0.36990679999999998</v>
      </c>
      <c r="F2900" s="2">
        <v>0.38531149999999997</v>
      </c>
      <c r="H2900" s="8" t="str">
        <f t="shared" si="120"/>
        <v>0.38 (0.37 to 0.39)</v>
      </c>
    </row>
    <row r="2901" spans="1:8" x14ac:dyDescent="0.3">
      <c r="A2901" s="14" t="s">
        <v>69</v>
      </c>
      <c r="B2901" s="2">
        <v>11608</v>
      </c>
      <c r="C2901" s="2">
        <v>36.224215000000001</v>
      </c>
      <c r="D2901" s="2">
        <v>8.5051000000000002E-2</v>
      </c>
      <c r="E2901" s="2">
        <v>36.0571299</v>
      </c>
      <c r="F2901" s="2">
        <v>36.391299199999999</v>
      </c>
      <c r="H2901" s="8" t="str">
        <f t="shared" si="120"/>
        <v>36.22 (36.06 to 36.39)</v>
      </c>
    </row>
    <row r="2905" spans="1:8" x14ac:dyDescent="0.3">
      <c r="A2905" s="1" t="s">
        <v>129</v>
      </c>
    </row>
    <row r="2907" spans="1:8" x14ac:dyDescent="0.3">
      <c r="A2907" s="1" t="s">
        <v>263</v>
      </c>
    </row>
    <row r="2908" spans="1:8" ht="17.25" thickBot="1" x14ac:dyDescent="0.35"/>
    <row r="2909" spans="1:8" ht="16.5" customHeight="1" x14ac:dyDescent="0.3">
      <c r="A2909" s="24" t="s">
        <v>75</v>
      </c>
      <c r="B2909" s="26"/>
    </row>
    <row r="2910" spans="1:8" ht="26.25" thickBot="1" x14ac:dyDescent="0.35">
      <c r="A2910" s="13" t="s">
        <v>76</v>
      </c>
      <c r="B2910" s="2">
        <v>54</v>
      </c>
    </row>
    <row r="2911" spans="1:8" ht="26.25" thickBot="1" x14ac:dyDescent="0.35">
      <c r="A2911" s="13" t="s">
        <v>77</v>
      </c>
      <c r="B2911" s="2">
        <v>544</v>
      </c>
    </row>
    <row r="2912" spans="1:8" ht="39" thickBot="1" x14ac:dyDescent="0.35">
      <c r="A2912" s="13" t="s">
        <v>78</v>
      </c>
      <c r="B2912" s="2">
        <v>2550</v>
      </c>
    </row>
    <row r="2913" spans="1:8" ht="25.5" x14ac:dyDescent="0.3">
      <c r="A2913" s="14" t="s">
        <v>79</v>
      </c>
      <c r="B2913" s="2">
        <v>1559467.8</v>
      </c>
    </row>
    <row r="2914" spans="1:8" ht="17.25" thickBot="1" x14ac:dyDescent="0.35"/>
    <row r="2915" spans="1:8" ht="33" customHeight="1" x14ac:dyDescent="0.3">
      <c r="A2915" s="24" t="s">
        <v>80</v>
      </c>
      <c r="B2915" s="26"/>
    </row>
    <row r="2916" spans="1:8" ht="33.75" thickBot="1" x14ac:dyDescent="0.35">
      <c r="A2916" s="13" t="s">
        <v>81</v>
      </c>
      <c r="B2916" s="2" t="s">
        <v>82</v>
      </c>
    </row>
    <row r="2917" spans="1:8" ht="25.5" x14ac:dyDescent="0.3">
      <c r="A2917" s="14" t="s">
        <v>83</v>
      </c>
      <c r="B2917" s="2" t="s">
        <v>84</v>
      </c>
    </row>
    <row r="2918" spans="1:8" ht="17.25" thickBot="1" x14ac:dyDescent="0.35"/>
    <row r="2919" spans="1:8" ht="16.5" customHeight="1" x14ac:dyDescent="0.3">
      <c r="A2919" s="24" t="s">
        <v>130</v>
      </c>
      <c r="B2919" s="26"/>
      <c r="C2919" s="26"/>
      <c r="D2919" s="26"/>
      <c r="E2919" s="26"/>
      <c r="F2919" s="26"/>
    </row>
    <row r="2920" spans="1:8" x14ac:dyDescent="0.3">
      <c r="A2920" s="25" t="s">
        <v>131</v>
      </c>
      <c r="B2920" s="27" t="s">
        <v>46</v>
      </c>
      <c r="C2920" s="27" t="s">
        <v>132</v>
      </c>
      <c r="D2920" s="3" t="s">
        <v>133</v>
      </c>
      <c r="E2920" s="27" t="s">
        <v>135</v>
      </c>
      <c r="F2920" s="27"/>
    </row>
    <row r="2921" spans="1:8" x14ac:dyDescent="0.3">
      <c r="A2921" s="25"/>
      <c r="B2921" s="27"/>
      <c r="C2921" s="27"/>
      <c r="D2921" s="3" t="s">
        <v>134</v>
      </c>
      <c r="E2921" s="27"/>
      <c r="F2921" s="27"/>
    </row>
    <row r="2922" spans="1:8" ht="17.25" thickBot="1" x14ac:dyDescent="0.35">
      <c r="A2922" s="13" t="s">
        <v>66</v>
      </c>
      <c r="B2922" s="2">
        <v>2550</v>
      </c>
      <c r="C2922" s="2">
        <v>8.4064449999999997</v>
      </c>
      <c r="D2922" s="2">
        <v>1.5192000000000001E-2</v>
      </c>
      <c r="E2922" s="2">
        <v>8.3765955999999999</v>
      </c>
      <c r="F2922" s="2">
        <v>8.4362942000000007</v>
      </c>
      <c r="H2922" s="8" t="str">
        <f t="shared" ref="H2922:H2925" si="121">TEXT(C2922,"0.00")&amp;" ("&amp;TEXT(E2922,"0.00")&amp;" to "&amp;TEXT(F2922,"0.00")&amp;")"</f>
        <v>8.41 (8.38 to 8.44)</v>
      </c>
    </row>
    <row r="2923" spans="1:8" ht="17.25" thickBot="1" x14ac:dyDescent="0.35">
      <c r="A2923" s="13" t="s">
        <v>67</v>
      </c>
      <c r="B2923" s="2">
        <v>2550</v>
      </c>
      <c r="C2923" s="2">
        <v>0.62781500000000001</v>
      </c>
      <c r="D2923" s="2">
        <v>1.671E-3</v>
      </c>
      <c r="E2923" s="2">
        <v>0.62453259999999999</v>
      </c>
      <c r="F2923" s="2">
        <v>0.6310983</v>
      </c>
      <c r="H2923" s="8" t="str">
        <f t="shared" si="121"/>
        <v>0.63 (0.62 to 0.63)</v>
      </c>
    </row>
    <row r="2924" spans="1:8" ht="17.25" thickBot="1" x14ac:dyDescent="0.35">
      <c r="A2924" s="13" t="s">
        <v>68</v>
      </c>
      <c r="B2924" s="2">
        <v>2550</v>
      </c>
      <c r="C2924" s="2">
        <v>0.27775100000000003</v>
      </c>
      <c r="D2924" s="2">
        <v>7.5380000000000004E-3</v>
      </c>
      <c r="E2924" s="2">
        <v>0.2629399</v>
      </c>
      <c r="F2924" s="2">
        <v>0.29256169999999998</v>
      </c>
      <c r="H2924" s="8" t="str">
        <f t="shared" si="121"/>
        <v>0.28 (0.26 to 0.29)</v>
      </c>
    </row>
    <row r="2925" spans="1:8" x14ac:dyDescent="0.3">
      <c r="A2925" s="14" t="s">
        <v>69</v>
      </c>
      <c r="B2925" s="2">
        <v>2550</v>
      </c>
      <c r="C2925" s="2">
        <v>34.262227000000003</v>
      </c>
      <c r="D2925" s="2">
        <v>0.21127099999999999</v>
      </c>
      <c r="E2925" s="2">
        <v>33.847118100000003</v>
      </c>
      <c r="F2925" s="2">
        <v>34.6773363</v>
      </c>
      <c r="H2925" s="8" t="str">
        <f t="shared" si="121"/>
        <v>34.26 (33.85 to 34.68)</v>
      </c>
    </row>
    <row r="2929" spans="1:6" x14ac:dyDescent="0.3">
      <c r="A2929" s="1" t="s">
        <v>129</v>
      </c>
    </row>
    <row r="2931" spans="1:6" x14ac:dyDescent="0.3">
      <c r="A2931" s="1" t="s">
        <v>264</v>
      </c>
    </row>
    <row r="2932" spans="1:6" ht="17.25" thickBot="1" x14ac:dyDescent="0.35"/>
    <row r="2933" spans="1:6" ht="16.5" customHeight="1" x14ac:dyDescent="0.3">
      <c r="A2933" s="24" t="s">
        <v>75</v>
      </c>
      <c r="B2933" s="26"/>
    </row>
    <row r="2934" spans="1:6" ht="26.25" thickBot="1" x14ac:dyDescent="0.35">
      <c r="A2934" s="13" t="s">
        <v>76</v>
      </c>
      <c r="B2934" s="2">
        <v>27</v>
      </c>
    </row>
    <row r="2935" spans="1:6" ht="26.25" thickBot="1" x14ac:dyDescent="0.35">
      <c r="A2935" s="13" t="s">
        <v>77</v>
      </c>
      <c r="B2935" s="2">
        <v>563</v>
      </c>
    </row>
    <row r="2936" spans="1:6" ht="39" thickBot="1" x14ac:dyDescent="0.35">
      <c r="A2936" s="13" t="s">
        <v>78</v>
      </c>
      <c r="B2936" s="2">
        <v>10769</v>
      </c>
    </row>
    <row r="2937" spans="1:6" ht="25.5" x14ac:dyDescent="0.3">
      <c r="A2937" s="14" t="s">
        <v>79</v>
      </c>
      <c r="B2937" s="2">
        <v>4825025.0999999996</v>
      </c>
    </row>
    <row r="2938" spans="1:6" ht="17.25" thickBot="1" x14ac:dyDescent="0.35"/>
    <row r="2939" spans="1:6" ht="33" customHeight="1" x14ac:dyDescent="0.3">
      <c r="A2939" s="24" t="s">
        <v>80</v>
      </c>
      <c r="B2939" s="26"/>
    </row>
    <row r="2940" spans="1:6" ht="33.75" thickBot="1" x14ac:dyDescent="0.35">
      <c r="A2940" s="13" t="s">
        <v>81</v>
      </c>
      <c r="B2940" s="2" t="s">
        <v>82</v>
      </c>
    </row>
    <row r="2941" spans="1:6" ht="25.5" x14ac:dyDescent="0.3">
      <c r="A2941" s="14" t="s">
        <v>83</v>
      </c>
      <c r="B2941" s="2" t="s">
        <v>84</v>
      </c>
    </row>
    <row r="2942" spans="1:6" ht="17.25" thickBot="1" x14ac:dyDescent="0.35"/>
    <row r="2943" spans="1:6" ht="16.5" customHeight="1" x14ac:dyDescent="0.3">
      <c r="A2943" s="24" t="s">
        <v>130</v>
      </c>
      <c r="B2943" s="26"/>
      <c r="C2943" s="26"/>
      <c r="D2943" s="26"/>
      <c r="E2943" s="26"/>
      <c r="F2943" s="26"/>
    </row>
    <row r="2944" spans="1:6" x14ac:dyDescent="0.3">
      <c r="A2944" s="25" t="s">
        <v>131</v>
      </c>
      <c r="B2944" s="27" t="s">
        <v>46</v>
      </c>
      <c r="C2944" s="27" t="s">
        <v>132</v>
      </c>
      <c r="D2944" s="3" t="s">
        <v>133</v>
      </c>
      <c r="E2944" s="27" t="s">
        <v>135</v>
      </c>
      <c r="F2944" s="27"/>
    </row>
    <row r="2945" spans="1:8" x14ac:dyDescent="0.3">
      <c r="A2945" s="25"/>
      <c r="B2945" s="27"/>
      <c r="C2945" s="27"/>
      <c r="D2945" s="3" t="s">
        <v>134</v>
      </c>
      <c r="E2945" s="27"/>
      <c r="F2945" s="27"/>
    </row>
    <row r="2946" spans="1:8" ht="17.25" thickBot="1" x14ac:dyDescent="0.35">
      <c r="A2946" s="13" t="s">
        <v>66</v>
      </c>
      <c r="B2946" s="2">
        <v>10769</v>
      </c>
      <c r="C2946" s="2">
        <v>8.6514530000000001</v>
      </c>
      <c r="D2946" s="2">
        <v>7.7739999999999997E-3</v>
      </c>
      <c r="E2946" s="2">
        <v>8.6361811999999993</v>
      </c>
      <c r="F2946" s="2">
        <v>8.6667254000000007</v>
      </c>
      <c r="H2946" s="8" t="str">
        <f t="shared" ref="H2946:H2949" si="122">TEXT(C2946,"0.00")&amp;" ("&amp;TEXT(E2946,"0.00")&amp;" to "&amp;TEXT(F2946,"0.00")&amp;")"</f>
        <v>8.65 (8.64 to 8.67)</v>
      </c>
    </row>
    <row r="2947" spans="1:8" ht="17.25" thickBot="1" x14ac:dyDescent="0.35">
      <c r="A2947" s="13" t="s">
        <v>67</v>
      </c>
      <c r="B2947" s="2">
        <v>10769</v>
      </c>
      <c r="C2947" s="2">
        <v>0.685311</v>
      </c>
      <c r="D2947" s="2">
        <v>9.3599999999999998E-4</v>
      </c>
      <c r="E2947" s="2">
        <v>0.68347259999999999</v>
      </c>
      <c r="F2947" s="2">
        <v>0.68714869999999995</v>
      </c>
      <c r="H2947" s="8" t="str">
        <f t="shared" si="122"/>
        <v>0.69 (0.68 to 0.69)</v>
      </c>
    </row>
    <row r="2948" spans="1:8" ht="17.25" thickBot="1" x14ac:dyDescent="0.35">
      <c r="A2948" s="13" t="s">
        <v>68</v>
      </c>
      <c r="B2948" s="2">
        <v>10769</v>
      </c>
      <c r="C2948" s="2">
        <v>0.35156100000000001</v>
      </c>
      <c r="D2948" s="2">
        <v>4.0150000000000003E-3</v>
      </c>
      <c r="E2948" s="2">
        <v>0.34367330000000001</v>
      </c>
      <c r="F2948" s="2">
        <v>0.35944809999999999</v>
      </c>
      <c r="H2948" s="8" t="str">
        <f t="shared" si="122"/>
        <v>0.35 (0.34 to 0.36)</v>
      </c>
    </row>
    <row r="2949" spans="1:8" x14ac:dyDescent="0.3">
      <c r="A2949" s="14" t="s">
        <v>69</v>
      </c>
      <c r="B2949" s="2">
        <v>10769</v>
      </c>
      <c r="C2949" s="2">
        <v>36.224901000000003</v>
      </c>
      <c r="D2949" s="2">
        <v>9.3977000000000005E-2</v>
      </c>
      <c r="E2949" s="2">
        <v>36.040292999999998</v>
      </c>
      <c r="F2949" s="2">
        <v>36.409509999999997</v>
      </c>
      <c r="H2949" s="8" t="str">
        <f t="shared" si="122"/>
        <v>36.22 (36.04 to 36.41)</v>
      </c>
    </row>
    <row r="2953" spans="1:8" x14ac:dyDescent="0.3">
      <c r="A2953" s="1" t="s">
        <v>129</v>
      </c>
    </row>
    <row r="2955" spans="1:8" x14ac:dyDescent="0.3">
      <c r="A2955" s="1" t="s">
        <v>265</v>
      </c>
    </row>
    <row r="2956" spans="1:8" ht="17.25" thickBot="1" x14ac:dyDescent="0.35"/>
    <row r="2957" spans="1:8" ht="16.5" customHeight="1" x14ac:dyDescent="0.3">
      <c r="A2957" s="24" t="s">
        <v>75</v>
      </c>
      <c r="B2957" s="26"/>
    </row>
    <row r="2958" spans="1:8" ht="26.25" thickBot="1" x14ac:dyDescent="0.35">
      <c r="A2958" s="13" t="s">
        <v>76</v>
      </c>
      <c r="B2958" s="2">
        <v>27</v>
      </c>
    </row>
    <row r="2959" spans="1:8" ht="26.25" thickBot="1" x14ac:dyDescent="0.35">
      <c r="A2959" s="13" t="s">
        <v>77</v>
      </c>
      <c r="B2959" s="2">
        <v>542</v>
      </c>
    </row>
    <row r="2960" spans="1:8" ht="39" thickBot="1" x14ac:dyDescent="0.35">
      <c r="A2960" s="13" t="s">
        <v>78</v>
      </c>
      <c r="B2960" s="2">
        <v>2786</v>
      </c>
    </row>
    <row r="2961" spans="1:8" ht="25.5" x14ac:dyDescent="0.3">
      <c r="A2961" s="14" t="s">
        <v>79</v>
      </c>
      <c r="B2961" s="2">
        <v>1729673.71</v>
      </c>
    </row>
    <row r="2962" spans="1:8" ht="17.25" thickBot="1" x14ac:dyDescent="0.35"/>
    <row r="2963" spans="1:8" ht="33" customHeight="1" x14ac:dyDescent="0.3">
      <c r="A2963" s="24" t="s">
        <v>80</v>
      </c>
      <c r="B2963" s="26"/>
    </row>
    <row r="2964" spans="1:8" ht="33.75" thickBot="1" x14ac:dyDescent="0.35">
      <c r="A2964" s="13" t="s">
        <v>81</v>
      </c>
      <c r="B2964" s="2" t="s">
        <v>82</v>
      </c>
    </row>
    <row r="2965" spans="1:8" ht="25.5" x14ac:dyDescent="0.3">
      <c r="A2965" s="14" t="s">
        <v>83</v>
      </c>
      <c r="B2965" s="2" t="s">
        <v>84</v>
      </c>
    </row>
    <row r="2966" spans="1:8" ht="17.25" thickBot="1" x14ac:dyDescent="0.35"/>
    <row r="2967" spans="1:8" ht="16.5" customHeight="1" x14ac:dyDescent="0.3">
      <c r="A2967" s="24" t="s">
        <v>130</v>
      </c>
      <c r="B2967" s="26"/>
      <c r="C2967" s="26"/>
      <c r="D2967" s="26"/>
      <c r="E2967" s="26"/>
      <c r="F2967" s="26"/>
    </row>
    <row r="2968" spans="1:8" x14ac:dyDescent="0.3">
      <c r="A2968" s="25" t="s">
        <v>131</v>
      </c>
      <c r="B2968" s="27" t="s">
        <v>46</v>
      </c>
      <c r="C2968" s="27" t="s">
        <v>132</v>
      </c>
      <c r="D2968" s="3" t="s">
        <v>133</v>
      </c>
      <c r="E2968" s="27" t="s">
        <v>135</v>
      </c>
      <c r="F2968" s="27"/>
    </row>
    <row r="2969" spans="1:8" x14ac:dyDescent="0.3">
      <c r="A2969" s="25"/>
      <c r="B2969" s="27"/>
      <c r="C2969" s="27"/>
      <c r="D2969" s="3" t="s">
        <v>134</v>
      </c>
      <c r="E2969" s="27"/>
      <c r="F2969" s="27"/>
    </row>
    <row r="2970" spans="1:8" ht="17.25" thickBot="1" x14ac:dyDescent="0.35">
      <c r="A2970" s="13" t="s">
        <v>66</v>
      </c>
      <c r="B2970" s="2">
        <v>2786</v>
      </c>
      <c r="C2970" s="2">
        <v>8.4030690000000003</v>
      </c>
      <c r="D2970" s="2">
        <v>1.6462000000000001E-2</v>
      </c>
      <c r="E2970" s="2">
        <v>8.3707279000000003</v>
      </c>
      <c r="F2970" s="2">
        <v>8.4354107999999997</v>
      </c>
      <c r="H2970" s="8" t="str">
        <f t="shared" ref="H2970:H2973" si="123">TEXT(C2970,"0.00")&amp;" ("&amp;TEXT(E2970,"0.00")&amp;" to "&amp;TEXT(F2970,"0.00")&amp;")"</f>
        <v>8.40 (8.37 to 8.44)</v>
      </c>
    </row>
    <row r="2971" spans="1:8" ht="17.25" thickBot="1" x14ac:dyDescent="0.35">
      <c r="A2971" s="13" t="s">
        <v>67</v>
      </c>
      <c r="B2971" s="2">
        <v>2786</v>
      </c>
      <c r="C2971" s="2">
        <v>0.63606499999999999</v>
      </c>
      <c r="D2971" s="2">
        <v>1.743E-3</v>
      </c>
      <c r="E2971" s="2">
        <v>0.63263990000000003</v>
      </c>
      <c r="F2971" s="2">
        <v>0.63948950000000004</v>
      </c>
      <c r="H2971" s="8" t="str">
        <f t="shared" si="123"/>
        <v>0.64 (0.63 to 0.64)</v>
      </c>
    </row>
    <row r="2972" spans="1:8" ht="17.25" thickBot="1" x14ac:dyDescent="0.35">
      <c r="A2972" s="13" t="s">
        <v>68</v>
      </c>
      <c r="B2972" s="2">
        <v>2786</v>
      </c>
      <c r="C2972" s="2">
        <v>0.263513</v>
      </c>
      <c r="D2972" s="2">
        <v>7.6689999999999996E-3</v>
      </c>
      <c r="E2972" s="2">
        <v>0.24844630000000001</v>
      </c>
      <c r="F2972" s="2">
        <v>0.27857880000000002</v>
      </c>
      <c r="H2972" s="8" t="str">
        <f t="shared" si="123"/>
        <v>0.26 (0.25 to 0.28)</v>
      </c>
    </row>
    <row r="2973" spans="1:8" x14ac:dyDescent="0.3">
      <c r="A2973" s="14" t="s">
        <v>69</v>
      </c>
      <c r="B2973" s="2">
        <v>2786</v>
      </c>
      <c r="C2973" s="2">
        <v>34.635964999999999</v>
      </c>
      <c r="D2973" s="2">
        <v>0.20935000000000001</v>
      </c>
      <c r="E2973" s="2">
        <v>34.224679299999998</v>
      </c>
      <c r="F2973" s="2">
        <v>35.047250499999997</v>
      </c>
      <c r="H2973" s="8" t="str">
        <f t="shared" si="123"/>
        <v>34.64 (34.22 to 35.05)</v>
      </c>
    </row>
    <row r="2977" spans="1:6" x14ac:dyDescent="0.3">
      <c r="A2977" s="1" t="s">
        <v>129</v>
      </c>
    </row>
    <row r="2979" spans="1:6" x14ac:dyDescent="0.3">
      <c r="A2979" s="1" t="s">
        <v>266</v>
      </c>
    </row>
    <row r="2980" spans="1:6" ht="17.25" thickBot="1" x14ac:dyDescent="0.35"/>
    <row r="2981" spans="1:6" ht="16.5" customHeight="1" x14ac:dyDescent="0.3">
      <c r="A2981" s="24" t="s">
        <v>75</v>
      </c>
      <c r="B2981" s="26"/>
    </row>
    <row r="2982" spans="1:6" ht="26.25" thickBot="1" x14ac:dyDescent="0.35">
      <c r="A2982" s="13" t="s">
        <v>76</v>
      </c>
      <c r="B2982" s="2">
        <v>27</v>
      </c>
    </row>
    <row r="2983" spans="1:6" ht="26.25" thickBot="1" x14ac:dyDescent="0.35">
      <c r="A2983" s="13" t="s">
        <v>77</v>
      </c>
      <c r="B2983" s="2">
        <v>189</v>
      </c>
    </row>
    <row r="2984" spans="1:6" ht="39" thickBot="1" x14ac:dyDescent="0.35">
      <c r="A2984" s="13" t="s">
        <v>78</v>
      </c>
      <c r="B2984" s="2">
        <v>3494</v>
      </c>
    </row>
    <row r="2985" spans="1:6" ht="25.5" x14ac:dyDescent="0.3">
      <c r="A2985" s="14" t="s">
        <v>79</v>
      </c>
      <c r="B2985" s="2">
        <v>1576547.59</v>
      </c>
    </row>
    <row r="2986" spans="1:6" ht="17.25" thickBot="1" x14ac:dyDescent="0.35"/>
    <row r="2987" spans="1:6" ht="33" customHeight="1" x14ac:dyDescent="0.3">
      <c r="A2987" s="24" t="s">
        <v>80</v>
      </c>
      <c r="B2987" s="26"/>
    </row>
    <row r="2988" spans="1:6" ht="33.75" thickBot="1" x14ac:dyDescent="0.35">
      <c r="A2988" s="13" t="s">
        <v>81</v>
      </c>
      <c r="B2988" s="2" t="s">
        <v>82</v>
      </c>
    </row>
    <row r="2989" spans="1:6" ht="25.5" x14ac:dyDescent="0.3">
      <c r="A2989" s="14" t="s">
        <v>83</v>
      </c>
      <c r="B2989" s="2" t="s">
        <v>84</v>
      </c>
    </row>
    <row r="2990" spans="1:6" ht="17.25" thickBot="1" x14ac:dyDescent="0.35"/>
    <row r="2991" spans="1:6" ht="16.5" customHeight="1" x14ac:dyDescent="0.3">
      <c r="A2991" s="24" t="s">
        <v>130</v>
      </c>
      <c r="B2991" s="26"/>
      <c r="C2991" s="26"/>
      <c r="D2991" s="26"/>
      <c r="E2991" s="26"/>
      <c r="F2991" s="26"/>
    </row>
    <row r="2992" spans="1:6" x14ac:dyDescent="0.3">
      <c r="A2992" s="25" t="s">
        <v>131</v>
      </c>
      <c r="B2992" s="27" t="s">
        <v>46</v>
      </c>
      <c r="C2992" s="27" t="s">
        <v>132</v>
      </c>
      <c r="D2992" s="3" t="s">
        <v>133</v>
      </c>
      <c r="E2992" s="27" t="s">
        <v>135</v>
      </c>
      <c r="F2992" s="27"/>
    </row>
    <row r="2993" spans="1:8" x14ac:dyDescent="0.3">
      <c r="A2993" s="25"/>
      <c r="B2993" s="27"/>
      <c r="C2993" s="27"/>
      <c r="D2993" s="3" t="s">
        <v>134</v>
      </c>
      <c r="E2993" s="27"/>
      <c r="F2993" s="27"/>
    </row>
    <row r="2994" spans="1:8" ht="17.25" thickBot="1" x14ac:dyDescent="0.35">
      <c r="A2994" s="13" t="s">
        <v>66</v>
      </c>
      <c r="B2994" s="2">
        <v>3494</v>
      </c>
      <c r="C2994" s="2">
        <v>8.6509440000000009</v>
      </c>
      <c r="D2994" s="2">
        <v>1.1461000000000001E-2</v>
      </c>
      <c r="E2994" s="2">
        <v>8.6283109000000007</v>
      </c>
      <c r="F2994" s="2">
        <v>8.6735772999999998</v>
      </c>
      <c r="H2994" s="8" t="str">
        <f t="shared" ref="H2994:H2997" si="124">TEXT(C2994,"0.00")&amp;" ("&amp;TEXT(E2994,"0.00")&amp;" to "&amp;TEXT(F2994,"0.00")&amp;")"</f>
        <v>8.65 (8.63 to 8.67)</v>
      </c>
    </row>
    <row r="2995" spans="1:8" ht="17.25" thickBot="1" x14ac:dyDescent="0.35">
      <c r="A2995" s="13" t="s">
        <v>67</v>
      </c>
      <c r="B2995" s="2">
        <v>3494</v>
      </c>
      <c r="C2995" s="2">
        <v>0.68138299999999996</v>
      </c>
      <c r="D2995" s="2">
        <v>1.557E-3</v>
      </c>
      <c r="E2995" s="2">
        <v>0.67830820000000003</v>
      </c>
      <c r="F2995" s="2">
        <v>0.68445780000000001</v>
      </c>
      <c r="H2995" s="8" t="str">
        <f t="shared" si="124"/>
        <v>0.68 (0.68 to 0.68)</v>
      </c>
    </row>
    <row r="2996" spans="1:8" ht="17.25" thickBot="1" x14ac:dyDescent="0.35">
      <c r="A2996" s="13" t="s">
        <v>68</v>
      </c>
      <c r="B2996" s="2">
        <v>3494</v>
      </c>
      <c r="C2996" s="2">
        <v>0.304784</v>
      </c>
      <c r="D2996" s="2">
        <v>6.215E-3</v>
      </c>
      <c r="E2996" s="2">
        <v>0.29251090000000002</v>
      </c>
      <c r="F2996" s="2">
        <v>0.3170578</v>
      </c>
      <c r="H2996" s="8" t="str">
        <f t="shared" si="124"/>
        <v>0.30 (0.29 to 0.32)</v>
      </c>
    </row>
    <row r="2997" spans="1:8" x14ac:dyDescent="0.3">
      <c r="A2997" s="14" t="s">
        <v>69</v>
      </c>
      <c r="B2997" s="2">
        <v>3494</v>
      </c>
      <c r="C2997" s="2">
        <v>35.49044</v>
      </c>
      <c r="D2997" s="2">
        <v>0.16090099999999999</v>
      </c>
      <c r="E2997" s="2">
        <v>35.172707500000001</v>
      </c>
      <c r="F2997" s="2">
        <v>35.808173500000002</v>
      </c>
      <c r="H2997" s="8" t="str">
        <f t="shared" si="124"/>
        <v>35.49 (35.17 to 35.81)</v>
      </c>
    </row>
    <row r="3001" spans="1:8" x14ac:dyDescent="0.3">
      <c r="A3001" s="1" t="s">
        <v>129</v>
      </c>
    </row>
    <row r="3003" spans="1:8" x14ac:dyDescent="0.3">
      <c r="A3003" s="1" t="s">
        <v>267</v>
      </c>
    </row>
    <row r="3004" spans="1:8" ht="17.25" thickBot="1" x14ac:dyDescent="0.35"/>
    <row r="3005" spans="1:8" ht="16.5" customHeight="1" x14ac:dyDescent="0.3">
      <c r="A3005" s="24" t="s">
        <v>75</v>
      </c>
      <c r="B3005" s="26"/>
    </row>
    <row r="3006" spans="1:8" ht="26.25" thickBot="1" x14ac:dyDescent="0.35">
      <c r="A3006" s="13" t="s">
        <v>76</v>
      </c>
      <c r="B3006" s="2">
        <v>27</v>
      </c>
    </row>
    <row r="3007" spans="1:8" ht="26.25" thickBot="1" x14ac:dyDescent="0.35">
      <c r="A3007" s="13" t="s">
        <v>77</v>
      </c>
      <c r="B3007" s="2">
        <v>180</v>
      </c>
    </row>
    <row r="3008" spans="1:8" ht="39" thickBot="1" x14ac:dyDescent="0.35">
      <c r="A3008" s="13" t="s">
        <v>78</v>
      </c>
      <c r="B3008" s="2">
        <v>922</v>
      </c>
    </row>
    <row r="3009" spans="1:8" ht="25.5" x14ac:dyDescent="0.3">
      <c r="A3009" s="14" t="s">
        <v>79</v>
      </c>
      <c r="B3009" s="2">
        <v>574366.09</v>
      </c>
    </row>
    <row r="3010" spans="1:8" ht="17.25" thickBot="1" x14ac:dyDescent="0.35"/>
    <row r="3011" spans="1:8" ht="33" customHeight="1" x14ac:dyDescent="0.3">
      <c r="A3011" s="24" t="s">
        <v>80</v>
      </c>
      <c r="B3011" s="26"/>
    </row>
    <row r="3012" spans="1:8" ht="33.75" thickBot="1" x14ac:dyDescent="0.35">
      <c r="A3012" s="13" t="s">
        <v>81</v>
      </c>
      <c r="B3012" s="2" t="s">
        <v>82</v>
      </c>
    </row>
    <row r="3013" spans="1:8" ht="25.5" x14ac:dyDescent="0.3">
      <c r="A3013" s="14" t="s">
        <v>83</v>
      </c>
      <c r="B3013" s="2" t="s">
        <v>84</v>
      </c>
    </row>
    <row r="3014" spans="1:8" ht="17.25" thickBot="1" x14ac:dyDescent="0.35"/>
    <row r="3015" spans="1:8" ht="16.5" customHeight="1" x14ac:dyDescent="0.3">
      <c r="A3015" s="24" t="s">
        <v>130</v>
      </c>
      <c r="B3015" s="26"/>
      <c r="C3015" s="26"/>
      <c r="D3015" s="26"/>
      <c r="E3015" s="26"/>
      <c r="F3015" s="26"/>
    </row>
    <row r="3016" spans="1:8" x14ac:dyDescent="0.3">
      <c r="A3016" s="25" t="s">
        <v>131</v>
      </c>
      <c r="B3016" s="27" t="s">
        <v>46</v>
      </c>
      <c r="C3016" s="27" t="s">
        <v>132</v>
      </c>
      <c r="D3016" s="3" t="s">
        <v>133</v>
      </c>
      <c r="E3016" s="27" t="s">
        <v>135</v>
      </c>
      <c r="F3016" s="27"/>
    </row>
    <row r="3017" spans="1:8" x14ac:dyDescent="0.3">
      <c r="A3017" s="25"/>
      <c r="B3017" s="27"/>
      <c r="C3017" s="27"/>
      <c r="D3017" s="3" t="s">
        <v>134</v>
      </c>
      <c r="E3017" s="27"/>
      <c r="F3017" s="27"/>
    </row>
    <row r="3018" spans="1:8" ht="17.25" thickBot="1" x14ac:dyDescent="0.35">
      <c r="A3018" s="13" t="s">
        <v>66</v>
      </c>
      <c r="B3018" s="2">
        <v>922</v>
      </c>
      <c r="C3018" s="2">
        <v>8.4359249999999992</v>
      </c>
      <c r="D3018" s="2">
        <v>2.598E-2</v>
      </c>
      <c r="E3018" s="2">
        <v>8.3845992000000003</v>
      </c>
      <c r="F3018" s="2">
        <v>8.4872499999999995</v>
      </c>
      <c r="H3018" s="8" t="str">
        <f t="shared" ref="H3018:H3021" si="125">TEXT(C3018,"0.00")&amp;" ("&amp;TEXT(E3018,"0.00")&amp;" to "&amp;TEXT(F3018,"0.00")&amp;")"</f>
        <v>8.44 (8.38 to 8.49)</v>
      </c>
    </row>
    <row r="3019" spans="1:8" ht="17.25" thickBot="1" x14ac:dyDescent="0.35">
      <c r="A3019" s="13" t="s">
        <v>67</v>
      </c>
      <c r="B3019" s="2">
        <v>922</v>
      </c>
      <c r="C3019" s="2">
        <v>0.63473500000000005</v>
      </c>
      <c r="D3019" s="2">
        <v>2.869E-3</v>
      </c>
      <c r="E3019" s="2">
        <v>0.62906759999999995</v>
      </c>
      <c r="F3019" s="2">
        <v>0.64040180000000002</v>
      </c>
      <c r="H3019" s="8" t="str">
        <f t="shared" si="125"/>
        <v>0.63 (0.63 to 0.64)</v>
      </c>
    </row>
    <row r="3020" spans="1:8" ht="17.25" thickBot="1" x14ac:dyDescent="0.35">
      <c r="A3020" s="13" t="s">
        <v>68</v>
      </c>
      <c r="B3020" s="2">
        <v>922</v>
      </c>
      <c r="C3020" s="2">
        <v>0.25256299999999998</v>
      </c>
      <c r="D3020" s="2">
        <v>1.3606E-2</v>
      </c>
      <c r="E3020" s="2">
        <v>0.2256821</v>
      </c>
      <c r="F3020" s="2">
        <v>0.27944350000000001</v>
      </c>
      <c r="H3020" s="8" t="str">
        <f t="shared" si="125"/>
        <v>0.25 (0.23 to 0.28)</v>
      </c>
    </row>
    <row r="3021" spans="1:8" x14ac:dyDescent="0.3">
      <c r="A3021" s="14" t="s">
        <v>69</v>
      </c>
      <c r="B3021" s="2">
        <v>922</v>
      </c>
      <c r="C3021" s="2">
        <v>34.718437000000002</v>
      </c>
      <c r="D3021" s="2">
        <v>0.39670699999999998</v>
      </c>
      <c r="E3021" s="2">
        <v>33.934706200000001</v>
      </c>
      <c r="F3021" s="2">
        <v>35.502167499999999</v>
      </c>
      <c r="H3021" s="8" t="str">
        <f t="shared" si="125"/>
        <v>34.72 (33.93 to 35.50)</v>
      </c>
    </row>
    <row r="3025" spans="1:6" x14ac:dyDescent="0.3">
      <c r="A3025" s="1" t="s">
        <v>129</v>
      </c>
    </row>
    <row r="3027" spans="1:6" x14ac:dyDescent="0.3">
      <c r="A3027" s="1" t="s">
        <v>268</v>
      </c>
    </row>
    <row r="3028" spans="1:6" ht="17.25" thickBot="1" x14ac:dyDescent="0.35"/>
    <row r="3029" spans="1:6" ht="16.5" customHeight="1" x14ac:dyDescent="0.3">
      <c r="A3029" s="24" t="s">
        <v>75</v>
      </c>
      <c r="B3029" s="26"/>
    </row>
    <row r="3030" spans="1:6" ht="26.25" thickBot="1" x14ac:dyDescent="0.35">
      <c r="A3030" s="13" t="s">
        <v>76</v>
      </c>
      <c r="B3030" s="2">
        <v>25</v>
      </c>
    </row>
    <row r="3031" spans="1:6" ht="26.25" thickBot="1" x14ac:dyDescent="0.35">
      <c r="A3031" s="13" t="s">
        <v>77</v>
      </c>
      <c r="B3031" s="2">
        <v>500</v>
      </c>
    </row>
    <row r="3032" spans="1:6" ht="39" thickBot="1" x14ac:dyDescent="0.35">
      <c r="A3032" s="13" t="s">
        <v>78</v>
      </c>
      <c r="B3032" s="2">
        <v>4828</v>
      </c>
    </row>
    <row r="3033" spans="1:6" ht="25.5" x14ac:dyDescent="0.3">
      <c r="A3033" s="14" t="s">
        <v>79</v>
      </c>
      <c r="B3033" s="2">
        <v>1822124.54</v>
      </c>
    </row>
    <row r="3034" spans="1:6" ht="17.25" thickBot="1" x14ac:dyDescent="0.35"/>
    <row r="3035" spans="1:6" ht="33" customHeight="1" x14ac:dyDescent="0.3">
      <c r="A3035" s="24" t="s">
        <v>80</v>
      </c>
      <c r="B3035" s="26"/>
    </row>
    <row r="3036" spans="1:6" ht="33.75" thickBot="1" x14ac:dyDescent="0.35">
      <c r="A3036" s="13" t="s">
        <v>81</v>
      </c>
      <c r="B3036" s="2" t="s">
        <v>82</v>
      </c>
    </row>
    <row r="3037" spans="1:6" ht="25.5" x14ac:dyDescent="0.3">
      <c r="A3037" s="14" t="s">
        <v>83</v>
      </c>
      <c r="B3037" s="2" t="s">
        <v>84</v>
      </c>
    </row>
    <row r="3038" spans="1:6" ht="17.25" thickBot="1" x14ac:dyDescent="0.35"/>
    <row r="3039" spans="1:6" ht="16.5" customHeight="1" x14ac:dyDescent="0.3">
      <c r="A3039" s="24" t="s">
        <v>130</v>
      </c>
      <c r="B3039" s="26"/>
      <c r="C3039" s="26"/>
      <c r="D3039" s="26"/>
      <c r="E3039" s="26"/>
      <c r="F3039" s="26"/>
    </row>
    <row r="3040" spans="1:6" x14ac:dyDescent="0.3">
      <c r="A3040" s="25" t="s">
        <v>131</v>
      </c>
      <c r="B3040" s="27" t="s">
        <v>46</v>
      </c>
      <c r="C3040" s="27" t="s">
        <v>132</v>
      </c>
      <c r="D3040" s="3" t="s">
        <v>133</v>
      </c>
      <c r="E3040" s="27" t="s">
        <v>135</v>
      </c>
      <c r="F3040" s="27"/>
    </row>
    <row r="3041" spans="1:8" x14ac:dyDescent="0.3">
      <c r="A3041" s="25"/>
      <c r="B3041" s="27"/>
      <c r="C3041" s="27"/>
      <c r="D3041" s="3" t="s">
        <v>134</v>
      </c>
      <c r="E3041" s="27"/>
      <c r="F3041" s="27"/>
    </row>
    <row r="3042" spans="1:8" ht="17.25" thickBot="1" x14ac:dyDescent="0.35">
      <c r="A3042" s="13" t="s">
        <v>66</v>
      </c>
      <c r="B3042" s="2">
        <v>4828</v>
      </c>
      <c r="C3042" s="2">
        <v>8.5030049999999999</v>
      </c>
      <c r="D3042" s="2">
        <v>1.2163999999999999E-2</v>
      </c>
      <c r="E3042" s="2">
        <v>8.4791019999999993</v>
      </c>
      <c r="F3042" s="2">
        <v>8.5269075999999995</v>
      </c>
      <c r="H3042" s="8" t="str">
        <f t="shared" ref="H3042:H3045" si="126">TEXT(C3042,"0.00")&amp;" ("&amp;TEXT(E3042,"0.00")&amp;" to "&amp;TEXT(F3042,"0.00")&amp;")"</f>
        <v>8.50 (8.48 to 8.53)</v>
      </c>
    </row>
    <row r="3043" spans="1:8" ht="17.25" thickBot="1" x14ac:dyDescent="0.35">
      <c r="A3043" s="13" t="s">
        <v>67</v>
      </c>
      <c r="B3043" s="2">
        <v>4828</v>
      </c>
      <c r="C3043" s="2">
        <v>0.65064100000000002</v>
      </c>
      <c r="D3043" s="2">
        <v>1.555E-3</v>
      </c>
      <c r="E3043" s="2">
        <v>0.64758610000000005</v>
      </c>
      <c r="F3043" s="2">
        <v>0.65369580000000005</v>
      </c>
      <c r="H3043" s="8" t="str">
        <f t="shared" si="126"/>
        <v>0.65 (0.65 to 0.65)</v>
      </c>
    </row>
    <row r="3044" spans="1:8" ht="17.25" thickBot="1" x14ac:dyDescent="0.35">
      <c r="A3044" s="13" t="s">
        <v>68</v>
      </c>
      <c r="B3044" s="2">
        <v>4828</v>
      </c>
      <c r="C3044" s="2">
        <v>0.34908499999999998</v>
      </c>
      <c r="D3044" s="2">
        <v>5.7990000000000003E-3</v>
      </c>
      <c r="E3044" s="2">
        <v>0.33769090000000002</v>
      </c>
      <c r="F3044" s="2">
        <v>0.36047970000000001</v>
      </c>
      <c r="H3044" s="8" t="str">
        <f t="shared" si="126"/>
        <v>0.35 (0.34 to 0.36)</v>
      </c>
    </row>
    <row r="3045" spans="1:8" x14ac:dyDescent="0.3">
      <c r="A3045" s="14" t="s">
        <v>69</v>
      </c>
      <c r="B3045" s="2">
        <v>4828</v>
      </c>
      <c r="C3045" s="2">
        <v>35.13626</v>
      </c>
      <c r="D3045" s="2">
        <v>0.12864300000000001</v>
      </c>
      <c r="E3045" s="2">
        <v>34.883481000000003</v>
      </c>
      <c r="F3045" s="2">
        <v>35.389039500000003</v>
      </c>
      <c r="H3045" s="8" t="str">
        <f t="shared" si="126"/>
        <v>35.14 (34.88 to 35.39)</v>
      </c>
    </row>
    <row r="3049" spans="1:8" x14ac:dyDescent="0.3">
      <c r="A3049" s="1" t="s">
        <v>129</v>
      </c>
    </row>
    <row r="3051" spans="1:8" x14ac:dyDescent="0.3">
      <c r="A3051" s="1" t="s">
        <v>269</v>
      </c>
    </row>
    <row r="3052" spans="1:8" ht="17.25" thickBot="1" x14ac:dyDescent="0.35"/>
    <row r="3053" spans="1:8" ht="16.5" customHeight="1" x14ac:dyDescent="0.3">
      <c r="A3053" s="24" t="s">
        <v>75</v>
      </c>
      <c r="B3053" s="26"/>
    </row>
    <row r="3054" spans="1:8" ht="26.25" thickBot="1" x14ac:dyDescent="0.35">
      <c r="A3054" s="13" t="s">
        <v>76</v>
      </c>
      <c r="B3054" s="2">
        <v>25</v>
      </c>
    </row>
    <row r="3055" spans="1:8" ht="26.25" thickBot="1" x14ac:dyDescent="0.35">
      <c r="A3055" s="13" t="s">
        <v>77</v>
      </c>
      <c r="B3055" s="2">
        <v>485</v>
      </c>
    </row>
    <row r="3056" spans="1:8" ht="39" thickBot="1" x14ac:dyDescent="0.35">
      <c r="A3056" s="13" t="s">
        <v>78</v>
      </c>
      <c r="B3056" s="2">
        <v>4408</v>
      </c>
    </row>
    <row r="3057" spans="1:8" ht="25.5" x14ac:dyDescent="0.3">
      <c r="A3057" s="14" t="s">
        <v>79</v>
      </c>
      <c r="B3057" s="2">
        <v>1728785.16</v>
      </c>
    </row>
    <row r="3058" spans="1:8" ht="17.25" thickBot="1" x14ac:dyDescent="0.35"/>
    <row r="3059" spans="1:8" ht="33" customHeight="1" x14ac:dyDescent="0.3">
      <c r="A3059" s="24" t="s">
        <v>80</v>
      </c>
      <c r="B3059" s="26"/>
    </row>
    <row r="3060" spans="1:8" ht="33.75" thickBot="1" x14ac:dyDescent="0.35">
      <c r="A3060" s="13" t="s">
        <v>81</v>
      </c>
      <c r="B3060" s="2" t="s">
        <v>82</v>
      </c>
    </row>
    <row r="3061" spans="1:8" ht="25.5" x14ac:dyDescent="0.3">
      <c r="A3061" s="14" t="s">
        <v>83</v>
      </c>
      <c r="B3061" s="2" t="s">
        <v>84</v>
      </c>
    </row>
    <row r="3062" spans="1:8" ht="17.25" thickBot="1" x14ac:dyDescent="0.35"/>
    <row r="3063" spans="1:8" ht="16.5" customHeight="1" x14ac:dyDescent="0.3">
      <c r="A3063" s="24" t="s">
        <v>130</v>
      </c>
      <c r="B3063" s="26"/>
      <c r="C3063" s="26"/>
      <c r="D3063" s="26"/>
      <c r="E3063" s="26"/>
      <c r="F3063" s="26"/>
    </row>
    <row r="3064" spans="1:8" x14ac:dyDescent="0.3">
      <c r="A3064" s="25" t="s">
        <v>131</v>
      </c>
      <c r="B3064" s="27" t="s">
        <v>46</v>
      </c>
      <c r="C3064" s="27" t="s">
        <v>132</v>
      </c>
      <c r="D3064" s="3" t="s">
        <v>133</v>
      </c>
      <c r="E3064" s="27" t="s">
        <v>135</v>
      </c>
      <c r="F3064" s="27"/>
    </row>
    <row r="3065" spans="1:8" x14ac:dyDescent="0.3">
      <c r="A3065" s="25"/>
      <c r="B3065" s="27"/>
      <c r="C3065" s="27"/>
      <c r="D3065" s="3" t="s">
        <v>134</v>
      </c>
      <c r="E3065" s="27"/>
      <c r="F3065" s="27"/>
    </row>
    <row r="3066" spans="1:8" ht="17.25" thickBot="1" x14ac:dyDescent="0.35">
      <c r="A3066" s="13" t="s">
        <v>66</v>
      </c>
      <c r="B3066" s="2">
        <v>4408</v>
      </c>
      <c r="C3066" s="2">
        <v>8.5557680000000005</v>
      </c>
      <c r="D3066" s="2">
        <v>1.2194E-2</v>
      </c>
      <c r="E3066" s="2">
        <v>8.5318052000000009</v>
      </c>
      <c r="F3066" s="2">
        <v>8.5797307000000007</v>
      </c>
      <c r="H3066" s="8" t="str">
        <f t="shared" ref="H3066:H3069" si="127">TEXT(C3066,"0.00")&amp;" ("&amp;TEXT(E3066,"0.00")&amp;" to "&amp;TEXT(F3066,"0.00")&amp;")"</f>
        <v>8.56 (8.53 to 8.58)</v>
      </c>
    </row>
    <row r="3067" spans="1:8" ht="17.25" thickBot="1" x14ac:dyDescent="0.35">
      <c r="A3067" s="13" t="s">
        <v>67</v>
      </c>
      <c r="B3067" s="2">
        <v>4408</v>
      </c>
      <c r="C3067" s="2">
        <v>0.66083499999999995</v>
      </c>
      <c r="D3067" s="2">
        <v>1.4419999999999999E-3</v>
      </c>
      <c r="E3067" s="2">
        <v>0.65800080000000005</v>
      </c>
      <c r="F3067" s="2">
        <v>0.66366820000000004</v>
      </c>
      <c r="H3067" s="8" t="str">
        <f t="shared" si="127"/>
        <v>0.66 (0.66 to 0.66)</v>
      </c>
    </row>
    <row r="3068" spans="1:8" ht="17.25" thickBot="1" x14ac:dyDescent="0.35">
      <c r="A3068" s="13" t="s">
        <v>68</v>
      </c>
      <c r="B3068" s="2">
        <v>4408</v>
      </c>
      <c r="C3068" s="2">
        <v>0.36645100000000003</v>
      </c>
      <c r="D3068" s="2">
        <v>5.6940000000000003E-3</v>
      </c>
      <c r="E3068" s="2">
        <v>0.35526049999999998</v>
      </c>
      <c r="F3068" s="2">
        <v>0.37764120000000001</v>
      </c>
      <c r="H3068" s="8" t="str">
        <f t="shared" si="127"/>
        <v>0.37 (0.36 to 0.38)</v>
      </c>
    </row>
    <row r="3069" spans="1:8" x14ac:dyDescent="0.3">
      <c r="A3069" s="14" t="s">
        <v>69</v>
      </c>
      <c r="B3069" s="2">
        <v>4408</v>
      </c>
      <c r="C3069" s="2">
        <v>35.619117000000003</v>
      </c>
      <c r="D3069" s="2">
        <v>0.122498</v>
      </c>
      <c r="E3069" s="2">
        <v>35.378391200000003</v>
      </c>
      <c r="F3069" s="2">
        <v>35.859843099999999</v>
      </c>
      <c r="H3069" s="8" t="str">
        <f t="shared" si="127"/>
        <v>35.62 (35.38 to 35.86)</v>
      </c>
    </row>
    <row r="3073" spans="1:6" x14ac:dyDescent="0.3">
      <c r="A3073" s="1" t="s">
        <v>129</v>
      </c>
    </row>
    <row r="3075" spans="1:6" x14ac:dyDescent="0.3">
      <c r="A3075" s="1" t="s">
        <v>270</v>
      </c>
    </row>
    <row r="3076" spans="1:6" ht="17.25" thickBot="1" x14ac:dyDescent="0.35"/>
    <row r="3077" spans="1:6" ht="16.5" customHeight="1" x14ac:dyDescent="0.3">
      <c r="A3077" s="24" t="s">
        <v>75</v>
      </c>
      <c r="B3077" s="26"/>
    </row>
    <row r="3078" spans="1:6" ht="26.25" thickBot="1" x14ac:dyDescent="0.35">
      <c r="A3078" s="13" t="s">
        <v>76</v>
      </c>
      <c r="B3078" s="2">
        <v>25</v>
      </c>
    </row>
    <row r="3079" spans="1:6" ht="26.25" thickBot="1" x14ac:dyDescent="0.35">
      <c r="A3079" s="13" t="s">
        <v>77</v>
      </c>
      <c r="B3079" s="2">
        <v>487</v>
      </c>
    </row>
    <row r="3080" spans="1:6" ht="39" thickBot="1" x14ac:dyDescent="0.35">
      <c r="A3080" s="13" t="s">
        <v>78</v>
      </c>
      <c r="B3080" s="2">
        <v>2679</v>
      </c>
    </row>
    <row r="3081" spans="1:6" ht="25.5" x14ac:dyDescent="0.3">
      <c r="A3081" s="14" t="s">
        <v>79</v>
      </c>
      <c r="B3081" s="2">
        <v>819259.00899999996</v>
      </c>
    </row>
    <row r="3082" spans="1:6" ht="17.25" thickBot="1" x14ac:dyDescent="0.35"/>
    <row r="3083" spans="1:6" ht="33" customHeight="1" x14ac:dyDescent="0.3">
      <c r="A3083" s="24" t="s">
        <v>80</v>
      </c>
      <c r="B3083" s="26"/>
    </row>
    <row r="3084" spans="1:6" ht="33.75" thickBot="1" x14ac:dyDescent="0.35">
      <c r="A3084" s="13" t="s">
        <v>81</v>
      </c>
      <c r="B3084" s="2" t="s">
        <v>82</v>
      </c>
    </row>
    <row r="3085" spans="1:6" ht="25.5" x14ac:dyDescent="0.3">
      <c r="A3085" s="14" t="s">
        <v>83</v>
      </c>
      <c r="B3085" s="2" t="s">
        <v>84</v>
      </c>
    </row>
    <row r="3086" spans="1:6" ht="17.25" thickBot="1" x14ac:dyDescent="0.35"/>
    <row r="3087" spans="1:6" ht="16.5" customHeight="1" x14ac:dyDescent="0.3">
      <c r="A3087" s="24" t="s">
        <v>130</v>
      </c>
      <c r="B3087" s="26"/>
      <c r="C3087" s="26"/>
      <c r="D3087" s="26"/>
      <c r="E3087" s="26"/>
      <c r="F3087" s="26"/>
    </row>
    <row r="3088" spans="1:6" x14ac:dyDescent="0.3">
      <c r="A3088" s="25" t="s">
        <v>131</v>
      </c>
      <c r="B3088" s="27" t="s">
        <v>46</v>
      </c>
      <c r="C3088" s="27" t="s">
        <v>132</v>
      </c>
      <c r="D3088" s="3" t="s">
        <v>133</v>
      </c>
      <c r="E3088" s="27" t="s">
        <v>135</v>
      </c>
      <c r="F3088" s="27"/>
    </row>
    <row r="3089" spans="1:8" x14ac:dyDescent="0.3">
      <c r="A3089" s="25"/>
      <c r="B3089" s="27"/>
      <c r="C3089" s="27"/>
      <c r="D3089" s="3" t="s">
        <v>134</v>
      </c>
      <c r="E3089" s="27"/>
      <c r="F3089" s="27"/>
    </row>
    <row r="3090" spans="1:8" ht="17.25" thickBot="1" x14ac:dyDescent="0.35">
      <c r="A3090" s="13" t="s">
        <v>66</v>
      </c>
      <c r="B3090" s="2">
        <v>2679</v>
      </c>
      <c r="C3090" s="2">
        <v>8.669079</v>
      </c>
      <c r="D3090" s="2">
        <v>1.6459999999999999E-2</v>
      </c>
      <c r="E3090" s="2">
        <v>8.6367340000000006</v>
      </c>
      <c r="F3090" s="2">
        <v>8.7014236999999994</v>
      </c>
      <c r="H3090" s="8" t="str">
        <f t="shared" ref="H3090:H3093" si="128">TEXT(C3090,"0.00")&amp;" ("&amp;TEXT(E3090,"0.00")&amp;" to "&amp;TEXT(F3090,"0.00")&amp;")"</f>
        <v>8.67 (8.64 to 8.70)</v>
      </c>
    </row>
    <row r="3091" spans="1:8" ht="17.25" thickBot="1" x14ac:dyDescent="0.35">
      <c r="A3091" s="13" t="s">
        <v>67</v>
      </c>
      <c r="B3091" s="2">
        <v>2679</v>
      </c>
      <c r="C3091" s="2">
        <v>0.68151799999999996</v>
      </c>
      <c r="D3091" s="2">
        <v>2.166E-3</v>
      </c>
      <c r="E3091" s="2">
        <v>0.677261</v>
      </c>
      <c r="F3091" s="2">
        <v>0.6857742</v>
      </c>
      <c r="H3091" s="8" t="str">
        <f t="shared" si="128"/>
        <v>0.68 (0.68 to 0.69)</v>
      </c>
    </row>
    <row r="3092" spans="1:8" ht="17.25" thickBot="1" x14ac:dyDescent="0.35">
      <c r="A3092" s="13" t="s">
        <v>68</v>
      </c>
      <c r="B3092" s="2">
        <v>2679</v>
      </c>
      <c r="C3092" s="2">
        <v>0.412798</v>
      </c>
      <c r="D3092" s="2">
        <v>7.7149999999999996E-3</v>
      </c>
      <c r="E3092" s="2">
        <v>0.39763700000000002</v>
      </c>
      <c r="F3092" s="2">
        <v>0.42795879999999997</v>
      </c>
      <c r="H3092" s="8" t="str">
        <f t="shared" si="128"/>
        <v>0.41 (0.40 to 0.43)</v>
      </c>
    </row>
    <row r="3093" spans="1:8" x14ac:dyDescent="0.3">
      <c r="A3093" s="14" t="s">
        <v>69</v>
      </c>
      <c r="B3093" s="2">
        <v>2679</v>
      </c>
      <c r="C3093" s="2">
        <v>36.467539000000002</v>
      </c>
      <c r="D3093" s="2">
        <v>0.19724700000000001</v>
      </c>
      <c r="E3093" s="2">
        <v>36.079926399999998</v>
      </c>
      <c r="F3093" s="2">
        <v>36.8551523</v>
      </c>
      <c r="H3093" s="8" t="str">
        <f t="shared" si="128"/>
        <v>36.47 (36.08 to 36.86)</v>
      </c>
    </row>
    <row r="3097" spans="1:8" x14ac:dyDescent="0.3">
      <c r="A3097" s="1" t="s">
        <v>129</v>
      </c>
    </row>
    <row r="3099" spans="1:8" x14ac:dyDescent="0.3">
      <c r="A3099" s="1" t="s">
        <v>271</v>
      </c>
    </row>
    <row r="3100" spans="1:8" ht="17.25" thickBot="1" x14ac:dyDescent="0.35"/>
    <row r="3101" spans="1:8" ht="16.5" customHeight="1" x14ac:dyDescent="0.3">
      <c r="A3101" s="24" t="s">
        <v>75</v>
      </c>
      <c r="B3101" s="26"/>
    </row>
    <row r="3102" spans="1:8" ht="26.25" thickBot="1" x14ac:dyDescent="0.35">
      <c r="A3102" s="13" t="s">
        <v>76</v>
      </c>
      <c r="B3102" s="2">
        <v>25</v>
      </c>
    </row>
    <row r="3103" spans="1:8" ht="26.25" thickBot="1" x14ac:dyDescent="0.35">
      <c r="A3103" s="13" t="s">
        <v>77</v>
      </c>
      <c r="B3103" s="2">
        <v>574</v>
      </c>
    </row>
    <row r="3104" spans="1:8" ht="39" thickBot="1" x14ac:dyDescent="0.35">
      <c r="A3104" s="13" t="s">
        <v>78</v>
      </c>
      <c r="B3104" s="2">
        <v>4474</v>
      </c>
    </row>
    <row r="3105" spans="1:8" ht="25.5" x14ac:dyDescent="0.3">
      <c r="A3105" s="14" t="s">
        <v>79</v>
      </c>
      <c r="B3105" s="2">
        <v>1915973.02</v>
      </c>
    </row>
    <row r="3106" spans="1:8" ht="17.25" thickBot="1" x14ac:dyDescent="0.35"/>
    <row r="3107" spans="1:8" ht="33" customHeight="1" x14ac:dyDescent="0.3">
      <c r="A3107" s="24" t="s">
        <v>80</v>
      </c>
      <c r="B3107" s="26"/>
    </row>
    <row r="3108" spans="1:8" ht="33.75" thickBot="1" x14ac:dyDescent="0.35">
      <c r="A3108" s="13" t="s">
        <v>81</v>
      </c>
      <c r="B3108" s="2" t="s">
        <v>82</v>
      </c>
    </row>
    <row r="3109" spans="1:8" ht="25.5" x14ac:dyDescent="0.3">
      <c r="A3109" s="14" t="s">
        <v>83</v>
      </c>
      <c r="B3109" s="2" t="s">
        <v>84</v>
      </c>
    </row>
    <row r="3110" spans="1:8" ht="17.25" thickBot="1" x14ac:dyDescent="0.35"/>
    <row r="3111" spans="1:8" ht="16.5" customHeight="1" x14ac:dyDescent="0.3">
      <c r="A3111" s="24" t="s">
        <v>130</v>
      </c>
      <c r="B3111" s="26"/>
      <c r="C3111" s="26"/>
      <c r="D3111" s="26"/>
      <c r="E3111" s="26"/>
      <c r="F3111" s="26"/>
    </row>
    <row r="3112" spans="1:8" x14ac:dyDescent="0.3">
      <c r="A3112" s="25" t="s">
        <v>131</v>
      </c>
      <c r="B3112" s="27" t="s">
        <v>46</v>
      </c>
      <c r="C3112" s="27" t="s">
        <v>132</v>
      </c>
      <c r="D3112" s="3" t="s">
        <v>133</v>
      </c>
      <c r="E3112" s="27" t="s">
        <v>135</v>
      </c>
      <c r="F3112" s="27"/>
    </row>
    <row r="3113" spans="1:8" x14ac:dyDescent="0.3">
      <c r="A3113" s="25"/>
      <c r="B3113" s="27"/>
      <c r="C3113" s="27"/>
      <c r="D3113" s="3" t="s">
        <v>134</v>
      </c>
      <c r="E3113" s="27"/>
      <c r="F3113" s="27"/>
    </row>
    <row r="3114" spans="1:8" ht="17.25" thickBot="1" x14ac:dyDescent="0.35">
      <c r="A3114" s="13" t="s">
        <v>66</v>
      </c>
      <c r="B3114" s="2">
        <v>4474</v>
      </c>
      <c r="C3114" s="2">
        <v>8.4729019999999995</v>
      </c>
      <c r="D3114" s="2">
        <v>1.2652E-2</v>
      </c>
      <c r="E3114" s="2">
        <v>8.4480494999999998</v>
      </c>
      <c r="F3114" s="2">
        <v>8.4977555000000002</v>
      </c>
      <c r="H3114" s="8" t="str">
        <f t="shared" ref="H3114:H3117" si="129">TEXT(C3114,"0.00")&amp;" ("&amp;TEXT(E3114,"0.00")&amp;" to "&amp;TEXT(F3114,"0.00")&amp;")"</f>
        <v>8.47 (8.45 to 8.50)</v>
      </c>
    </row>
    <row r="3115" spans="1:8" ht="17.25" thickBot="1" x14ac:dyDescent="0.35">
      <c r="A3115" s="13" t="s">
        <v>67</v>
      </c>
      <c r="B3115" s="2">
        <v>4474</v>
      </c>
      <c r="C3115" s="2">
        <v>0.64485700000000001</v>
      </c>
      <c r="D3115" s="2">
        <v>1.474E-3</v>
      </c>
      <c r="E3115" s="2">
        <v>0.64196209999999998</v>
      </c>
      <c r="F3115" s="2">
        <v>0.64775099999999997</v>
      </c>
      <c r="H3115" s="8" t="str">
        <f t="shared" si="129"/>
        <v>0.64 (0.64 to 0.65)</v>
      </c>
    </row>
    <row r="3116" spans="1:8" ht="17.25" thickBot="1" x14ac:dyDescent="0.35">
      <c r="A3116" s="13" t="s">
        <v>68</v>
      </c>
      <c r="B3116" s="2">
        <v>4474</v>
      </c>
      <c r="C3116" s="2">
        <v>0.32145099999999999</v>
      </c>
      <c r="D3116" s="2">
        <v>5.9170000000000004E-3</v>
      </c>
      <c r="E3116" s="2">
        <v>0.30982870000000001</v>
      </c>
      <c r="F3116" s="2">
        <v>0.3330726</v>
      </c>
      <c r="H3116" s="8" t="str">
        <f t="shared" si="129"/>
        <v>0.32 (0.31 to 0.33)</v>
      </c>
    </row>
    <row r="3117" spans="1:8" x14ac:dyDescent="0.3">
      <c r="A3117" s="14" t="s">
        <v>69</v>
      </c>
      <c r="B3117" s="2">
        <v>4474</v>
      </c>
      <c r="C3117" s="2">
        <v>34.938470000000002</v>
      </c>
      <c r="D3117" s="2">
        <v>0.13888</v>
      </c>
      <c r="E3117" s="2">
        <v>34.665669600000001</v>
      </c>
      <c r="F3117" s="2">
        <v>35.211270399999997</v>
      </c>
      <c r="H3117" s="8" t="str">
        <f t="shared" si="129"/>
        <v>34.94 (34.67 to 35.21)</v>
      </c>
    </row>
    <row r="3121" spans="1:6" x14ac:dyDescent="0.3">
      <c r="A3121" s="1" t="s">
        <v>129</v>
      </c>
    </row>
    <row r="3123" spans="1:6" x14ac:dyDescent="0.3">
      <c r="A3123" s="1" t="s">
        <v>272</v>
      </c>
    </row>
    <row r="3124" spans="1:6" ht="17.25" thickBot="1" x14ac:dyDescent="0.35"/>
    <row r="3125" spans="1:6" ht="16.5" customHeight="1" x14ac:dyDescent="0.3">
      <c r="A3125" s="24" t="s">
        <v>75</v>
      </c>
      <c r="B3125" s="26"/>
    </row>
    <row r="3126" spans="1:6" ht="26.25" thickBot="1" x14ac:dyDescent="0.35">
      <c r="A3126" s="13" t="s">
        <v>76</v>
      </c>
      <c r="B3126" s="2">
        <v>25</v>
      </c>
    </row>
    <row r="3127" spans="1:6" ht="26.25" thickBot="1" x14ac:dyDescent="0.35">
      <c r="A3127" s="13" t="s">
        <v>77</v>
      </c>
      <c r="B3127" s="2">
        <v>575</v>
      </c>
    </row>
    <row r="3128" spans="1:6" ht="39" thickBot="1" x14ac:dyDescent="0.35">
      <c r="A3128" s="13" t="s">
        <v>78</v>
      </c>
      <c r="B3128" s="2">
        <v>6326</v>
      </c>
    </row>
    <row r="3129" spans="1:6" ht="25.5" x14ac:dyDescent="0.3">
      <c r="A3129" s="14" t="s">
        <v>79</v>
      </c>
      <c r="B3129" s="2">
        <v>2668323.4700000002</v>
      </c>
    </row>
    <row r="3130" spans="1:6" ht="17.25" thickBot="1" x14ac:dyDescent="0.35"/>
    <row r="3131" spans="1:6" ht="33" customHeight="1" x14ac:dyDescent="0.3">
      <c r="A3131" s="24" t="s">
        <v>80</v>
      </c>
      <c r="B3131" s="26"/>
    </row>
    <row r="3132" spans="1:6" ht="33.75" thickBot="1" x14ac:dyDescent="0.35">
      <c r="A3132" s="13" t="s">
        <v>81</v>
      </c>
      <c r="B3132" s="2" t="s">
        <v>82</v>
      </c>
    </row>
    <row r="3133" spans="1:6" ht="25.5" x14ac:dyDescent="0.3">
      <c r="A3133" s="14" t="s">
        <v>83</v>
      </c>
      <c r="B3133" s="2" t="s">
        <v>84</v>
      </c>
    </row>
    <row r="3134" spans="1:6" ht="17.25" thickBot="1" x14ac:dyDescent="0.35"/>
    <row r="3135" spans="1:6" ht="16.5" customHeight="1" x14ac:dyDescent="0.3">
      <c r="A3135" s="24" t="s">
        <v>130</v>
      </c>
      <c r="B3135" s="26"/>
      <c r="C3135" s="26"/>
      <c r="D3135" s="26"/>
      <c r="E3135" s="26"/>
      <c r="F3135" s="26"/>
    </row>
    <row r="3136" spans="1:6" x14ac:dyDescent="0.3">
      <c r="A3136" s="25" t="s">
        <v>131</v>
      </c>
      <c r="B3136" s="27" t="s">
        <v>46</v>
      </c>
      <c r="C3136" s="27" t="s">
        <v>132</v>
      </c>
      <c r="D3136" s="3" t="s">
        <v>133</v>
      </c>
      <c r="E3136" s="27" t="s">
        <v>135</v>
      </c>
      <c r="F3136" s="27"/>
    </row>
    <row r="3137" spans="1:8" x14ac:dyDescent="0.3">
      <c r="A3137" s="25"/>
      <c r="B3137" s="27"/>
      <c r="C3137" s="27"/>
      <c r="D3137" s="3" t="s">
        <v>134</v>
      </c>
      <c r="E3137" s="27"/>
      <c r="F3137" s="27"/>
    </row>
    <row r="3138" spans="1:8" ht="17.25" thickBot="1" x14ac:dyDescent="0.35">
      <c r="A3138" s="13" t="s">
        <v>66</v>
      </c>
      <c r="B3138" s="2">
        <v>6326</v>
      </c>
      <c r="C3138" s="2">
        <v>8.5920489999999994</v>
      </c>
      <c r="D3138" s="2">
        <v>1.1054E-2</v>
      </c>
      <c r="E3138" s="2">
        <v>8.5703359999999993</v>
      </c>
      <c r="F3138" s="2">
        <v>8.6137628999999993</v>
      </c>
      <c r="H3138" s="8" t="str">
        <f t="shared" ref="H3138:H3141" si="130">TEXT(C3138,"0.00")&amp;" ("&amp;TEXT(E3138,"0.00")&amp;" to "&amp;TEXT(F3138,"0.00")&amp;")"</f>
        <v>8.59 (8.57 to 8.61)</v>
      </c>
    </row>
    <row r="3139" spans="1:8" ht="17.25" thickBot="1" x14ac:dyDescent="0.35">
      <c r="A3139" s="13" t="s">
        <v>67</v>
      </c>
      <c r="B3139" s="2">
        <v>6326</v>
      </c>
      <c r="C3139" s="2">
        <v>0.66066400000000003</v>
      </c>
      <c r="D3139" s="2">
        <v>1.281E-3</v>
      </c>
      <c r="E3139" s="2">
        <v>0.65814709999999998</v>
      </c>
      <c r="F3139" s="2">
        <v>0.66318089999999996</v>
      </c>
      <c r="H3139" s="8" t="str">
        <f t="shared" si="130"/>
        <v>0.66 (0.66 to 0.66)</v>
      </c>
    </row>
    <row r="3140" spans="1:8" ht="17.25" thickBot="1" x14ac:dyDescent="0.35">
      <c r="A3140" s="13" t="s">
        <v>68</v>
      </c>
      <c r="B3140" s="2">
        <v>6326</v>
      </c>
      <c r="C3140" s="2">
        <v>0.372473</v>
      </c>
      <c r="D3140" s="2">
        <v>5.3010000000000002E-3</v>
      </c>
      <c r="E3140" s="2">
        <v>0.36205939999999998</v>
      </c>
      <c r="F3140" s="2">
        <v>0.38288630000000001</v>
      </c>
      <c r="H3140" s="8" t="str">
        <f t="shared" si="130"/>
        <v>0.37 (0.36 to 0.38)</v>
      </c>
    </row>
    <row r="3141" spans="1:8" x14ac:dyDescent="0.3">
      <c r="A3141" s="14" t="s">
        <v>69</v>
      </c>
      <c r="B3141" s="2">
        <v>6326</v>
      </c>
      <c r="C3141" s="2">
        <v>35.729841</v>
      </c>
      <c r="D3141" s="2">
        <v>0.12740000000000001</v>
      </c>
      <c r="E3141" s="2">
        <v>35.479590600000002</v>
      </c>
      <c r="F3141" s="2">
        <v>35.9800921</v>
      </c>
      <c r="H3141" s="8" t="str">
        <f t="shared" si="130"/>
        <v>35.73 (35.48 to 35.98)</v>
      </c>
    </row>
    <row r="3145" spans="1:8" x14ac:dyDescent="0.3">
      <c r="A3145" s="1" t="s">
        <v>129</v>
      </c>
    </row>
    <row r="3147" spans="1:8" x14ac:dyDescent="0.3">
      <c r="A3147" s="1" t="s">
        <v>273</v>
      </c>
    </row>
    <row r="3148" spans="1:8" ht="17.25" thickBot="1" x14ac:dyDescent="0.35"/>
    <row r="3149" spans="1:8" ht="16.5" customHeight="1" x14ac:dyDescent="0.3">
      <c r="A3149" s="24" t="s">
        <v>75</v>
      </c>
      <c r="B3149" s="26"/>
    </row>
    <row r="3150" spans="1:8" ht="26.25" thickBot="1" x14ac:dyDescent="0.35">
      <c r="A3150" s="13" t="s">
        <v>76</v>
      </c>
      <c r="B3150" s="2">
        <v>25</v>
      </c>
    </row>
    <row r="3151" spans="1:8" ht="26.25" thickBot="1" x14ac:dyDescent="0.35">
      <c r="A3151" s="13" t="s">
        <v>77</v>
      </c>
      <c r="B3151" s="2">
        <v>555</v>
      </c>
    </row>
    <row r="3152" spans="1:8" ht="39" thickBot="1" x14ac:dyDescent="0.35">
      <c r="A3152" s="13" t="s">
        <v>78</v>
      </c>
      <c r="B3152" s="2">
        <v>2316</v>
      </c>
    </row>
    <row r="3153" spans="1:8" ht="25.5" x14ac:dyDescent="0.3">
      <c r="A3153" s="14" t="s">
        <v>79</v>
      </c>
      <c r="B3153" s="2">
        <v>876368.45</v>
      </c>
    </row>
    <row r="3154" spans="1:8" ht="17.25" thickBot="1" x14ac:dyDescent="0.35"/>
    <row r="3155" spans="1:8" ht="33" customHeight="1" x14ac:dyDescent="0.3">
      <c r="A3155" s="24" t="s">
        <v>80</v>
      </c>
      <c r="B3155" s="26"/>
    </row>
    <row r="3156" spans="1:8" ht="33.75" thickBot="1" x14ac:dyDescent="0.35">
      <c r="A3156" s="13" t="s">
        <v>81</v>
      </c>
      <c r="B3156" s="2" t="s">
        <v>82</v>
      </c>
    </row>
    <row r="3157" spans="1:8" ht="25.5" x14ac:dyDescent="0.3">
      <c r="A3157" s="14" t="s">
        <v>83</v>
      </c>
      <c r="B3157" s="2" t="s">
        <v>84</v>
      </c>
    </row>
    <row r="3158" spans="1:8" ht="17.25" thickBot="1" x14ac:dyDescent="0.35"/>
    <row r="3159" spans="1:8" ht="16.5" customHeight="1" x14ac:dyDescent="0.3">
      <c r="A3159" s="24" t="s">
        <v>130</v>
      </c>
      <c r="B3159" s="26"/>
      <c r="C3159" s="26"/>
      <c r="D3159" s="26"/>
      <c r="E3159" s="26"/>
      <c r="F3159" s="26"/>
    </row>
    <row r="3160" spans="1:8" x14ac:dyDescent="0.3">
      <c r="A3160" s="25" t="s">
        <v>131</v>
      </c>
      <c r="B3160" s="27" t="s">
        <v>46</v>
      </c>
      <c r="C3160" s="27" t="s">
        <v>132</v>
      </c>
      <c r="D3160" s="3" t="s">
        <v>133</v>
      </c>
      <c r="E3160" s="27" t="s">
        <v>135</v>
      </c>
      <c r="F3160" s="27"/>
    </row>
    <row r="3161" spans="1:8" x14ac:dyDescent="0.3">
      <c r="A3161" s="25"/>
      <c r="B3161" s="27"/>
      <c r="C3161" s="27"/>
      <c r="D3161" s="3" t="s">
        <v>134</v>
      </c>
      <c r="E3161" s="27"/>
      <c r="F3161" s="27"/>
    </row>
    <row r="3162" spans="1:8" ht="17.25" thickBot="1" x14ac:dyDescent="0.35">
      <c r="A3162" s="13" t="s">
        <v>66</v>
      </c>
      <c r="B3162" s="2">
        <v>2316</v>
      </c>
      <c r="C3162" s="2">
        <v>8.6499360000000003</v>
      </c>
      <c r="D3162" s="2">
        <v>1.8713E-2</v>
      </c>
      <c r="E3162" s="2">
        <v>8.6131744000000001</v>
      </c>
      <c r="F3162" s="2">
        <v>8.6866970000000006</v>
      </c>
      <c r="H3162" s="8" t="str">
        <f t="shared" ref="H3162:H3165" si="131">TEXT(C3162,"0.00")&amp;" ("&amp;TEXT(E3162,"0.00")&amp;" to "&amp;TEXT(F3162,"0.00")&amp;")"</f>
        <v>8.65 (8.61 to 8.69)</v>
      </c>
    </row>
    <row r="3163" spans="1:8" ht="17.25" thickBot="1" x14ac:dyDescent="0.35">
      <c r="A3163" s="13" t="s">
        <v>67</v>
      </c>
      <c r="B3163" s="2">
        <v>2316</v>
      </c>
      <c r="C3163" s="2">
        <v>0.67651799999999995</v>
      </c>
      <c r="D3163" s="2">
        <v>2.0990000000000002E-3</v>
      </c>
      <c r="E3163" s="2">
        <v>0.67239400000000005</v>
      </c>
      <c r="F3163" s="2">
        <v>0.68064250000000004</v>
      </c>
      <c r="H3163" s="8" t="str">
        <f t="shared" si="131"/>
        <v>0.68 (0.67 to 0.68)</v>
      </c>
    </row>
    <row r="3164" spans="1:8" ht="17.25" thickBot="1" x14ac:dyDescent="0.35">
      <c r="A3164" s="13" t="s">
        <v>68</v>
      </c>
      <c r="B3164" s="2">
        <v>2316</v>
      </c>
      <c r="C3164" s="2">
        <v>0.38594699999999998</v>
      </c>
      <c r="D3164" s="2">
        <v>8.3840000000000008E-3</v>
      </c>
      <c r="E3164" s="2">
        <v>0.36947740000000001</v>
      </c>
      <c r="F3164" s="2">
        <v>0.402416</v>
      </c>
      <c r="H3164" s="8" t="str">
        <f t="shared" si="131"/>
        <v>0.39 (0.37 to 0.40)</v>
      </c>
    </row>
    <row r="3165" spans="1:8" x14ac:dyDescent="0.3">
      <c r="A3165" s="14" t="s">
        <v>69</v>
      </c>
      <c r="B3165" s="2">
        <v>2316</v>
      </c>
      <c r="C3165" s="2">
        <v>36.325938000000001</v>
      </c>
      <c r="D3165" s="2">
        <v>0.20294599999999999</v>
      </c>
      <c r="E3165" s="2">
        <v>35.927260500000003</v>
      </c>
      <c r="F3165" s="2">
        <v>36.724615100000001</v>
      </c>
      <c r="H3165" s="8" t="str">
        <f t="shared" si="131"/>
        <v>36.33 (35.93 to 36.72)</v>
      </c>
    </row>
    <row r="3169" spans="1:6" x14ac:dyDescent="0.3">
      <c r="A3169" s="1" t="s">
        <v>129</v>
      </c>
    </row>
    <row r="3171" spans="1:6" x14ac:dyDescent="0.3">
      <c r="A3171" s="1" t="s">
        <v>274</v>
      </c>
    </row>
    <row r="3172" spans="1:6" ht="17.25" thickBot="1" x14ac:dyDescent="0.35"/>
    <row r="3173" spans="1:6" ht="16.5" customHeight="1" x14ac:dyDescent="0.3">
      <c r="A3173" s="24" t="s">
        <v>75</v>
      </c>
      <c r="B3173" s="26"/>
    </row>
    <row r="3174" spans="1:6" ht="26.25" thickBot="1" x14ac:dyDescent="0.35">
      <c r="A3174" s="13" t="s">
        <v>76</v>
      </c>
      <c r="B3174" s="2">
        <v>25</v>
      </c>
    </row>
    <row r="3175" spans="1:6" ht="26.25" thickBot="1" x14ac:dyDescent="0.35">
      <c r="A3175" s="13" t="s">
        <v>77</v>
      </c>
      <c r="B3175" s="2">
        <v>566</v>
      </c>
    </row>
    <row r="3176" spans="1:6" ht="39" thickBot="1" x14ac:dyDescent="0.35">
      <c r="A3176" s="13" t="s">
        <v>78</v>
      </c>
      <c r="B3176" s="2">
        <v>3613</v>
      </c>
    </row>
    <row r="3177" spans="1:6" ht="25.5" x14ac:dyDescent="0.3">
      <c r="A3177" s="14" t="s">
        <v>79</v>
      </c>
      <c r="B3177" s="2">
        <v>1802971.07</v>
      </c>
    </row>
    <row r="3178" spans="1:6" ht="17.25" thickBot="1" x14ac:dyDescent="0.35"/>
    <row r="3179" spans="1:6" ht="33" customHeight="1" x14ac:dyDescent="0.3">
      <c r="A3179" s="24" t="s">
        <v>80</v>
      </c>
      <c r="B3179" s="26"/>
    </row>
    <row r="3180" spans="1:6" ht="33.75" thickBot="1" x14ac:dyDescent="0.35">
      <c r="A3180" s="13" t="s">
        <v>81</v>
      </c>
      <c r="B3180" s="2" t="s">
        <v>82</v>
      </c>
    </row>
    <row r="3181" spans="1:6" ht="25.5" x14ac:dyDescent="0.3">
      <c r="A3181" s="14" t="s">
        <v>83</v>
      </c>
      <c r="B3181" s="2" t="s">
        <v>84</v>
      </c>
    </row>
    <row r="3182" spans="1:6" ht="17.25" thickBot="1" x14ac:dyDescent="0.35"/>
    <row r="3183" spans="1:6" ht="16.5" customHeight="1" x14ac:dyDescent="0.3">
      <c r="A3183" s="24" t="s">
        <v>130</v>
      </c>
      <c r="B3183" s="26"/>
      <c r="C3183" s="26"/>
      <c r="D3183" s="26"/>
      <c r="E3183" s="26"/>
      <c r="F3183" s="26"/>
    </row>
    <row r="3184" spans="1:6" x14ac:dyDescent="0.3">
      <c r="A3184" s="25" t="s">
        <v>131</v>
      </c>
      <c r="B3184" s="27" t="s">
        <v>46</v>
      </c>
      <c r="C3184" s="27" t="s">
        <v>132</v>
      </c>
      <c r="D3184" s="3" t="s">
        <v>133</v>
      </c>
      <c r="E3184" s="27" t="s">
        <v>135</v>
      </c>
      <c r="F3184" s="27"/>
    </row>
    <row r="3185" spans="1:8" x14ac:dyDescent="0.3">
      <c r="A3185" s="25"/>
      <c r="B3185" s="27"/>
      <c r="C3185" s="27"/>
      <c r="D3185" s="3" t="s">
        <v>134</v>
      </c>
      <c r="E3185" s="27"/>
      <c r="F3185" s="27"/>
    </row>
    <row r="3186" spans="1:8" ht="17.25" thickBot="1" x14ac:dyDescent="0.35">
      <c r="A3186" s="13" t="s">
        <v>66</v>
      </c>
      <c r="B3186" s="2">
        <v>3613</v>
      </c>
      <c r="C3186" s="2">
        <v>8.4858709999999995</v>
      </c>
      <c r="D3186" s="2">
        <v>1.3242E-2</v>
      </c>
      <c r="E3186" s="2">
        <v>8.4598583000000005</v>
      </c>
      <c r="F3186" s="2">
        <v>8.5118834000000003</v>
      </c>
      <c r="H3186" s="8" t="str">
        <f t="shared" ref="H3186:H3189" si="132">TEXT(C3186,"0.00")&amp;" ("&amp;TEXT(E3186,"0.00")&amp;" to "&amp;TEXT(F3186,"0.00")&amp;")"</f>
        <v>8.49 (8.46 to 8.51)</v>
      </c>
    </row>
    <row r="3187" spans="1:8" ht="17.25" thickBot="1" x14ac:dyDescent="0.35">
      <c r="A3187" s="13" t="s">
        <v>67</v>
      </c>
      <c r="B3187" s="2">
        <v>3613</v>
      </c>
      <c r="C3187" s="2">
        <v>0.64416099999999998</v>
      </c>
      <c r="D3187" s="2">
        <v>1.529E-3</v>
      </c>
      <c r="E3187" s="2">
        <v>0.64115770000000005</v>
      </c>
      <c r="F3187" s="2">
        <v>0.6471652</v>
      </c>
      <c r="H3187" s="8" t="str">
        <f t="shared" si="132"/>
        <v>0.64 (0.64 to 0.65)</v>
      </c>
    </row>
    <row r="3188" spans="1:8" ht="17.25" thickBot="1" x14ac:dyDescent="0.35">
      <c r="A3188" s="13" t="s">
        <v>68</v>
      </c>
      <c r="B3188" s="2">
        <v>3613</v>
      </c>
      <c r="C3188" s="2">
        <v>0.30485600000000002</v>
      </c>
      <c r="D3188" s="2">
        <v>6.4400000000000004E-3</v>
      </c>
      <c r="E3188" s="2">
        <v>0.29220469999999998</v>
      </c>
      <c r="F3188" s="2">
        <v>0.3175075</v>
      </c>
      <c r="H3188" s="8" t="str">
        <f t="shared" si="132"/>
        <v>0.30 (0.29 to 0.32)</v>
      </c>
    </row>
    <row r="3189" spans="1:8" x14ac:dyDescent="0.3">
      <c r="A3189" s="14" t="s">
        <v>69</v>
      </c>
      <c r="B3189" s="2">
        <v>3613</v>
      </c>
      <c r="C3189" s="2">
        <v>34.439214</v>
      </c>
      <c r="D3189" s="2">
        <v>0.12648999999999999</v>
      </c>
      <c r="E3189" s="2">
        <v>34.190741799999998</v>
      </c>
      <c r="F3189" s="2">
        <v>34.687686300000003</v>
      </c>
      <c r="H3189" s="8" t="str">
        <f t="shared" si="132"/>
        <v>34.44 (34.19 to 34.69)</v>
      </c>
    </row>
    <row r="3193" spans="1:8" x14ac:dyDescent="0.3">
      <c r="A3193" s="1" t="s">
        <v>129</v>
      </c>
    </row>
    <row r="3195" spans="1:8" x14ac:dyDescent="0.3">
      <c r="A3195" s="1" t="s">
        <v>275</v>
      </c>
    </row>
    <row r="3196" spans="1:8" ht="17.25" thickBot="1" x14ac:dyDescent="0.35"/>
    <row r="3197" spans="1:8" ht="16.5" customHeight="1" x14ac:dyDescent="0.3">
      <c r="A3197" s="24" t="s">
        <v>75</v>
      </c>
      <c r="B3197" s="26"/>
    </row>
    <row r="3198" spans="1:8" ht="26.25" thickBot="1" x14ac:dyDescent="0.35">
      <c r="A3198" s="13" t="s">
        <v>76</v>
      </c>
      <c r="B3198" s="2">
        <v>25</v>
      </c>
    </row>
    <row r="3199" spans="1:8" ht="26.25" thickBot="1" x14ac:dyDescent="0.35">
      <c r="A3199" s="13" t="s">
        <v>77</v>
      </c>
      <c r="B3199" s="2">
        <v>575</v>
      </c>
    </row>
    <row r="3200" spans="1:8" ht="39" thickBot="1" x14ac:dyDescent="0.35">
      <c r="A3200" s="13" t="s">
        <v>78</v>
      </c>
      <c r="B3200" s="2">
        <v>5912</v>
      </c>
    </row>
    <row r="3201" spans="1:8" ht="25.5" x14ac:dyDescent="0.3">
      <c r="A3201" s="14" t="s">
        <v>79</v>
      </c>
      <c r="B3201" s="2">
        <v>2752458.46</v>
      </c>
    </row>
    <row r="3202" spans="1:8" ht="17.25" thickBot="1" x14ac:dyDescent="0.35"/>
    <row r="3203" spans="1:8" ht="33" customHeight="1" x14ac:dyDescent="0.3">
      <c r="A3203" s="24" t="s">
        <v>80</v>
      </c>
      <c r="B3203" s="26"/>
    </row>
    <row r="3204" spans="1:8" ht="33.75" thickBot="1" x14ac:dyDescent="0.35">
      <c r="A3204" s="13" t="s">
        <v>81</v>
      </c>
      <c r="B3204" s="2" t="s">
        <v>82</v>
      </c>
    </row>
    <row r="3205" spans="1:8" ht="25.5" x14ac:dyDescent="0.3">
      <c r="A3205" s="14" t="s">
        <v>83</v>
      </c>
      <c r="B3205" s="2" t="s">
        <v>84</v>
      </c>
    </row>
    <row r="3206" spans="1:8" ht="17.25" thickBot="1" x14ac:dyDescent="0.35"/>
    <row r="3207" spans="1:8" ht="16.5" customHeight="1" x14ac:dyDescent="0.3">
      <c r="A3207" s="24" t="s">
        <v>130</v>
      </c>
      <c r="B3207" s="26"/>
      <c r="C3207" s="26"/>
      <c r="D3207" s="26"/>
      <c r="E3207" s="26"/>
      <c r="F3207" s="26"/>
    </row>
    <row r="3208" spans="1:8" x14ac:dyDescent="0.3">
      <c r="A3208" s="25" t="s">
        <v>131</v>
      </c>
      <c r="B3208" s="27" t="s">
        <v>46</v>
      </c>
      <c r="C3208" s="27" t="s">
        <v>132</v>
      </c>
      <c r="D3208" s="3" t="s">
        <v>133</v>
      </c>
      <c r="E3208" s="27" t="s">
        <v>135</v>
      </c>
      <c r="F3208" s="27"/>
    </row>
    <row r="3209" spans="1:8" x14ac:dyDescent="0.3">
      <c r="A3209" s="25"/>
      <c r="B3209" s="27"/>
      <c r="C3209" s="27"/>
      <c r="D3209" s="3" t="s">
        <v>134</v>
      </c>
      <c r="E3209" s="27"/>
      <c r="F3209" s="27"/>
    </row>
    <row r="3210" spans="1:8" ht="17.25" thickBot="1" x14ac:dyDescent="0.35">
      <c r="A3210" s="13" t="s">
        <v>66</v>
      </c>
      <c r="B3210" s="2">
        <v>5912</v>
      </c>
      <c r="C3210" s="2">
        <v>8.6218909999999997</v>
      </c>
      <c r="D3210" s="2">
        <v>1.0788000000000001E-2</v>
      </c>
      <c r="E3210" s="2">
        <v>8.6006993000000005</v>
      </c>
      <c r="F3210" s="2">
        <v>8.6430822999999997</v>
      </c>
      <c r="H3210" s="8" t="str">
        <f t="shared" ref="H3210:H3213" si="133">TEXT(C3210,"0.00")&amp;" ("&amp;TEXT(E3210,"0.00")&amp;" to "&amp;TEXT(F3210,"0.00")&amp;")"</f>
        <v>8.62 (8.60 to 8.64)</v>
      </c>
    </row>
    <row r="3211" spans="1:8" ht="17.25" thickBot="1" x14ac:dyDescent="0.35">
      <c r="A3211" s="13" t="s">
        <v>67</v>
      </c>
      <c r="B3211" s="2">
        <v>5912</v>
      </c>
      <c r="C3211" s="2">
        <v>0.66256800000000005</v>
      </c>
      <c r="D3211" s="2">
        <v>1.304E-3</v>
      </c>
      <c r="E3211" s="2">
        <v>0.66000639999999999</v>
      </c>
      <c r="F3211" s="2">
        <v>0.66512879999999996</v>
      </c>
      <c r="H3211" s="8" t="str">
        <f t="shared" si="133"/>
        <v>0.66 (0.66 to 0.67)</v>
      </c>
    </row>
    <row r="3212" spans="1:8" ht="17.25" thickBot="1" x14ac:dyDescent="0.35">
      <c r="A3212" s="13" t="s">
        <v>68</v>
      </c>
      <c r="B3212" s="2">
        <v>5912</v>
      </c>
      <c r="C3212" s="2">
        <v>0.36296</v>
      </c>
      <c r="D3212" s="2">
        <v>5.1399999999999996E-3</v>
      </c>
      <c r="E3212" s="2">
        <v>0.35286289999999998</v>
      </c>
      <c r="F3212" s="2">
        <v>0.37305700000000003</v>
      </c>
      <c r="H3212" s="8" t="str">
        <f t="shared" si="133"/>
        <v>0.36 (0.35 to 0.37)</v>
      </c>
    </row>
    <row r="3213" spans="1:8" x14ac:dyDescent="0.3">
      <c r="A3213" s="14" t="s">
        <v>69</v>
      </c>
      <c r="B3213" s="2">
        <v>5912</v>
      </c>
      <c r="C3213" s="2">
        <v>35.664194000000002</v>
      </c>
      <c r="D3213" s="2">
        <v>0.11688</v>
      </c>
      <c r="E3213" s="2">
        <v>35.434607300000003</v>
      </c>
      <c r="F3213" s="2">
        <v>35.893780800000002</v>
      </c>
      <c r="H3213" s="8" t="str">
        <f t="shared" si="133"/>
        <v>35.66 (35.43 to 35.89)</v>
      </c>
    </row>
    <row r="3217" spans="1:6" x14ac:dyDescent="0.3">
      <c r="A3217" s="1" t="s">
        <v>129</v>
      </c>
    </row>
    <row r="3219" spans="1:6" x14ac:dyDescent="0.3">
      <c r="A3219" s="1" t="s">
        <v>276</v>
      </c>
    </row>
    <row r="3220" spans="1:6" ht="17.25" thickBot="1" x14ac:dyDescent="0.35"/>
    <row r="3221" spans="1:6" ht="16.5" customHeight="1" x14ac:dyDescent="0.3">
      <c r="A3221" s="24" t="s">
        <v>75</v>
      </c>
      <c r="B3221" s="26"/>
    </row>
    <row r="3222" spans="1:6" ht="26.25" thickBot="1" x14ac:dyDescent="0.35">
      <c r="A3222" s="13" t="s">
        <v>76</v>
      </c>
      <c r="B3222" s="2">
        <v>25</v>
      </c>
    </row>
    <row r="3223" spans="1:6" ht="26.25" thickBot="1" x14ac:dyDescent="0.35">
      <c r="A3223" s="13" t="s">
        <v>77</v>
      </c>
      <c r="B3223" s="2">
        <v>550</v>
      </c>
    </row>
    <row r="3224" spans="1:6" ht="39" thickBot="1" x14ac:dyDescent="0.35">
      <c r="A3224" s="13" t="s">
        <v>78</v>
      </c>
      <c r="B3224" s="2">
        <v>1950</v>
      </c>
    </row>
    <row r="3225" spans="1:6" ht="25.5" x14ac:dyDescent="0.3">
      <c r="A3225" s="14" t="s">
        <v>79</v>
      </c>
      <c r="B3225" s="2">
        <v>839099.48600000003</v>
      </c>
    </row>
    <row r="3226" spans="1:6" ht="17.25" thickBot="1" x14ac:dyDescent="0.35"/>
    <row r="3227" spans="1:6" ht="33" customHeight="1" x14ac:dyDescent="0.3">
      <c r="A3227" s="24" t="s">
        <v>80</v>
      </c>
      <c r="B3227" s="26"/>
    </row>
    <row r="3228" spans="1:6" ht="33.75" thickBot="1" x14ac:dyDescent="0.35">
      <c r="A3228" s="13" t="s">
        <v>81</v>
      </c>
      <c r="B3228" s="2" t="s">
        <v>82</v>
      </c>
    </row>
    <row r="3229" spans="1:6" ht="25.5" x14ac:dyDescent="0.3">
      <c r="A3229" s="14" t="s">
        <v>83</v>
      </c>
      <c r="B3229" s="2" t="s">
        <v>84</v>
      </c>
    </row>
    <row r="3230" spans="1:6" ht="17.25" thickBot="1" x14ac:dyDescent="0.35"/>
    <row r="3231" spans="1:6" ht="16.5" customHeight="1" x14ac:dyDescent="0.3">
      <c r="A3231" s="24" t="s">
        <v>130</v>
      </c>
      <c r="B3231" s="26"/>
      <c r="C3231" s="26"/>
      <c r="D3231" s="26"/>
      <c r="E3231" s="26"/>
      <c r="F3231" s="26"/>
    </row>
    <row r="3232" spans="1:6" x14ac:dyDescent="0.3">
      <c r="A3232" s="25" t="s">
        <v>131</v>
      </c>
      <c r="B3232" s="27" t="s">
        <v>46</v>
      </c>
      <c r="C3232" s="27" t="s">
        <v>132</v>
      </c>
      <c r="D3232" s="3" t="s">
        <v>133</v>
      </c>
      <c r="E3232" s="27" t="s">
        <v>135</v>
      </c>
      <c r="F3232" s="27"/>
    </row>
    <row r="3233" spans="1:8" x14ac:dyDescent="0.3">
      <c r="A3233" s="25"/>
      <c r="B3233" s="27"/>
      <c r="C3233" s="27"/>
      <c r="D3233" s="3" t="s">
        <v>134</v>
      </c>
      <c r="E3233" s="27"/>
      <c r="F3233" s="27"/>
    </row>
    <row r="3234" spans="1:8" ht="17.25" thickBot="1" x14ac:dyDescent="0.35">
      <c r="A3234" s="13" t="s">
        <v>66</v>
      </c>
      <c r="B3234" s="2">
        <v>1950</v>
      </c>
      <c r="C3234" s="2">
        <v>8.7030399999999997</v>
      </c>
      <c r="D3234" s="2">
        <v>2.095E-2</v>
      </c>
      <c r="E3234" s="2">
        <v>8.6618829999999996</v>
      </c>
      <c r="F3234" s="2">
        <v>8.7441964999999993</v>
      </c>
      <c r="H3234" s="8" t="str">
        <f t="shared" ref="H3234:H3237" si="134">TEXT(C3234,"0.00")&amp;" ("&amp;TEXT(E3234,"0.00")&amp;" to "&amp;TEXT(F3234,"0.00")&amp;")"</f>
        <v>8.70 (8.66 to 8.74)</v>
      </c>
    </row>
    <row r="3235" spans="1:8" ht="17.25" thickBot="1" x14ac:dyDescent="0.35">
      <c r="A3235" s="13" t="s">
        <v>67</v>
      </c>
      <c r="B3235" s="2">
        <v>1950</v>
      </c>
      <c r="C3235" s="2">
        <v>0.67880499999999999</v>
      </c>
      <c r="D3235" s="2">
        <v>2.245E-3</v>
      </c>
      <c r="E3235" s="2">
        <v>0.67439479999999996</v>
      </c>
      <c r="F3235" s="2">
        <v>0.68321460000000001</v>
      </c>
      <c r="H3235" s="8" t="str">
        <f t="shared" si="134"/>
        <v>0.68 (0.67 to 0.68)</v>
      </c>
    </row>
    <row r="3236" spans="1:8" ht="17.25" thickBot="1" x14ac:dyDescent="0.35">
      <c r="A3236" s="13" t="s">
        <v>68</v>
      </c>
      <c r="B3236" s="2">
        <v>1950</v>
      </c>
      <c r="C3236" s="2">
        <v>0.394264</v>
      </c>
      <c r="D3236" s="2">
        <v>9.5099999999999994E-3</v>
      </c>
      <c r="E3236" s="2">
        <v>0.37558219999999998</v>
      </c>
      <c r="F3236" s="2">
        <v>0.41294599999999998</v>
      </c>
      <c r="H3236" s="8" t="str">
        <f t="shared" si="134"/>
        <v>0.39 (0.38 to 0.41)</v>
      </c>
    </row>
    <row r="3237" spans="1:8" x14ac:dyDescent="0.3">
      <c r="A3237" s="14" t="s">
        <v>69</v>
      </c>
      <c r="B3237" s="2">
        <v>1950</v>
      </c>
      <c r="C3237" s="2">
        <v>36.530493999999997</v>
      </c>
      <c r="D3237" s="2">
        <v>0.24052399999999999</v>
      </c>
      <c r="E3237" s="2">
        <v>36.057986700000001</v>
      </c>
      <c r="F3237" s="2">
        <v>37.003001099999999</v>
      </c>
      <c r="H3237" s="8" t="str">
        <f t="shared" si="134"/>
        <v>36.53 (36.06 to 37.00)</v>
      </c>
    </row>
    <row r="3241" spans="1:8" x14ac:dyDescent="0.3">
      <c r="A3241" s="1" t="s">
        <v>129</v>
      </c>
    </row>
    <row r="3243" spans="1:8" x14ac:dyDescent="0.3">
      <c r="A3243" s="1" t="s">
        <v>277</v>
      </c>
    </row>
    <row r="3244" spans="1:8" ht="17.25" thickBot="1" x14ac:dyDescent="0.35"/>
    <row r="3245" spans="1:8" ht="16.5" customHeight="1" x14ac:dyDescent="0.3">
      <c r="A3245" s="24" t="s">
        <v>75</v>
      </c>
      <c r="B3245" s="26"/>
    </row>
    <row r="3246" spans="1:8" ht="26.25" thickBot="1" x14ac:dyDescent="0.35">
      <c r="A3246" s="13" t="s">
        <v>76</v>
      </c>
      <c r="B3246" s="2">
        <v>54</v>
      </c>
    </row>
    <row r="3247" spans="1:8" ht="26.25" thickBot="1" x14ac:dyDescent="0.35">
      <c r="A3247" s="13" t="s">
        <v>77</v>
      </c>
      <c r="B3247" s="2">
        <v>571</v>
      </c>
    </row>
    <row r="3248" spans="1:8" ht="39" thickBot="1" x14ac:dyDescent="0.35">
      <c r="A3248" s="13" t="s">
        <v>78</v>
      </c>
      <c r="B3248" s="2">
        <v>4138</v>
      </c>
    </row>
    <row r="3249" spans="1:8" ht="25.5" x14ac:dyDescent="0.3">
      <c r="A3249" s="14" t="s">
        <v>79</v>
      </c>
      <c r="B3249" s="2">
        <v>1939553.18</v>
      </c>
    </row>
    <row r="3250" spans="1:8" ht="17.25" thickBot="1" x14ac:dyDescent="0.35"/>
    <row r="3251" spans="1:8" ht="33" customHeight="1" x14ac:dyDescent="0.3">
      <c r="A3251" s="24" t="s">
        <v>80</v>
      </c>
      <c r="B3251" s="26"/>
    </row>
    <row r="3252" spans="1:8" ht="33.75" thickBot="1" x14ac:dyDescent="0.35">
      <c r="A3252" s="13" t="s">
        <v>81</v>
      </c>
      <c r="B3252" s="2" t="s">
        <v>82</v>
      </c>
    </row>
    <row r="3253" spans="1:8" ht="25.5" x14ac:dyDescent="0.3">
      <c r="A3253" s="14" t="s">
        <v>83</v>
      </c>
      <c r="B3253" s="2" t="s">
        <v>84</v>
      </c>
    </row>
    <row r="3254" spans="1:8" ht="17.25" thickBot="1" x14ac:dyDescent="0.35"/>
    <row r="3255" spans="1:8" ht="16.5" customHeight="1" x14ac:dyDescent="0.3">
      <c r="A3255" s="24" t="s">
        <v>130</v>
      </c>
      <c r="B3255" s="26"/>
      <c r="C3255" s="26"/>
      <c r="D3255" s="26"/>
      <c r="E3255" s="26"/>
      <c r="F3255" s="26"/>
    </row>
    <row r="3256" spans="1:8" x14ac:dyDescent="0.3">
      <c r="A3256" s="25" t="s">
        <v>131</v>
      </c>
      <c r="B3256" s="27" t="s">
        <v>46</v>
      </c>
      <c r="C3256" s="27" t="s">
        <v>132</v>
      </c>
      <c r="D3256" s="3" t="s">
        <v>133</v>
      </c>
      <c r="E3256" s="27" t="s">
        <v>135</v>
      </c>
      <c r="F3256" s="27"/>
    </row>
    <row r="3257" spans="1:8" x14ac:dyDescent="0.3">
      <c r="A3257" s="25"/>
      <c r="B3257" s="27"/>
      <c r="C3257" s="27"/>
      <c r="D3257" s="3" t="s">
        <v>134</v>
      </c>
      <c r="E3257" s="27"/>
      <c r="F3257" s="27"/>
    </row>
    <row r="3258" spans="1:8" ht="17.25" thickBot="1" x14ac:dyDescent="0.35">
      <c r="A3258" s="13" t="s">
        <v>66</v>
      </c>
      <c r="B3258" s="2">
        <v>4138</v>
      </c>
      <c r="C3258" s="2">
        <v>8.4958100000000005</v>
      </c>
      <c r="D3258" s="2">
        <v>1.2116999999999999E-2</v>
      </c>
      <c r="E3258" s="2">
        <v>8.4720060999999998</v>
      </c>
      <c r="F3258" s="2">
        <v>8.5196149000000005</v>
      </c>
      <c r="H3258" s="8" t="str">
        <f t="shared" ref="H3258:H3261" si="135">TEXT(C3258,"0.00")&amp;" ("&amp;TEXT(E3258,"0.00")&amp;" to "&amp;TEXT(F3258,"0.00")&amp;")"</f>
        <v>8.50 (8.47 to 8.52)</v>
      </c>
    </row>
    <row r="3259" spans="1:8" ht="17.25" thickBot="1" x14ac:dyDescent="0.35">
      <c r="A3259" s="13" t="s">
        <v>67</v>
      </c>
      <c r="B3259" s="2">
        <v>4138</v>
      </c>
      <c r="C3259" s="2">
        <v>0.64867799999999998</v>
      </c>
      <c r="D3259" s="2">
        <v>1.3680000000000001E-3</v>
      </c>
      <c r="E3259" s="2">
        <v>0.64599070000000003</v>
      </c>
      <c r="F3259" s="2">
        <v>0.65136479999999997</v>
      </c>
      <c r="H3259" s="8" t="str">
        <f t="shared" si="135"/>
        <v>0.65 (0.65 to 0.65)</v>
      </c>
    </row>
    <row r="3260" spans="1:8" ht="17.25" thickBot="1" x14ac:dyDescent="0.35">
      <c r="A3260" s="13" t="s">
        <v>68</v>
      </c>
      <c r="B3260" s="2">
        <v>4138</v>
      </c>
      <c r="C3260" s="2">
        <v>0.30548999999999998</v>
      </c>
      <c r="D3260" s="2">
        <v>6.1590000000000004E-3</v>
      </c>
      <c r="E3260" s="2">
        <v>0.29338999999999998</v>
      </c>
      <c r="F3260" s="2">
        <v>0.3175905</v>
      </c>
      <c r="H3260" s="8" t="str">
        <f t="shared" si="135"/>
        <v>0.31 (0.29 to 0.32)</v>
      </c>
    </row>
    <row r="3261" spans="1:8" x14ac:dyDescent="0.3">
      <c r="A3261" s="14" t="s">
        <v>69</v>
      </c>
      <c r="B3261" s="2">
        <v>4138</v>
      </c>
      <c r="C3261" s="2">
        <v>34.653418000000002</v>
      </c>
      <c r="D3261" s="2">
        <v>0.131799</v>
      </c>
      <c r="E3261" s="2">
        <v>34.394490500000003</v>
      </c>
      <c r="F3261" s="2">
        <v>34.912345100000003</v>
      </c>
      <c r="H3261" s="8" t="str">
        <f t="shared" si="135"/>
        <v>34.65 (34.39 to 34.91)</v>
      </c>
    </row>
    <row r="3265" spans="1:6" x14ac:dyDescent="0.3">
      <c r="A3265" s="1" t="s">
        <v>129</v>
      </c>
    </row>
    <row r="3267" spans="1:6" x14ac:dyDescent="0.3">
      <c r="A3267" s="1" t="s">
        <v>278</v>
      </c>
    </row>
    <row r="3268" spans="1:6" ht="17.25" thickBot="1" x14ac:dyDescent="0.35"/>
    <row r="3269" spans="1:6" ht="16.5" customHeight="1" x14ac:dyDescent="0.3">
      <c r="A3269" s="24" t="s">
        <v>75</v>
      </c>
      <c r="B3269" s="26"/>
    </row>
    <row r="3270" spans="1:6" ht="26.25" thickBot="1" x14ac:dyDescent="0.35">
      <c r="A3270" s="13" t="s">
        <v>76</v>
      </c>
      <c r="B3270" s="2">
        <v>54</v>
      </c>
    </row>
    <row r="3271" spans="1:6" ht="26.25" thickBot="1" x14ac:dyDescent="0.35">
      <c r="A3271" s="13" t="s">
        <v>77</v>
      </c>
      <c r="B3271" s="2">
        <v>576</v>
      </c>
    </row>
    <row r="3272" spans="1:6" ht="39" thickBot="1" x14ac:dyDescent="0.35">
      <c r="A3272" s="13" t="s">
        <v>78</v>
      </c>
      <c r="B3272" s="2">
        <v>7449</v>
      </c>
    </row>
    <row r="3273" spans="1:6" ht="25.5" x14ac:dyDescent="0.3">
      <c r="A3273" s="14" t="s">
        <v>79</v>
      </c>
      <c r="B3273" s="2">
        <v>3335261.28</v>
      </c>
    </row>
    <row r="3274" spans="1:6" ht="17.25" thickBot="1" x14ac:dyDescent="0.35"/>
    <row r="3275" spans="1:6" ht="33" customHeight="1" x14ac:dyDescent="0.3">
      <c r="A3275" s="24" t="s">
        <v>80</v>
      </c>
      <c r="B3275" s="26"/>
    </row>
    <row r="3276" spans="1:6" ht="33.75" thickBot="1" x14ac:dyDescent="0.35">
      <c r="A3276" s="13" t="s">
        <v>81</v>
      </c>
      <c r="B3276" s="2" t="s">
        <v>82</v>
      </c>
    </row>
    <row r="3277" spans="1:6" ht="25.5" x14ac:dyDescent="0.3">
      <c r="A3277" s="14" t="s">
        <v>83</v>
      </c>
      <c r="B3277" s="2" t="s">
        <v>84</v>
      </c>
    </row>
    <row r="3278" spans="1:6" ht="17.25" thickBot="1" x14ac:dyDescent="0.35"/>
    <row r="3279" spans="1:6" ht="16.5" customHeight="1" x14ac:dyDescent="0.3">
      <c r="A3279" s="24" t="s">
        <v>130</v>
      </c>
      <c r="B3279" s="26"/>
      <c r="C3279" s="26"/>
      <c r="D3279" s="26"/>
      <c r="E3279" s="26"/>
      <c r="F3279" s="26"/>
    </row>
    <row r="3280" spans="1:6" x14ac:dyDescent="0.3">
      <c r="A3280" s="25" t="s">
        <v>131</v>
      </c>
      <c r="B3280" s="27" t="s">
        <v>46</v>
      </c>
      <c r="C3280" s="27" t="s">
        <v>132</v>
      </c>
      <c r="D3280" s="3" t="s">
        <v>133</v>
      </c>
      <c r="E3280" s="27" t="s">
        <v>135</v>
      </c>
      <c r="F3280" s="27"/>
    </row>
    <row r="3281" spans="1:8" x14ac:dyDescent="0.3">
      <c r="A3281" s="25"/>
      <c r="B3281" s="27"/>
      <c r="C3281" s="27"/>
      <c r="D3281" s="3" t="s">
        <v>134</v>
      </c>
      <c r="E3281" s="27"/>
      <c r="F3281" s="27"/>
    </row>
    <row r="3282" spans="1:8" ht="17.25" thickBot="1" x14ac:dyDescent="0.35">
      <c r="A3282" s="13" t="s">
        <v>66</v>
      </c>
      <c r="B3282" s="2">
        <v>7449</v>
      </c>
      <c r="C3282" s="2">
        <v>8.6431500000000003</v>
      </c>
      <c r="D3282" s="2">
        <v>9.5989999999999999E-3</v>
      </c>
      <c r="E3282" s="2">
        <v>8.6242923000000005</v>
      </c>
      <c r="F3282" s="2">
        <v>8.6620068999999997</v>
      </c>
      <c r="H3282" s="8" t="str">
        <f t="shared" ref="H3282:H3285" si="136">TEXT(C3282,"0.00")&amp;" ("&amp;TEXT(E3282,"0.00")&amp;" to "&amp;TEXT(F3282,"0.00")&amp;")"</f>
        <v>8.64 (8.62 to 8.66)</v>
      </c>
    </row>
    <row r="3283" spans="1:8" ht="17.25" thickBot="1" x14ac:dyDescent="0.35">
      <c r="A3283" s="13" t="s">
        <v>67</v>
      </c>
      <c r="B3283" s="2">
        <v>7449</v>
      </c>
      <c r="C3283" s="2">
        <v>0.66795899999999997</v>
      </c>
      <c r="D3283" s="2">
        <v>1.139E-3</v>
      </c>
      <c r="E3283" s="2">
        <v>0.66572160000000002</v>
      </c>
      <c r="F3283" s="2">
        <v>0.67019569999999995</v>
      </c>
      <c r="H3283" s="8" t="str">
        <f t="shared" si="136"/>
        <v>0.67 (0.67 to 0.67)</v>
      </c>
    </row>
    <row r="3284" spans="1:8" ht="17.25" thickBot="1" x14ac:dyDescent="0.35">
      <c r="A3284" s="13" t="s">
        <v>68</v>
      </c>
      <c r="B3284" s="2">
        <v>7449</v>
      </c>
      <c r="C3284" s="2">
        <v>0.36691099999999999</v>
      </c>
      <c r="D3284" s="2">
        <v>4.7749999999999997E-3</v>
      </c>
      <c r="E3284" s="2">
        <v>0.35753079999999998</v>
      </c>
      <c r="F3284" s="2">
        <v>0.37629020000000002</v>
      </c>
      <c r="H3284" s="8" t="str">
        <f t="shared" si="136"/>
        <v>0.37 (0.36 to 0.38)</v>
      </c>
    </row>
    <row r="3285" spans="1:8" x14ac:dyDescent="0.3">
      <c r="A3285" s="14" t="s">
        <v>69</v>
      </c>
      <c r="B3285" s="2">
        <v>7449</v>
      </c>
      <c r="C3285" s="2">
        <v>35.866349</v>
      </c>
      <c r="D3285" s="2">
        <v>0.112182</v>
      </c>
      <c r="E3285" s="2">
        <v>35.645965599999997</v>
      </c>
      <c r="F3285" s="2">
        <v>36.086731499999999</v>
      </c>
      <c r="H3285" s="8" t="str">
        <f t="shared" si="136"/>
        <v>35.87 (35.65 to 36.09)</v>
      </c>
    </row>
    <row r="3289" spans="1:8" x14ac:dyDescent="0.3">
      <c r="A3289" s="1" t="s">
        <v>129</v>
      </c>
    </row>
    <row r="3291" spans="1:8" x14ac:dyDescent="0.3">
      <c r="A3291" s="1" t="s">
        <v>279</v>
      </c>
    </row>
    <row r="3292" spans="1:8" ht="17.25" thickBot="1" x14ac:dyDescent="0.35"/>
    <row r="3293" spans="1:8" ht="16.5" customHeight="1" x14ac:dyDescent="0.3">
      <c r="A3293" s="24" t="s">
        <v>75</v>
      </c>
      <c r="B3293" s="26"/>
    </row>
    <row r="3294" spans="1:8" ht="26.25" thickBot="1" x14ac:dyDescent="0.35">
      <c r="A3294" s="13" t="s">
        <v>76</v>
      </c>
      <c r="B3294" s="2">
        <v>54</v>
      </c>
    </row>
    <row r="3295" spans="1:8" ht="26.25" thickBot="1" x14ac:dyDescent="0.35">
      <c r="A3295" s="13" t="s">
        <v>77</v>
      </c>
      <c r="B3295" s="2">
        <v>569</v>
      </c>
    </row>
    <row r="3296" spans="1:8" ht="39" thickBot="1" x14ac:dyDescent="0.35">
      <c r="A3296" s="13" t="s">
        <v>78</v>
      </c>
      <c r="B3296" s="2">
        <v>2571</v>
      </c>
    </row>
    <row r="3297" spans="1:8" ht="25.5" x14ac:dyDescent="0.3">
      <c r="A3297" s="14" t="s">
        <v>79</v>
      </c>
      <c r="B3297" s="2">
        <v>1046146.05</v>
      </c>
    </row>
    <row r="3298" spans="1:8" ht="17.25" thickBot="1" x14ac:dyDescent="0.35"/>
    <row r="3299" spans="1:8" ht="33" customHeight="1" x14ac:dyDescent="0.3">
      <c r="A3299" s="24" t="s">
        <v>80</v>
      </c>
      <c r="B3299" s="26"/>
    </row>
    <row r="3300" spans="1:8" ht="33.75" thickBot="1" x14ac:dyDescent="0.35">
      <c r="A3300" s="13" t="s">
        <v>81</v>
      </c>
      <c r="B3300" s="2" t="s">
        <v>82</v>
      </c>
    </row>
    <row r="3301" spans="1:8" ht="25.5" x14ac:dyDescent="0.3">
      <c r="A3301" s="14" t="s">
        <v>83</v>
      </c>
      <c r="B3301" s="2" t="s">
        <v>84</v>
      </c>
    </row>
    <row r="3302" spans="1:8" ht="17.25" thickBot="1" x14ac:dyDescent="0.35"/>
    <row r="3303" spans="1:8" ht="16.5" customHeight="1" x14ac:dyDescent="0.3">
      <c r="A3303" s="24" t="s">
        <v>130</v>
      </c>
      <c r="B3303" s="26"/>
      <c r="C3303" s="26"/>
      <c r="D3303" s="26"/>
      <c r="E3303" s="26"/>
      <c r="F3303" s="26"/>
    </row>
    <row r="3304" spans="1:8" x14ac:dyDescent="0.3">
      <c r="A3304" s="25" t="s">
        <v>131</v>
      </c>
      <c r="B3304" s="27" t="s">
        <v>46</v>
      </c>
      <c r="C3304" s="27" t="s">
        <v>132</v>
      </c>
      <c r="D3304" s="3" t="s">
        <v>133</v>
      </c>
      <c r="E3304" s="27" t="s">
        <v>135</v>
      </c>
      <c r="F3304" s="27"/>
    </row>
    <row r="3305" spans="1:8" x14ac:dyDescent="0.3">
      <c r="A3305" s="25"/>
      <c r="B3305" s="27"/>
      <c r="C3305" s="27"/>
      <c r="D3305" s="3" t="s">
        <v>134</v>
      </c>
      <c r="E3305" s="27"/>
      <c r="F3305" s="27"/>
    </row>
    <row r="3306" spans="1:8" ht="17.25" thickBot="1" x14ac:dyDescent="0.35">
      <c r="A3306" s="13" t="s">
        <v>66</v>
      </c>
      <c r="B3306" s="2">
        <v>2571</v>
      </c>
      <c r="C3306" s="2">
        <v>8.7141760000000001</v>
      </c>
      <c r="D3306" s="2">
        <v>1.7239000000000001E-2</v>
      </c>
      <c r="E3306" s="2">
        <v>8.6803089999999994</v>
      </c>
      <c r="F3306" s="2">
        <v>8.7480434999999996</v>
      </c>
      <c r="H3306" s="8" t="str">
        <f t="shared" ref="H3306:H3309" si="137">TEXT(C3306,"0.00")&amp;" ("&amp;TEXT(E3306,"0.00")&amp;" to "&amp;TEXT(F3306,"0.00")&amp;")"</f>
        <v>8.71 (8.68 to 8.75)</v>
      </c>
    </row>
    <row r="3307" spans="1:8" ht="17.25" thickBot="1" x14ac:dyDescent="0.35">
      <c r="A3307" s="13" t="s">
        <v>67</v>
      </c>
      <c r="B3307" s="2">
        <v>2571</v>
      </c>
      <c r="C3307" s="2">
        <v>0.68308199999999997</v>
      </c>
      <c r="D3307" s="2">
        <v>2.0460000000000001E-3</v>
      </c>
      <c r="E3307" s="2">
        <v>0.67906200000000005</v>
      </c>
      <c r="F3307" s="2">
        <v>0.68710269999999996</v>
      </c>
      <c r="H3307" s="8" t="str">
        <f t="shared" si="137"/>
        <v>0.68 (0.68 to 0.69)</v>
      </c>
    </row>
    <row r="3308" spans="1:8" ht="17.25" thickBot="1" x14ac:dyDescent="0.35">
      <c r="A3308" s="13" t="s">
        <v>68</v>
      </c>
      <c r="B3308" s="2">
        <v>2571</v>
      </c>
      <c r="C3308" s="2">
        <v>0.396569</v>
      </c>
      <c r="D3308" s="2">
        <v>7.6499999999999997E-3</v>
      </c>
      <c r="E3308" s="2">
        <v>0.38154009999999999</v>
      </c>
      <c r="F3308" s="2">
        <v>0.41159889999999999</v>
      </c>
      <c r="H3308" s="8" t="str">
        <f t="shared" si="137"/>
        <v>0.40 (0.38 to 0.41)</v>
      </c>
    </row>
    <row r="3309" spans="1:8" x14ac:dyDescent="0.3">
      <c r="A3309" s="14" t="s">
        <v>69</v>
      </c>
      <c r="B3309" s="2">
        <v>2571</v>
      </c>
      <c r="C3309" s="2">
        <v>37.352702999999998</v>
      </c>
      <c r="D3309" s="2">
        <v>0.20391599999999999</v>
      </c>
      <c r="E3309" s="2">
        <v>36.9520932</v>
      </c>
      <c r="F3309" s="2">
        <v>37.753313800000001</v>
      </c>
      <c r="H3309" s="8" t="str">
        <f t="shared" si="137"/>
        <v>37.35 (36.95 to 37.75)</v>
      </c>
    </row>
    <row r="3313" spans="1:6" x14ac:dyDescent="0.3">
      <c r="A3313" s="1" t="s">
        <v>129</v>
      </c>
    </row>
    <row r="3315" spans="1:6" x14ac:dyDescent="0.3">
      <c r="A3315" s="1" t="s">
        <v>280</v>
      </c>
    </row>
    <row r="3316" spans="1:6" ht="17.25" thickBot="1" x14ac:dyDescent="0.35"/>
    <row r="3317" spans="1:6" ht="16.5" customHeight="1" x14ac:dyDescent="0.3">
      <c r="A3317" s="24" t="s">
        <v>75</v>
      </c>
      <c r="B3317" s="26"/>
    </row>
    <row r="3318" spans="1:6" ht="26.25" thickBot="1" x14ac:dyDescent="0.35">
      <c r="A3318" s="13" t="s">
        <v>76</v>
      </c>
      <c r="B3318" s="2">
        <v>27</v>
      </c>
    </row>
    <row r="3319" spans="1:6" ht="26.25" thickBot="1" x14ac:dyDescent="0.35">
      <c r="A3319" s="13" t="s">
        <v>77</v>
      </c>
      <c r="B3319" s="2">
        <v>561</v>
      </c>
    </row>
    <row r="3320" spans="1:6" ht="39" thickBot="1" x14ac:dyDescent="0.35">
      <c r="A3320" s="13" t="s">
        <v>78</v>
      </c>
      <c r="B3320" s="2">
        <v>4399</v>
      </c>
    </row>
    <row r="3321" spans="1:6" ht="25.5" x14ac:dyDescent="0.3">
      <c r="A3321" s="14" t="s">
        <v>79</v>
      </c>
      <c r="B3321" s="2">
        <v>2220651.2599999998</v>
      </c>
    </row>
    <row r="3322" spans="1:6" ht="17.25" thickBot="1" x14ac:dyDescent="0.35"/>
    <row r="3323" spans="1:6" ht="33" customHeight="1" x14ac:dyDescent="0.3">
      <c r="A3323" s="24" t="s">
        <v>80</v>
      </c>
      <c r="B3323" s="26"/>
    </row>
    <row r="3324" spans="1:6" ht="33.75" thickBot="1" x14ac:dyDescent="0.35">
      <c r="A3324" s="13" t="s">
        <v>81</v>
      </c>
      <c r="B3324" s="2" t="s">
        <v>82</v>
      </c>
    </row>
    <row r="3325" spans="1:6" ht="25.5" x14ac:dyDescent="0.3">
      <c r="A3325" s="14" t="s">
        <v>83</v>
      </c>
      <c r="B3325" s="2" t="s">
        <v>84</v>
      </c>
    </row>
    <row r="3326" spans="1:6" ht="17.25" thickBot="1" x14ac:dyDescent="0.35"/>
    <row r="3327" spans="1:6" ht="16.5" customHeight="1" x14ac:dyDescent="0.3">
      <c r="A3327" s="24" t="s">
        <v>130</v>
      </c>
      <c r="B3327" s="26"/>
      <c r="C3327" s="26"/>
      <c r="D3327" s="26"/>
      <c r="E3327" s="26"/>
      <c r="F3327" s="26"/>
    </row>
    <row r="3328" spans="1:6" x14ac:dyDescent="0.3">
      <c r="A3328" s="25" t="s">
        <v>131</v>
      </c>
      <c r="B3328" s="27" t="s">
        <v>46</v>
      </c>
      <c r="C3328" s="27" t="s">
        <v>132</v>
      </c>
      <c r="D3328" s="3" t="s">
        <v>133</v>
      </c>
      <c r="E3328" s="27" t="s">
        <v>135</v>
      </c>
      <c r="F3328" s="27"/>
    </row>
    <row r="3329" spans="1:8" x14ac:dyDescent="0.3">
      <c r="A3329" s="25"/>
      <c r="B3329" s="27"/>
      <c r="C3329" s="27"/>
      <c r="D3329" s="3" t="s">
        <v>134</v>
      </c>
      <c r="E3329" s="27"/>
      <c r="F3329" s="27"/>
    </row>
    <row r="3330" spans="1:8" ht="17.25" thickBot="1" x14ac:dyDescent="0.35">
      <c r="A3330" s="13" t="s">
        <v>66</v>
      </c>
      <c r="B3330" s="2">
        <v>4399</v>
      </c>
      <c r="C3330" s="2">
        <v>8.4882779999999993</v>
      </c>
      <c r="D3330" s="2">
        <v>1.1885E-2</v>
      </c>
      <c r="E3330" s="2">
        <v>8.4649303000000007</v>
      </c>
      <c r="F3330" s="2">
        <v>8.5116256000000003</v>
      </c>
      <c r="H3330" s="8" t="str">
        <f t="shared" ref="H3330:H3333" si="138">TEXT(C3330,"0.00")&amp;" ("&amp;TEXT(E3330,"0.00")&amp;" to "&amp;TEXT(F3330,"0.00")&amp;")"</f>
        <v>8.49 (8.46 to 8.51)</v>
      </c>
    </row>
    <row r="3331" spans="1:8" ht="17.25" thickBot="1" x14ac:dyDescent="0.35">
      <c r="A3331" s="13" t="s">
        <v>67</v>
      </c>
      <c r="B3331" s="2">
        <v>4399</v>
      </c>
      <c r="C3331" s="2">
        <v>0.65681500000000004</v>
      </c>
      <c r="D3331" s="2">
        <v>1.3270000000000001E-3</v>
      </c>
      <c r="E3331" s="2">
        <v>0.65420800000000001</v>
      </c>
      <c r="F3331" s="2">
        <v>0.65942129999999999</v>
      </c>
      <c r="H3331" s="8" t="str">
        <f t="shared" si="138"/>
        <v>0.66 (0.65 to 0.66)</v>
      </c>
    </row>
    <row r="3332" spans="1:8" ht="17.25" thickBot="1" x14ac:dyDescent="0.35">
      <c r="A3332" s="13" t="s">
        <v>68</v>
      </c>
      <c r="B3332" s="2">
        <v>4399</v>
      </c>
      <c r="C3332" s="2">
        <v>0.28943000000000002</v>
      </c>
      <c r="D3332" s="2">
        <v>5.9959999999999996E-3</v>
      </c>
      <c r="E3332" s="2">
        <v>0.27765260000000003</v>
      </c>
      <c r="F3332" s="2">
        <v>0.30120809999999998</v>
      </c>
      <c r="H3332" s="8" t="str">
        <f t="shared" si="138"/>
        <v>0.29 (0.28 to 0.30)</v>
      </c>
    </row>
    <row r="3333" spans="1:8" x14ac:dyDescent="0.3">
      <c r="A3333" s="14" t="s">
        <v>69</v>
      </c>
      <c r="B3333" s="2">
        <v>4399</v>
      </c>
      <c r="C3333" s="2">
        <v>34.860107999999997</v>
      </c>
      <c r="D3333" s="2">
        <v>0.140102</v>
      </c>
      <c r="E3333" s="2">
        <v>34.584889199999999</v>
      </c>
      <c r="F3333" s="2">
        <v>35.1353267</v>
      </c>
      <c r="H3333" s="8" t="str">
        <f t="shared" si="138"/>
        <v>34.86 (34.58 to 35.14)</v>
      </c>
    </row>
    <row r="3337" spans="1:8" x14ac:dyDescent="0.3">
      <c r="A3337" s="1" t="s">
        <v>129</v>
      </c>
    </row>
    <row r="3339" spans="1:8" x14ac:dyDescent="0.3">
      <c r="A3339" s="1" t="s">
        <v>281</v>
      </c>
    </row>
    <row r="3340" spans="1:8" ht="17.25" thickBot="1" x14ac:dyDescent="0.35"/>
    <row r="3341" spans="1:8" ht="16.5" customHeight="1" x14ac:dyDescent="0.3">
      <c r="A3341" s="24" t="s">
        <v>75</v>
      </c>
      <c r="B3341" s="26"/>
    </row>
    <row r="3342" spans="1:8" ht="26.25" thickBot="1" x14ac:dyDescent="0.35">
      <c r="A3342" s="13" t="s">
        <v>76</v>
      </c>
      <c r="B3342" s="2">
        <v>27</v>
      </c>
    </row>
    <row r="3343" spans="1:8" ht="26.25" thickBot="1" x14ac:dyDescent="0.35">
      <c r="A3343" s="13" t="s">
        <v>77</v>
      </c>
      <c r="B3343" s="2">
        <v>564</v>
      </c>
    </row>
    <row r="3344" spans="1:8" ht="39" thickBot="1" x14ac:dyDescent="0.35">
      <c r="A3344" s="13" t="s">
        <v>78</v>
      </c>
      <c r="B3344" s="2">
        <v>6843</v>
      </c>
    </row>
    <row r="3345" spans="1:8" ht="25.5" x14ac:dyDescent="0.3">
      <c r="A3345" s="14" t="s">
        <v>79</v>
      </c>
      <c r="B3345" s="2">
        <v>3306119.8</v>
      </c>
    </row>
    <row r="3346" spans="1:8" ht="17.25" thickBot="1" x14ac:dyDescent="0.35"/>
    <row r="3347" spans="1:8" ht="33" customHeight="1" x14ac:dyDescent="0.3">
      <c r="A3347" s="24" t="s">
        <v>80</v>
      </c>
      <c r="B3347" s="26"/>
    </row>
    <row r="3348" spans="1:8" ht="33.75" thickBot="1" x14ac:dyDescent="0.35">
      <c r="A3348" s="13" t="s">
        <v>81</v>
      </c>
      <c r="B3348" s="2" t="s">
        <v>82</v>
      </c>
    </row>
    <row r="3349" spans="1:8" ht="25.5" x14ac:dyDescent="0.3">
      <c r="A3349" s="14" t="s">
        <v>83</v>
      </c>
      <c r="B3349" s="2" t="s">
        <v>84</v>
      </c>
    </row>
    <row r="3350" spans="1:8" ht="17.25" thickBot="1" x14ac:dyDescent="0.35"/>
    <row r="3351" spans="1:8" ht="16.5" customHeight="1" x14ac:dyDescent="0.3">
      <c r="A3351" s="24" t="s">
        <v>130</v>
      </c>
      <c r="B3351" s="26"/>
      <c r="C3351" s="26"/>
      <c r="D3351" s="26"/>
      <c r="E3351" s="26"/>
      <c r="F3351" s="26"/>
    </row>
    <row r="3352" spans="1:8" x14ac:dyDescent="0.3">
      <c r="A3352" s="25" t="s">
        <v>131</v>
      </c>
      <c r="B3352" s="27" t="s">
        <v>46</v>
      </c>
      <c r="C3352" s="27" t="s">
        <v>132</v>
      </c>
      <c r="D3352" s="3" t="s">
        <v>133</v>
      </c>
      <c r="E3352" s="27" t="s">
        <v>135</v>
      </c>
      <c r="F3352" s="27"/>
    </row>
    <row r="3353" spans="1:8" x14ac:dyDescent="0.3">
      <c r="A3353" s="25"/>
      <c r="B3353" s="27"/>
      <c r="C3353" s="27"/>
      <c r="D3353" s="3" t="s">
        <v>134</v>
      </c>
      <c r="E3353" s="27"/>
      <c r="F3353" s="27"/>
    </row>
    <row r="3354" spans="1:8" ht="17.25" thickBot="1" x14ac:dyDescent="0.35">
      <c r="A3354" s="13" t="s">
        <v>66</v>
      </c>
      <c r="B3354" s="2">
        <v>6843</v>
      </c>
      <c r="C3354" s="2">
        <v>8.6123949999999994</v>
      </c>
      <c r="D3354" s="2">
        <v>9.7649999999999994E-3</v>
      </c>
      <c r="E3354" s="2">
        <v>8.5932118000000006</v>
      </c>
      <c r="F3354" s="2">
        <v>8.6315776999999994</v>
      </c>
      <c r="H3354" s="8" t="str">
        <f t="shared" ref="H3354:H3357" si="139">TEXT(C3354,"0.00")&amp;" ("&amp;TEXT(E3354,"0.00")&amp;" to "&amp;TEXT(F3354,"0.00")&amp;")"</f>
        <v>8.61 (8.59 to 8.63)</v>
      </c>
    </row>
    <row r="3355" spans="1:8" ht="17.25" thickBot="1" x14ac:dyDescent="0.35">
      <c r="A3355" s="13" t="s">
        <v>67</v>
      </c>
      <c r="B3355" s="2">
        <v>6843</v>
      </c>
      <c r="C3355" s="2">
        <v>0.67650100000000002</v>
      </c>
      <c r="D3355" s="2">
        <v>1.199E-3</v>
      </c>
      <c r="E3355" s="2">
        <v>0.67414649999999998</v>
      </c>
      <c r="F3355" s="2">
        <v>0.67885649999999997</v>
      </c>
      <c r="H3355" s="8" t="str">
        <f t="shared" si="139"/>
        <v>0.68 (0.67 to 0.68)</v>
      </c>
    </row>
    <row r="3356" spans="1:8" ht="17.25" thickBot="1" x14ac:dyDescent="0.35">
      <c r="A3356" s="13" t="s">
        <v>68</v>
      </c>
      <c r="B3356" s="2">
        <v>6843</v>
      </c>
      <c r="C3356" s="2">
        <v>0.338229</v>
      </c>
      <c r="D3356" s="2">
        <v>4.7619999999999997E-3</v>
      </c>
      <c r="E3356" s="2">
        <v>0.3288741</v>
      </c>
      <c r="F3356" s="2">
        <v>0.3475839</v>
      </c>
      <c r="H3356" s="8" t="str">
        <f t="shared" si="139"/>
        <v>0.34 (0.33 to 0.35)</v>
      </c>
    </row>
    <row r="3357" spans="1:8" x14ac:dyDescent="0.3">
      <c r="A3357" s="14" t="s">
        <v>69</v>
      </c>
      <c r="B3357" s="2">
        <v>6843</v>
      </c>
      <c r="C3357" s="2">
        <v>35.792771999999999</v>
      </c>
      <c r="D3357" s="2">
        <v>0.11680400000000001</v>
      </c>
      <c r="E3357" s="2">
        <v>35.563322499999998</v>
      </c>
      <c r="F3357" s="2">
        <v>36.022220900000001</v>
      </c>
      <c r="H3357" s="8" t="str">
        <f t="shared" si="139"/>
        <v>35.79 (35.56 to 36.02)</v>
      </c>
    </row>
    <row r="3361" spans="1:6" x14ac:dyDescent="0.3">
      <c r="A3361" s="1" t="s">
        <v>129</v>
      </c>
    </row>
    <row r="3363" spans="1:6" x14ac:dyDescent="0.3">
      <c r="A3363" s="1" t="s">
        <v>282</v>
      </c>
    </row>
    <row r="3364" spans="1:6" ht="17.25" thickBot="1" x14ac:dyDescent="0.35"/>
    <row r="3365" spans="1:6" ht="16.5" customHeight="1" x14ac:dyDescent="0.3">
      <c r="A3365" s="24" t="s">
        <v>75</v>
      </c>
      <c r="B3365" s="26"/>
    </row>
    <row r="3366" spans="1:6" ht="26.25" thickBot="1" x14ac:dyDescent="0.35">
      <c r="A3366" s="13" t="s">
        <v>76</v>
      </c>
      <c r="B3366" s="2">
        <v>27</v>
      </c>
    </row>
    <row r="3367" spans="1:6" ht="26.25" thickBot="1" x14ac:dyDescent="0.35">
      <c r="A3367" s="13" t="s">
        <v>77</v>
      </c>
      <c r="B3367" s="2">
        <v>556</v>
      </c>
    </row>
    <row r="3368" spans="1:6" ht="39" thickBot="1" x14ac:dyDescent="0.35">
      <c r="A3368" s="13" t="s">
        <v>78</v>
      </c>
      <c r="B3368" s="2">
        <v>2313</v>
      </c>
    </row>
    <row r="3369" spans="1:6" ht="25.5" x14ac:dyDescent="0.3">
      <c r="A3369" s="14" t="s">
        <v>79</v>
      </c>
      <c r="B3369" s="2">
        <v>1027927.76</v>
      </c>
    </row>
    <row r="3370" spans="1:6" ht="17.25" thickBot="1" x14ac:dyDescent="0.35"/>
    <row r="3371" spans="1:6" ht="33" customHeight="1" x14ac:dyDescent="0.3">
      <c r="A3371" s="24" t="s">
        <v>80</v>
      </c>
      <c r="B3371" s="26"/>
    </row>
    <row r="3372" spans="1:6" ht="33.75" thickBot="1" x14ac:dyDescent="0.35">
      <c r="A3372" s="13" t="s">
        <v>81</v>
      </c>
      <c r="B3372" s="2" t="s">
        <v>82</v>
      </c>
    </row>
    <row r="3373" spans="1:6" ht="25.5" x14ac:dyDescent="0.3">
      <c r="A3373" s="14" t="s">
        <v>83</v>
      </c>
      <c r="B3373" s="2" t="s">
        <v>84</v>
      </c>
    </row>
    <row r="3374" spans="1:6" ht="17.25" thickBot="1" x14ac:dyDescent="0.35"/>
    <row r="3375" spans="1:6" ht="16.5" customHeight="1" x14ac:dyDescent="0.3">
      <c r="A3375" s="24" t="s">
        <v>130</v>
      </c>
      <c r="B3375" s="26"/>
      <c r="C3375" s="26"/>
      <c r="D3375" s="26"/>
      <c r="E3375" s="26"/>
      <c r="F3375" s="26"/>
    </row>
    <row r="3376" spans="1:6" x14ac:dyDescent="0.3">
      <c r="A3376" s="25" t="s">
        <v>131</v>
      </c>
      <c r="B3376" s="27" t="s">
        <v>46</v>
      </c>
      <c r="C3376" s="27" t="s">
        <v>132</v>
      </c>
      <c r="D3376" s="3" t="s">
        <v>133</v>
      </c>
      <c r="E3376" s="27" t="s">
        <v>135</v>
      </c>
      <c r="F3376" s="27"/>
    </row>
    <row r="3377" spans="1:8" x14ac:dyDescent="0.3">
      <c r="A3377" s="25"/>
      <c r="B3377" s="27"/>
      <c r="C3377" s="27"/>
      <c r="D3377" s="3" t="s">
        <v>134</v>
      </c>
      <c r="E3377" s="27"/>
      <c r="F3377" s="27"/>
    </row>
    <row r="3378" spans="1:8" ht="17.25" thickBot="1" x14ac:dyDescent="0.35">
      <c r="A3378" s="13" t="s">
        <v>66</v>
      </c>
      <c r="B3378" s="2">
        <v>2313</v>
      </c>
      <c r="C3378" s="2">
        <v>8.7116369999999996</v>
      </c>
      <c r="D3378" s="2">
        <v>1.8305999999999999E-2</v>
      </c>
      <c r="E3378" s="2">
        <v>8.6756755000000005</v>
      </c>
      <c r="F3378" s="2">
        <v>8.7475986999999993</v>
      </c>
      <c r="H3378" s="8" t="str">
        <f t="shared" ref="H3378:H3381" si="140">TEXT(C3378,"0.00")&amp;" ("&amp;TEXT(E3378,"0.00")&amp;" to "&amp;TEXT(F3378,"0.00")&amp;")"</f>
        <v>8.71 (8.68 to 8.75)</v>
      </c>
    </row>
    <row r="3379" spans="1:8" ht="17.25" thickBot="1" x14ac:dyDescent="0.35">
      <c r="A3379" s="13" t="s">
        <v>67</v>
      </c>
      <c r="B3379" s="2">
        <v>2313</v>
      </c>
      <c r="C3379" s="2">
        <v>0.69233800000000001</v>
      </c>
      <c r="D3379" s="2">
        <v>2.0500000000000002E-3</v>
      </c>
      <c r="E3379" s="2">
        <v>0.68831120000000001</v>
      </c>
      <c r="F3379" s="2">
        <v>0.69636580000000003</v>
      </c>
      <c r="H3379" s="8" t="str">
        <f t="shared" si="140"/>
        <v>0.69 (0.69 to 0.70)</v>
      </c>
    </row>
    <row r="3380" spans="1:8" ht="17.25" thickBot="1" x14ac:dyDescent="0.35">
      <c r="A3380" s="13" t="s">
        <v>68</v>
      </c>
      <c r="B3380" s="2">
        <v>2313</v>
      </c>
      <c r="C3380" s="2">
        <v>0.38050400000000001</v>
      </c>
      <c r="D3380" s="2">
        <v>8.6029999999999995E-3</v>
      </c>
      <c r="E3380" s="2">
        <v>0.36360409999999999</v>
      </c>
      <c r="F3380" s="2">
        <v>0.39740360000000002</v>
      </c>
      <c r="H3380" s="8" t="str">
        <f t="shared" si="140"/>
        <v>0.38 (0.36 to 0.40)</v>
      </c>
    </row>
    <row r="3381" spans="1:8" x14ac:dyDescent="0.3">
      <c r="A3381" s="14" t="s">
        <v>69</v>
      </c>
      <c r="B3381" s="2">
        <v>2313</v>
      </c>
      <c r="C3381" s="2">
        <v>37.889474999999997</v>
      </c>
      <c r="D3381" s="2">
        <v>0.248726</v>
      </c>
      <c r="E3381" s="2">
        <v>37.400862199999999</v>
      </c>
      <c r="F3381" s="2">
        <v>38.378087800000003</v>
      </c>
      <c r="H3381" s="8" t="str">
        <f t="shared" si="140"/>
        <v>37.89 (37.40 to 38.38)</v>
      </c>
    </row>
    <row r="3385" spans="1:8" x14ac:dyDescent="0.3">
      <c r="A3385" s="1" t="s">
        <v>129</v>
      </c>
    </row>
    <row r="3387" spans="1:8" x14ac:dyDescent="0.3">
      <c r="A3387" s="1" t="s">
        <v>283</v>
      </c>
    </row>
    <row r="3388" spans="1:8" ht="17.25" thickBot="1" x14ac:dyDescent="0.35"/>
    <row r="3389" spans="1:8" ht="16.5" customHeight="1" x14ac:dyDescent="0.3">
      <c r="A3389" s="24" t="s">
        <v>75</v>
      </c>
      <c r="B3389" s="26"/>
    </row>
    <row r="3390" spans="1:8" ht="26.25" thickBot="1" x14ac:dyDescent="0.35">
      <c r="A3390" s="13" t="s">
        <v>76</v>
      </c>
      <c r="B3390" s="2">
        <v>27</v>
      </c>
    </row>
    <row r="3391" spans="1:8" ht="26.25" thickBot="1" x14ac:dyDescent="0.35">
      <c r="A3391" s="13" t="s">
        <v>77</v>
      </c>
      <c r="B3391" s="2">
        <v>188</v>
      </c>
    </row>
    <row r="3392" spans="1:8" ht="39" thickBot="1" x14ac:dyDescent="0.35">
      <c r="A3392" s="13" t="s">
        <v>78</v>
      </c>
      <c r="B3392" s="2">
        <v>1424</v>
      </c>
    </row>
    <row r="3393" spans="1:8" ht="25.5" x14ac:dyDescent="0.3">
      <c r="A3393" s="14" t="s">
        <v>79</v>
      </c>
      <c r="B3393" s="2">
        <v>721749.8</v>
      </c>
    </row>
    <row r="3394" spans="1:8" ht="17.25" thickBot="1" x14ac:dyDescent="0.35"/>
    <row r="3395" spans="1:8" ht="33" customHeight="1" x14ac:dyDescent="0.3">
      <c r="A3395" s="24" t="s">
        <v>80</v>
      </c>
      <c r="B3395" s="26"/>
    </row>
    <row r="3396" spans="1:8" ht="33.75" thickBot="1" x14ac:dyDescent="0.35">
      <c r="A3396" s="13" t="s">
        <v>81</v>
      </c>
      <c r="B3396" s="2" t="s">
        <v>82</v>
      </c>
    </row>
    <row r="3397" spans="1:8" ht="25.5" x14ac:dyDescent="0.3">
      <c r="A3397" s="14" t="s">
        <v>83</v>
      </c>
      <c r="B3397" s="2" t="s">
        <v>84</v>
      </c>
    </row>
    <row r="3398" spans="1:8" ht="17.25" thickBot="1" x14ac:dyDescent="0.35"/>
    <row r="3399" spans="1:8" ht="16.5" customHeight="1" x14ac:dyDescent="0.3">
      <c r="A3399" s="24" t="s">
        <v>130</v>
      </c>
      <c r="B3399" s="26"/>
      <c r="C3399" s="26"/>
      <c r="D3399" s="26"/>
      <c r="E3399" s="26"/>
      <c r="F3399" s="26"/>
    </row>
    <row r="3400" spans="1:8" x14ac:dyDescent="0.3">
      <c r="A3400" s="25" t="s">
        <v>131</v>
      </c>
      <c r="B3400" s="27" t="s">
        <v>46</v>
      </c>
      <c r="C3400" s="27" t="s">
        <v>132</v>
      </c>
      <c r="D3400" s="3" t="s">
        <v>133</v>
      </c>
      <c r="E3400" s="27" t="s">
        <v>135</v>
      </c>
      <c r="F3400" s="27"/>
    </row>
    <row r="3401" spans="1:8" x14ac:dyDescent="0.3">
      <c r="A3401" s="25"/>
      <c r="B3401" s="27"/>
      <c r="C3401" s="27"/>
      <c r="D3401" s="3" t="s">
        <v>134</v>
      </c>
      <c r="E3401" s="27"/>
      <c r="F3401" s="27"/>
    </row>
    <row r="3402" spans="1:8" ht="17.25" thickBot="1" x14ac:dyDescent="0.35">
      <c r="A3402" s="13" t="s">
        <v>66</v>
      </c>
      <c r="B3402" s="2">
        <v>1424</v>
      </c>
      <c r="C3402" s="2">
        <v>8.4848909999999993</v>
      </c>
      <c r="D3402" s="2">
        <v>1.9514E-2</v>
      </c>
      <c r="E3402" s="2">
        <v>8.4463545999999994</v>
      </c>
      <c r="F3402" s="2">
        <v>8.5234273999999992</v>
      </c>
      <c r="H3402" s="8" t="str">
        <f t="shared" ref="H3402:H3405" si="141">TEXT(C3402,"0.00")&amp;" ("&amp;TEXT(E3402,"0.00")&amp;" to "&amp;TEXT(F3402,"0.00")&amp;")"</f>
        <v>8.48 (8.45 to 8.52)</v>
      </c>
    </row>
    <row r="3403" spans="1:8" ht="17.25" thickBot="1" x14ac:dyDescent="0.35">
      <c r="A3403" s="13" t="s">
        <v>67</v>
      </c>
      <c r="B3403" s="2">
        <v>1424</v>
      </c>
      <c r="C3403" s="2">
        <v>0.65200400000000003</v>
      </c>
      <c r="D3403" s="2">
        <v>2.2309999999999999E-3</v>
      </c>
      <c r="E3403" s="2">
        <v>0.64759849999999997</v>
      </c>
      <c r="F3403" s="2">
        <v>0.65640880000000001</v>
      </c>
      <c r="H3403" s="8" t="str">
        <f t="shared" si="141"/>
        <v>0.65 (0.65 to 0.66)</v>
      </c>
    </row>
    <row r="3404" spans="1:8" ht="17.25" thickBot="1" x14ac:dyDescent="0.35">
      <c r="A3404" s="13" t="s">
        <v>68</v>
      </c>
      <c r="B3404" s="2">
        <v>1424</v>
      </c>
      <c r="C3404" s="2">
        <v>0.24174899999999999</v>
      </c>
      <c r="D3404" s="2">
        <v>1.0730999999999999E-2</v>
      </c>
      <c r="E3404" s="2">
        <v>0.22055710000000001</v>
      </c>
      <c r="F3404" s="2">
        <v>0.26294109999999998</v>
      </c>
      <c r="H3404" s="8" t="str">
        <f t="shared" si="141"/>
        <v>0.24 (0.22 to 0.26)</v>
      </c>
    </row>
    <row r="3405" spans="1:8" x14ac:dyDescent="0.3">
      <c r="A3405" s="14" t="s">
        <v>69</v>
      </c>
      <c r="B3405" s="2">
        <v>1424</v>
      </c>
      <c r="C3405" s="2">
        <v>34.049557999999998</v>
      </c>
      <c r="D3405" s="2">
        <v>0.249948</v>
      </c>
      <c r="E3405" s="2">
        <v>33.555959199999997</v>
      </c>
      <c r="F3405" s="2">
        <v>34.543157100000002</v>
      </c>
      <c r="H3405" s="8" t="str">
        <f t="shared" si="141"/>
        <v>34.05 (33.56 to 34.54)</v>
      </c>
    </row>
    <row r="3409" spans="1:6" x14ac:dyDescent="0.3">
      <c r="A3409" s="1" t="s">
        <v>129</v>
      </c>
    </row>
    <row r="3411" spans="1:6" x14ac:dyDescent="0.3">
      <c r="A3411" s="1" t="s">
        <v>284</v>
      </c>
    </row>
    <row r="3412" spans="1:6" ht="17.25" thickBot="1" x14ac:dyDescent="0.35"/>
    <row r="3413" spans="1:6" ht="16.5" customHeight="1" x14ac:dyDescent="0.3">
      <c r="A3413" s="24" t="s">
        <v>75</v>
      </c>
      <c r="B3413" s="26"/>
    </row>
    <row r="3414" spans="1:6" ht="26.25" thickBot="1" x14ac:dyDescent="0.35">
      <c r="A3414" s="13" t="s">
        <v>76</v>
      </c>
      <c r="B3414" s="2">
        <v>27</v>
      </c>
    </row>
    <row r="3415" spans="1:6" ht="26.25" thickBot="1" x14ac:dyDescent="0.35">
      <c r="A3415" s="13" t="s">
        <v>77</v>
      </c>
      <c r="B3415" s="2">
        <v>190</v>
      </c>
    </row>
    <row r="3416" spans="1:6" ht="39" thickBot="1" x14ac:dyDescent="0.35">
      <c r="A3416" s="13" t="s">
        <v>78</v>
      </c>
      <c r="B3416" s="2">
        <v>2272</v>
      </c>
    </row>
    <row r="3417" spans="1:6" ht="25.5" x14ac:dyDescent="0.3">
      <c r="A3417" s="14" t="s">
        <v>79</v>
      </c>
      <c r="B3417" s="2">
        <v>1096627.6200000001</v>
      </c>
    </row>
    <row r="3418" spans="1:6" ht="17.25" thickBot="1" x14ac:dyDescent="0.35"/>
    <row r="3419" spans="1:6" ht="33" customHeight="1" x14ac:dyDescent="0.3">
      <c r="A3419" s="24" t="s">
        <v>80</v>
      </c>
      <c r="B3419" s="26"/>
    </row>
    <row r="3420" spans="1:6" ht="33.75" thickBot="1" x14ac:dyDescent="0.35">
      <c r="A3420" s="13" t="s">
        <v>81</v>
      </c>
      <c r="B3420" s="2" t="s">
        <v>82</v>
      </c>
    </row>
    <row r="3421" spans="1:6" ht="25.5" x14ac:dyDescent="0.3">
      <c r="A3421" s="14" t="s">
        <v>83</v>
      </c>
      <c r="B3421" s="2" t="s">
        <v>84</v>
      </c>
    </row>
    <row r="3422" spans="1:6" ht="17.25" thickBot="1" x14ac:dyDescent="0.35"/>
    <row r="3423" spans="1:6" ht="16.5" customHeight="1" x14ac:dyDescent="0.3">
      <c r="A3423" s="24" t="s">
        <v>130</v>
      </c>
      <c r="B3423" s="26"/>
      <c r="C3423" s="26"/>
      <c r="D3423" s="26"/>
      <c r="E3423" s="26"/>
      <c r="F3423" s="26"/>
    </row>
    <row r="3424" spans="1:6" x14ac:dyDescent="0.3">
      <c r="A3424" s="25" t="s">
        <v>131</v>
      </c>
      <c r="B3424" s="27" t="s">
        <v>46</v>
      </c>
      <c r="C3424" s="27" t="s">
        <v>132</v>
      </c>
      <c r="D3424" s="3" t="s">
        <v>133</v>
      </c>
      <c r="E3424" s="27" t="s">
        <v>135</v>
      </c>
      <c r="F3424" s="27"/>
    </row>
    <row r="3425" spans="1:8" x14ac:dyDescent="0.3">
      <c r="A3425" s="25"/>
      <c r="B3425" s="27"/>
      <c r="C3425" s="27"/>
      <c r="D3425" s="3" t="s">
        <v>134</v>
      </c>
      <c r="E3425" s="27"/>
      <c r="F3425" s="27"/>
    </row>
    <row r="3426" spans="1:8" ht="17.25" thickBot="1" x14ac:dyDescent="0.35">
      <c r="A3426" s="13" t="s">
        <v>66</v>
      </c>
      <c r="B3426" s="2">
        <v>2272</v>
      </c>
      <c r="C3426" s="2">
        <v>8.6232190000000006</v>
      </c>
      <c r="D3426" s="2">
        <v>1.6143999999999999E-2</v>
      </c>
      <c r="E3426" s="2">
        <v>8.5913398999999995</v>
      </c>
      <c r="F3426" s="2">
        <v>8.6550984999999994</v>
      </c>
      <c r="H3426" s="8" t="str">
        <f t="shared" ref="H3426:H3429" si="142">TEXT(C3426,"0.00")&amp;" ("&amp;TEXT(E3426,"0.00")&amp;" to "&amp;TEXT(F3426,"0.00")&amp;")"</f>
        <v>8.62 (8.59 to 8.66)</v>
      </c>
    </row>
    <row r="3427" spans="1:8" ht="17.25" thickBot="1" x14ac:dyDescent="0.35">
      <c r="A3427" s="13" t="s">
        <v>67</v>
      </c>
      <c r="B3427" s="2">
        <v>2272</v>
      </c>
      <c r="C3427" s="2">
        <v>0.67328200000000005</v>
      </c>
      <c r="D3427" s="2">
        <v>2.0379999999999999E-3</v>
      </c>
      <c r="E3427" s="2">
        <v>0.6692574</v>
      </c>
      <c r="F3427" s="2">
        <v>0.67730590000000002</v>
      </c>
      <c r="H3427" s="8" t="str">
        <f t="shared" si="142"/>
        <v>0.67 (0.67 to 0.68)</v>
      </c>
    </row>
    <row r="3428" spans="1:8" ht="17.25" thickBot="1" x14ac:dyDescent="0.35">
      <c r="A3428" s="13" t="s">
        <v>68</v>
      </c>
      <c r="B3428" s="2">
        <v>2272</v>
      </c>
      <c r="C3428" s="2">
        <v>0.30357600000000001</v>
      </c>
      <c r="D3428" s="2">
        <v>8.6630000000000006E-3</v>
      </c>
      <c r="E3428" s="2">
        <v>0.28647020000000001</v>
      </c>
      <c r="F3428" s="2">
        <v>0.32068190000000002</v>
      </c>
      <c r="H3428" s="8" t="str">
        <f t="shared" si="142"/>
        <v>0.30 (0.29 to 0.32)</v>
      </c>
    </row>
    <row r="3429" spans="1:8" x14ac:dyDescent="0.3">
      <c r="A3429" s="14" t="s">
        <v>69</v>
      </c>
      <c r="B3429" s="2">
        <v>2272</v>
      </c>
      <c r="C3429" s="2">
        <v>35.241183999999997</v>
      </c>
      <c r="D3429" s="2">
        <v>0.21474099999999999</v>
      </c>
      <c r="E3429" s="2">
        <v>34.817151199999998</v>
      </c>
      <c r="F3429" s="2">
        <v>35.665216299999997</v>
      </c>
      <c r="H3429" s="8" t="str">
        <f t="shared" si="142"/>
        <v>35.24 (34.82 to 35.67)</v>
      </c>
    </row>
    <row r="3433" spans="1:8" x14ac:dyDescent="0.3">
      <c r="A3433" s="1" t="s">
        <v>129</v>
      </c>
    </row>
    <row r="3435" spans="1:8" x14ac:dyDescent="0.3">
      <c r="A3435" s="1" t="s">
        <v>285</v>
      </c>
    </row>
    <row r="3436" spans="1:8" ht="17.25" thickBot="1" x14ac:dyDescent="0.35"/>
    <row r="3437" spans="1:8" ht="16.5" customHeight="1" x14ac:dyDescent="0.3">
      <c r="A3437" s="24" t="s">
        <v>75</v>
      </c>
      <c r="B3437" s="26"/>
    </row>
    <row r="3438" spans="1:8" ht="26.25" thickBot="1" x14ac:dyDescent="0.35">
      <c r="A3438" s="13" t="s">
        <v>76</v>
      </c>
      <c r="B3438" s="2">
        <v>27</v>
      </c>
    </row>
    <row r="3439" spans="1:8" ht="26.25" thickBot="1" x14ac:dyDescent="0.35">
      <c r="A3439" s="13" t="s">
        <v>77</v>
      </c>
      <c r="B3439" s="2">
        <v>184</v>
      </c>
    </row>
    <row r="3440" spans="1:8" ht="39" thickBot="1" x14ac:dyDescent="0.35">
      <c r="A3440" s="13" t="s">
        <v>78</v>
      </c>
      <c r="B3440" s="2">
        <v>720</v>
      </c>
    </row>
    <row r="3441" spans="1:8" ht="25.5" x14ac:dyDescent="0.3">
      <c r="A3441" s="14" t="s">
        <v>79</v>
      </c>
      <c r="B3441" s="2">
        <v>332536.25099999999</v>
      </c>
    </row>
    <row r="3442" spans="1:8" ht="17.25" thickBot="1" x14ac:dyDescent="0.35"/>
    <row r="3443" spans="1:8" ht="33" customHeight="1" x14ac:dyDescent="0.3">
      <c r="A3443" s="24" t="s">
        <v>80</v>
      </c>
      <c r="B3443" s="26"/>
    </row>
    <row r="3444" spans="1:8" ht="33.75" thickBot="1" x14ac:dyDescent="0.35">
      <c r="A3444" s="13" t="s">
        <v>81</v>
      </c>
      <c r="B3444" s="2" t="s">
        <v>82</v>
      </c>
    </row>
    <row r="3445" spans="1:8" ht="25.5" x14ac:dyDescent="0.3">
      <c r="A3445" s="14" t="s">
        <v>83</v>
      </c>
      <c r="B3445" s="2" t="s">
        <v>84</v>
      </c>
    </row>
    <row r="3446" spans="1:8" ht="17.25" thickBot="1" x14ac:dyDescent="0.35"/>
    <row r="3447" spans="1:8" ht="16.5" customHeight="1" x14ac:dyDescent="0.3">
      <c r="A3447" s="24" t="s">
        <v>130</v>
      </c>
      <c r="B3447" s="26"/>
      <c r="C3447" s="26"/>
      <c r="D3447" s="26"/>
      <c r="E3447" s="26"/>
      <c r="F3447" s="26"/>
    </row>
    <row r="3448" spans="1:8" x14ac:dyDescent="0.3">
      <c r="A3448" s="25" t="s">
        <v>131</v>
      </c>
      <c r="B3448" s="27" t="s">
        <v>46</v>
      </c>
      <c r="C3448" s="27" t="s">
        <v>132</v>
      </c>
      <c r="D3448" s="3" t="s">
        <v>133</v>
      </c>
      <c r="E3448" s="27" t="s">
        <v>135</v>
      </c>
      <c r="F3448" s="27"/>
    </row>
    <row r="3449" spans="1:8" x14ac:dyDescent="0.3">
      <c r="A3449" s="25"/>
      <c r="B3449" s="27"/>
      <c r="C3449" s="27"/>
      <c r="D3449" s="3" t="s">
        <v>134</v>
      </c>
      <c r="E3449" s="27"/>
      <c r="F3449" s="27"/>
    </row>
    <row r="3450" spans="1:8" ht="17.25" thickBot="1" x14ac:dyDescent="0.35">
      <c r="A3450" s="13" t="s">
        <v>66</v>
      </c>
      <c r="B3450" s="2">
        <v>720</v>
      </c>
      <c r="C3450" s="2">
        <v>8.7313949999999991</v>
      </c>
      <c r="D3450" s="2">
        <v>2.7858999999999998E-2</v>
      </c>
      <c r="E3450" s="2">
        <v>8.6763677999999995</v>
      </c>
      <c r="F3450" s="2">
        <v>8.7864216000000006</v>
      </c>
      <c r="H3450" s="8" t="str">
        <f t="shared" ref="H3450:H3453" si="143">TEXT(C3450,"0.00")&amp;" ("&amp;TEXT(E3450,"0.00")&amp;" to "&amp;TEXT(F3450,"0.00")&amp;")"</f>
        <v>8.73 (8.68 to 8.79)</v>
      </c>
    </row>
    <row r="3451" spans="1:8" ht="17.25" thickBot="1" x14ac:dyDescent="0.35">
      <c r="A3451" s="13" t="s">
        <v>67</v>
      </c>
      <c r="B3451" s="2">
        <v>720</v>
      </c>
      <c r="C3451" s="2">
        <v>0.69129300000000005</v>
      </c>
      <c r="D3451" s="2">
        <v>2.9429999999999999E-3</v>
      </c>
      <c r="E3451" s="2">
        <v>0.68548070000000005</v>
      </c>
      <c r="F3451" s="2">
        <v>0.69710550000000004</v>
      </c>
      <c r="H3451" s="8" t="str">
        <f t="shared" si="143"/>
        <v>0.69 (0.69 to 0.70)</v>
      </c>
    </row>
    <row r="3452" spans="1:8" ht="17.25" thickBot="1" x14ac:dyDescent="0.35">
      <c r="A3452" s="13" t="s">
        <v>68</v>
      </c>
      <c r="B3452" s="2">
        <v>720</v>
      </c>
      <c r="C3452" s="2">
        <v>0.35538500000000001</v>
      </c>
      <c r="D3452" s="2">
        <v>1.4256E-2</v>
      </c>
      <c r="E3452" s="2">
        <v>0.3272275</v>
      </c>
      <c r="F3452" s="2">
        <v>0.3835422</v>
      </c>
      <c r="H3452" s="8" t="str">
        <f t="shared" si="143"/>
        <v>0.36 (0.33 to 0.38)</v>
      </c>
    </row>
    <row r="3453" spans="1:8" x14ac:dyDescent="0.3">
      <c r="A3453" s="14" t="s">
        <v>69</v>
      </c>
      <c r="B3453" s="2">
        <v>720</v>
      </c>
      <c r="C3453" s="2">
        <v>38.106352999999999</v>
      </c>
      <c r="D3453" s="2">
        <v>0.47224500000000003</v>
      </c>
      <c r="E3453" s="2">
        <v>37.173579400000001</v>
      </c>
      <c r="F3453" s="2">
        <v>39.039126099999997</v>
      </c>
      <c r="H3453" s="8" t="str">
        <f t="shared" si="143"/>
        <v>38.11 (37.17 to 39.04)</v>
      </c>
    </row>
    <row r="3457" spans="1:6" x14ac:dyDescent="0.3">
      <c r="A3457" s="1" t="s">
        <v>129</v>
      </c>
    </row>
    <row r="3459" spans="1:6" x14ac:dyDescent="0.3">
      <c r="A3459" s="1" t="s">
        <v>286</v>
      </c>
    </row>
    <row r="3460" spans="1:6" ht="17.25" thickBot="1" x14ac:dyDescent="0.35"/>
    <row r="3461" spans="1:6" ht="16.5" customHeight="1" x14ac:dyDescent="0.3">
      <c r="A3461" s="24" t="s">
        <v>75</v>
      </c>
      <c r="B3461" s="26"/>
    </row>
    <row r="3462" spans="1:6" ht="26.25" thickBot="1" x14ac:dyDescent="0.35">
      <c r="A3462" s="13" t="s">
        <v>76</v>
      </c>
      <c r="B3462" s="2">
        <v>25</v>
      </c>
    </row>
    <row r="3463" spans="1:6" ht="26.25" thickBot="1" x14ac:dyDescent="0.35">
      <c r="A3463" s="13" t="s">
        <v>77</v>
      </c>
      <c r="B3463" s="2">
        <v>498</v>
      </c>
    </row>
    <row r="3464" spans="1:6" ht="39" thickBot="1" x14ac:dyDescent="0.35">
      <c r="A3464" s="13" t="s">
        <v>78</v>
      </c>
      <c r="B3464" s="2">
        <v>3399</v>
      </c>
    </row>
    <row r="3465" spans="1:6" ht="25.5" x14ac:dyDescent="0.3">
      <c r="A3465" s="14" t="s">
        <v>79</v>
      </c>
      <c r="B3465" s="2">
        <v>1293286.1599999999</v>
      </c>
    </row>
    <row r="3466" spans="1:6" ht="17.25" thickBot="1" x14ac:dyDescent="0.35"/>
    <row r="3467" spans="1:6" ht="33" customHeight="1" x14ac:dyDescent="0.3">
      <c r="A3467" s="24" t="s">
        <v>80</v>
      </c>
      <c r="B3467" s="26"/>
    </row>
    <row r="3468" spans="1:6" ht="33.75" thickBot="1" x14ac:dyDescent="0.35">
      <c r="A3468" s="13" t="s">
        <v>81</v>
      </c>
      <c r="B3468" s="2" t="s">
        <v>82</v>
      </c>
    </row>
    <row r="3469" spans="1:6" ht="25.5" x14ac:dyDescent="0.3">
      <c r="A3469" s="14" t="s">
        <v>83</v>
      </c>
      <c r="B3469" s="2" t="s">
        <v>84</v>
      </c>
    </row>
    <row r="3470" spans="1:6" ht="17.25" thickBot="1" x14ac:dyDescent="0.35"/>
    <row r="3471" spans="1:6" ht="16.5" customHeight="1" x14ac:dyDescent="0.3">
      <c r="A3471" s="24" t="s">
        <v>130</v>
      </c>
      <c r="B3471" s="26"/>
      <c r="C3471" s="26"/>
      <c r="D3471" s="26"/>
      <c r="E3471" s="26"/>
      <c r="F3471" s="26"/>
    </row>
    <row r="3472" spans="1:6" x14ac:dyDescent="0.3">
      <c r="A3472" s="25" t="s">
        <v>131</v>
      </c>
      <c r="B3472" s="27" t="s">
        <v>46</v>
      </c>
      <c r="C3472" s="27" t="s">
        <v>132</v>
      </c>
      <c r="D3472" s="3" t="s">
        <v>133</v>
      </c>
      <c r="E3472" s="27" t="s">
        <v>135</v>
      </c>
      <c r="F3472" s="27"/>
    </row>
    <row r="3473" spans="1:8" x14ac:dyDescent="0.3">
      <c r="A3473" s="25"/>
      <c r="B3473" s="27"/>
      <c r="C3473" s="27"/>
      <c r="D3473" s="3" t="s">
        <v>134</v>
      </c>
      <c r="E3473" s="27"/>
      <c r="F3473" s="27"/>
    </row>
    <row r="3474" spans="1:8" ht="17.25" thickBot="1" x14ac:dyDescent="0.35">
      <c r="A3474" s="13" t="s">
        <v>66</v>
      </c>
      <c r="B3474" s="2">
        <v>3399</v>
      </c>
      <c r="C3474" s="2">
        <v>8.5594900000000003</v>
      </c>
      <c r="D3474" s="2">
        <v>1.3938000000000001E-2</v>
      </c>
      <c r="E3474" s="2">
        <v>8.5321026999999994</v>
      </c>
      <c r="F3474" s="2">
        <v>8.5868780999999998</v>
      </c>
      <c r="H3474" s="8" t="str">
        <f t="shared" ref="H3474:H3477" si="144">TEXT(C3474,"0.00")&amp;" ("&amp;TEXT(E3474,"0.00")&amp;" to "&amp;TEXT(F3474,"0.00")&amp;")"</f>
        <v>8.56 (8.53 to 8.59)</v>
      </c>
    </row>
    <row r="3475" spans="1:8" ht="17.25" thickBot="1" x14ac:dyDescent="0.35">
      <c r="A3475" s="13" t="s">
        <v>67</v>
      </c>
      <c r="B3475" s="2">
        <v>3399</v>
      </c>
      <c r="C3475" s="2">
        <v>0.658439</v>
      </c>
      <c r="D3475" s="2">
        <v>1.73E-3</v>
      </c>
      <c r="E3475" s="2">
        <v>0.65503999999999996</v>
      </c>
      <c r="F3475" s="2">
        <v>0.66183789999999998</v>
      </c>
      <c r="H3475" s="8" t="str">
        <f t="shared" si="144"/>
        <v>0.66 (0.66 to 0.66)</v>
      </c>
    </row>
    <row r="3476" spans="1:8" ht="17.25" thickBot="1" x14ac:dyDescent="0.35">
      <c r="A3476" s="13" t="s">
        <v>68</v>
      </c>
      <c r="B3476" s="2">
        <v>3399</v>
      </c>
      <c r="C3476" s="2">
        <v>0.37068200000000001</v>
      </c>
      <c r="D3476" s="2">
        <v>6.4770000000000001E-3</v>
      </c>
      <c r="E3476" s="2">
        <v>0.35795519999999997</v>
      </c>
      <c r="F3476" s="2">
        <v>0.38340879999999999</v>
      </c>
      <c r="H3476" s="8" t="str">
        <f t="shared" si="144"/>
        <v>0.37 (0.36 to 0.38)</v>
      </c>
    </row>
    <row r="3477" spans="1:8" x14ac:dyDescent="0.3">
      <c r="A3477" s="14" t="s">
        <v>69</v>
      </c>
      <c r="B3477" s="2">
        <v>3399</v>
      </c>
      <c r="C3477" s="2">
        <v>35.730705</v>
      </c>
      <c r="D3477" s="2">
        <v>0.15839700000000001</v>
      </c>
      <c r="E3477" s="2">
        <v>35.4194563</v>
      </c>
      <c r="F3477" s="2">
        <v>36.041952999999999</v>
      </c>
      <c r="H3477" s="8" t="str">
        <f t="shared" si="144"/>
        <v>35.73 (35.42 to 36.04)</v>
      </c>
    </row>
    <row r="3481" spans="1:8" x14ac:dyDescent="0.3">
      <c r="A3481" s="1" t="s">
        <v>129</v>
      </c>
    </row>
    <row r="3483" spans="1:8" x14ac:dyDescent="0.3">
      <c r="A3483" s="1" t="s">
        <v>287</v>
      </c>
    </row>
    <row r="3484" spans="1:8" ht="17.25" thickBot="1" x14ac:dyDescent="0.35"/>
    <row r="3485" spans="1:8" ht="16.5" customHeight="1" x14ac:dyDescent="0.3">
      <c r="A3485" s="24" t="s">
        <v>75</v>
      </c>
      <c r="B3485" s="26"/>
    </row>
    <row r="3486" spans="1:8" ht="26.25" thickBot="1" x14ac:dyDescent="0.35">
      <c r="A3486" s="13" t="s">
        <v>76</v>
      </c>
      <c r="B3486" s="2">
        <v>25</v>
      </c>
    </row>
    <row r="3487" spans="1:8" ht="26.25" thickBot="1" x14ac:dyDescent="0.35">
      <c r="A3487" s="13" t="s">
        <v>77</v>
      </c>
      <c r="B3487" s="2">
        <v>500</v>
      </c>
    </row>
    <row r="3488" spans="1:8" ht="39" thickBot="1" x14ac:dyDescent="0.35">
      <c r="A3488" s="13" t="s">
        <v>78</v>
      </c>
      <c r="B3488" s="2">
        <v>6638</v>
      </c>
    </row>
    <row r="3489" spans="1:8" ht="25.5" x14ac:dyDescent="0.3">
      <c r="A3489" s="14" t="s">
        <v>79</v>
      </c>
      <c r="B3489" s="2">
        <v>2487775.58</v>
      </c>
    </row>
    <row r="3490" spans="1:8" ht="17.25" thickBot="1" x14ac:dyDescent="0.35"/>
    <row r="3491" spans="1:8" ht="33" customHeight="1" x14ac:dyDescent="0.3">
      <c r="A3491" s="24" t="s">
        <v>80</v>
      </c>
      <c r="B3491" s="26"/>
    </row>
    <row r="3492" spans="1:8" ht="33.75" thickBot="1" x14ac:dyDescent="0.35">
      <c r="A3492" s="13" t="s">
        <v>81</v>
      </c>
      <c r="B3492" s="2" t="s">
        <v>82</v>
      </c>
    </row>
    <row r="3493" spans="1:8" ht="25.5" x14ac:dyDescent="0.3">
      <c r="A3493" s="14" t="s">
        <v>83</v>
      </c>
      <c r="B3493" s="2" t="s">
        <v>84</v>
      </c>
    </row>
    <row r="3494" spans="1:8" ht="17.25" thickBot="1" x14ac:dyDescent="0.35"/>
    <row r="3495" spans="1:8" ht="16.5" customHeight="1" x14ac:dyDescent="0.3">
      <c r="A3495" s="24" t="s">
        <v>130</v>
      </c>
      <c r="B3495" s="26"/>
      <c r="C3495" s="26"/>
      <c r="D3495" s="26"/>
      <c r="E3495" s="26"/>
      <c r="F3495" s="26"/>
    </row>
    <row r="3496" spans="1:8" x14ac:dyDescent="0.3">
      <c r="A3496" s="25" t="s">
        <v>131</v>
      </c>
      <c r="B3496" s="27" t="s">
        <v>46</v>
      </c>
      <c r="C3496" s="27" t="s">
        <v>132</v>
      </c>
      <c r="D3496" s="3" t="s">
        <v>133</v>
      </c>
      <c r="E3496" s="27" t="s">
        <v>135</v>
      </c>
      <c r="F3496" s="27"/>
    </row>
    <row r="3497" spans="1:8" x14ac:dyDescent="0.3">
      <c r="A3497" s="25"/>
      <c r="B3497" s="27"/>
      <c r="C3497" s="27"/>
      <c r="D3497" s="3" t="s">
        <v>134</v>
      </c>
      <c r="E3497" s="27"/>
      <c r="F3497" s="27"/>
    </row>
    <row r="3498" spans="1:8" ht="17.25" thickBot="1" x14ac:dyDescent="0.35">
      <c r="A3498" s="13" t="s">
        <v>66</v>
      </c>
      <c r="B3498" s="2">
        <v>6638</v>
      </c>
      <c r="C3498" s="2">
        <v>8.5256349999999994</v>
      </c>
      <c r="D3498" s="2">
        <v>1.0319E-2</v>
      </c>
      <c r="E3498" s="2">
        <v>8.5053596000000002</v>
      </c>
      <c r="F3498" s="2">
        <v>8.5459110999999996</v>
      </c>
      <c r="H3498" s="8" t="str">
        <f t="shared" ref="H3498:H3501" si="145">TEXT(C3498,"0.00")&amp;" ("&amp;TEXT(E3498,"0.00")&amp;" to "&amp;TEXT(F3498,"0.00")&amp;")"</f>
        <v>8.53 (8.51 to 8.55)</v>
      </c>
    </row>
    <row r="3499" spans="1:8" ht="17.25" thickBot="1" x14ac:dyDescent="0.35">
      <c r="A3499" s="13" t="s">
        <v>67</v>
      </c>
      <c r="B3499" s="2">
        <v>6638</v>
      </c>
      <c r="C3499" s="2">
        <v>0.65631600000000001</v>
      </c>
      <c r="D3499" s="2">
        <v>1.328E-3</v>
      </c>
      <c r="E3499" s="2">
        <v>0.65370669999999997</v>
      </c>
      <c r="F3499" s="2">
        <v>0.65892550000000005</v>
      </c>
      <c r="H3499" s="8" t="str">
        <f t="shared" si="145"/>
        <v>0.66 (0.65 to 0.66)</v>
      </c>
    </row>
    <row r="3500" spans="1:8" ht="17.25" thickBot="1" x14ac:dyDescent="0.35">
      <c r="A3500" s="13" t="s">
        <v>68</v>
      </c>
      <c r="B3500" s="2">
        <v>6638</v>
      </c>
      <c r="C3500" s="2">
        <v>0.35523700000000002</v>
      </c>
      <c r="D3500" s="2">
        <v>4.8609999999999999E-3</v>
      </c>
      <c r="E3500" s="2">
        <v>0.34568510000000002</v>
      </c>
      <c r="F3500" s="2">
        <v>0.36478880000000002</v>
      </c>
      <c r="H3500" s="8" t="str">
        <f t="shared" si="145"/>
        <v>0.36 (0.35 to 0.36)</v>
      </c>
    </row>
    <row r="3501" spans="1:8" x14ac:dyDescent="0.3">
      <c r="A3501" s="14" t="s">
        <v>69</v>
      </c>
      <c r="B3501" s="2">
        <v>6638</v>
      </c>
      <c r="C3501" s="2">
        <v>35.226168000000001</v>
      </c>
      <c r="D3501" s="2">
        <v>0.10495500000000001</v>
      </c>
      <c r="E3501" s="2">
        <v>35.019934200000002</v>
      </c>
      <c r="F3501" s="2">
        <v>35.432402000000003</v>
      </c>
      <c r="H3501" s="8" t="str">
        <f t="shared" si="145"/>
        <v>35.23 (35.02 to 35.43)</v>
      </c>
    </row>
    <row r="3505" spans="1:6" x14ac:dyDescent="0.3">
      <c r="A3505" s="1" t="s">
        <v>129</v>
      </c>
    </row>
    <row r="3507" spans="1:6" x14ac:dyDescent="0.3">
      <c r="A3507" s="1" t="s">
        <v>288</v>
      </c>
    </row>
    <row r="3508" spans="1:6" ht="17.25" thickBot="1" x14ac:dyDescent="0.35"/>
    <row r="3509" spans="1:6" ht="16.5" customHeight="1" x14ac:dyDescent="0.3">
      <c r="A3509" s="24" t="s">
        <v>75</v>
      </c>
      <c r="B3509" s="26"/>
    </row>
    <row r="3510" spans="1:6" ht="26.25" thickBot="1" x14ac:dyDescent="0.35">
      <c r="A3510" s="13" t="s">
        <v>76</v>
      </c>
      <c r="B3510" s="2">
        <v>25</v>
      </c>
    </row>
    <row r="3511" spans="1:6" ht="26.25" thickBot="1" x14ac:dyDescent="0.35">
      <c r="A3511" s="13" t="s">
        <v>77</v>
      </c>
      <c r="B3511" s="2">
        <v>473</v>
      </c>
    </row>
    <row r="3512" spans="1:6" ht="39" thickBot="1" x14ac:dyDescent="0.35">
      <c r="A3512" s="13" t="s">
        <v>78</v>
      </c>
      <c r="B3512" s="2">
        <v>1878</v>
      </c>
    </row>
    <row r="3513" spans="1:6" ht="25.5" x14ac:dyDescent="0.3">
      <c r="A3513" s="14" t="s">
        <v>79</v>
      </c>
      <c r="B3513" s="2">
        <v>589106.97499999998</v>
      </c>
    </row>
    <row r="3514" spans="1:6" ht="17.25" thickBot="1" x14ac:dyDescent="0.35"/>
    <row r="3515" spans="1:6" ht="33" customHeight="1" x14ac:dyDescent="0.3">
      <c r="A3515" s="24" t="s">
        <v>80</v>
      </c>
      <c r="B3515" s="26"/>
    </row>
    <row r="3516" spans="1:6" ht="33.75" thickBot="1" x14ac:dyDescent="0.35">
      <c r="A3516" s="13" t="s">
        <v>81</v>
      </c>
      <c r="B3516" s="2" t="s">
        <v>82</v>
      </c>
    </row>
    <row r="3517" spans="1:6" ht="25.5" x14ac:dyDescent="0.3">
      <c r="A3517" s="14" t="s">
        <v>83</v>
      </c>
      <c r="B3517" s="2" t="s">
        <v>84</v>
      </c>
    </row>
    <row r="3518" spans="1:6" ht="17.25" thickBot="1" x14ac:dyDescent="0.35"/>
    <row r="3519" spans="1:6" ht="16.5" customHeight="1" x14ac:dyDescent="0.3">
      <c r="A3519" s="24" t="s">
        <v>130</v>
      </c>
      <c r="B3519" s="26"/>
      <c r="C3519" s="26"/>
      <c r="D3519" s="26"/>
      <c r="E3519" s="26"/>
      <c r="F3519" s="26"/>
    </row>
    <row r="3520" spans="1:6" x14ac:dyDescent="0.3">
      <c r="A3520" s="25" t="s">
        <v>131</v>
      </c>
      <c r="B3520" s="27" t="s">
        <v>46</v>
      </c>
      <c r="C3520" s="27" t="s">
        <v>132</v>
      </c>
      <c r="D3520" s="3" t="s">
        <v>133</v>
      </c>
      <c r="E3520" s="27" t="s">
        <v>135</v>
      </c>
      <c r="F3520" s="27"/>
    </row>
    <row r="3521" spans="1:8" x14ac:dyDescent="0.3">
      <c r="A3521" s="25"/>
      <c r="B3521" s="27"/>
      <c r="C3521" s="27"/>
      <c r="D3521" s="3" t="s">
        <v>134</v>
      </c>
      <c r="E3521" s="27"/>
      <c r="F3521" s="27"/>
    </row>
    <row r="3522" spans="1:8" ht="17.25" thickBot="1" x14ac:dyDescent="0.35">
      <c r="A3522" s="13" t="s">
        <v>66</v>
      </c>
      <c r="B3522" s="2">
        <v>1878</v>
      </c>
      <c r="C3522" s="2">
        <v>8.6692260000000001</v>
      </c>
      <c r="D3522" s="2">
        <v>2.0569E-2</v>
      </c>
      <c r="E3522" s="2">
        <v>8.6288025000000008</v>
      </c>
      <c r="F3522" s="2">
        <v>8.7096490000000006</v>
      </c>
      <c r="H3522" s="8" t="str">
        <f t="shared" ref="H3522:H3525" si="146">TEXT(C3522,"0.00")&amp;" ("&amp;TEXT(E3522,"0.00")&amp;" to "&amp;TEXT(F3522,"0.00")&amp;")"</f>
        <v>8.67 (8.63 to 8.71)</v>
      </c>
    </row>
    <row r="3523" spans="1:8" ht="17.25" thickBot="1" x14ac:dyDescent="0.35">
      <c r="A3523" s="13" t="s">
        <v>67</v>
      </c>
      <c r="B3523" s="2">
        <v>1878</v>
      </c>
      <c r="C3523" s="2">
        <v>0.68240900000000004</v>
      </c>
      <c r="D3523" s="2">
        <v>2.3960000000000001E-3</v>
      </c>
      <c r="E3523" s="2">
        <v>0.67770109999999995</v>
      </c>
      <c r="F3523" s="2">
        <v>0.6871176</v>
      </c>
      <c r="H3523" s="8" t="str">
        <f t="shared" si="146"/>
        <v>0.68 (0.68 to 0.69)</v>
      </c>
    </row>
    <row r="3524" spans="1:8" ht="17.25" thickBot="1" x14ac:dyDescent="0.35">
      <c r="A3524" s="13" t="s">
        <v>68</v>
      </c>
      <c r="B3524" s="2">
        <v>1878</v>
      </c>
      <c r="C3524" s="2">
        <v>0.41526000000000002</v>
      </c>
      <c r="D3524" s="2">
        <v>9.4710000000000003E-3</v>
      </c>
      <c r="E3524" s="2">
        <v>0.39664759999999999</v>
      </c>
      <c r="F3524" s="2">
        <v>0.43387199999999998</v>
      </c>
      <c r="H3524" s="8" t="str">
        <f t="shared" si="146"/>
        <v>0.42 (0.40 to 0.43)</v>
      </c>
    </row>
    <row r="3525" spans="1:8" x14ac:dyDescent="0.3">
      <c r="A3525" s="14" t="s">
        <v>69</v>
      </c>
      <c r="B3525" s="2">
        <v>1878</v>
      </c>
      <c r="C3525" s="2">
        <v>36.719946999999998</v>
      </c>
      <c r="D3525" s="2">
        <v>0.19625899999999999</v>
      </c>
      <c r="E3525" s="2">
        <v>36.334245000000003</v>
      </c>
      <c r="F3525" s="2">
        <v>37.105649200000002</v>
      </c>
      <c r="H3525" s="8" t="str">
        <f t="shared" si="146"/>
        <v>36.72 (36.33 to 37.11)</v>
      </c>
    </row>
    <row r="3529" spans="1:8" x14ac:dyDescent="0.3">
      <c r="A3529" s="1" t="s">
        <v>129</v>
      </c>
    </row>
    <row r="3531" spans="1:8" x14ac:dyDescent="0.3">
      <c r="A3531" s="1" t="s">
        <v>289</v>
      </c>
    </row>
    <row r="3532" spans="1:8" ht="17.25" thickBot="1" x14ac:dyDescent="0.35"/>
    <row r="3533" spans="1:8" ht="16.5" customHeight="1" x14ac:dyDescent="0.3">
      <c r="A3533" s="24" t="s">
        <v>75</v>
      </c>
      <c r="B3533" s="26"/>
    </row>
    <row r="3534" spans="1:8" ht="26.25" thickBot="1" x14ac:dyDescent="0.35">
      <c r="A3534" s="13" t="s">
        <v>76</v>
      </c>
      <c r="B3534" s="2">
        <v>25</v>
      </c>
    </row>
    <row r="3535" spans="1:8" ht="26.25" thickBot="1" x14ac:dyDescent="0.35">
      <c r="A3535" s="13" t="s">
        <v>77</v>
      </c>
      <c r="B3535" s="2">
        <v>575</v>
      </c>
    </row>
    <row r="3536" spans="1:8" ht="39" thickBot="1" x14ac:dyDescent="0.35">
      <c r="A3536" s="13" t="s">
        <v>78</v>
      </c>
      <c r="B3536" s="2">
        <v>3498</v>
      </c>
    </row>
    <row r="3537" spans="1:8" ht="25.5" x14ac:dyDescent="0.3">
      <c r="A3537" s="14" t="s">
        <v>79</v>
      </c>
      <c r="B3537" s="2">
        <v>1515099.35</v>
      </c>
    </row>
    <row r="3538" spans="1:8" ht="17.25" thickBot="1" x14ac:dyDescent="0.35"/>
    <row r="3539" spans="1:8" ht="33" customHeight="1" x14ac:dyDescent="0.3">
      <c r="A3539" s="24" t="s">
        <v>80</v>
      </c>
      <c r="B3539" s="26"/>
    </row>
    <row r="3540" spans="1:8" ht="33.75" thickBot="1" x14ac:dyDescent="0.35">
      <c r="A3540" s="13" t="s">
        <v>81</v>
      </c>
      <c r="B3540" s="2" t="s">
        <v>82</v>
      </c>
    </row>
    <row r="3541" spans="1:8" ht="25.5" x14ac:dyDescent="0.3">
      <c r="A3541" s="14" t="s">
        <v>83</v>
      </c>
      <c r="B3541" s="2" t="s">
        <v>84</v>
      </c>
    </row>
    <row r="3542" spans="1:8" ht="17.25" thickBot="1" x14ac:dyDescent="0.35"/>
    <row r="3543" spans="1:8" ht="16.5" customHeight="1" x14ac:dyDescent="0.3">
      <c r="A3543" s="24" t="s">
        <v>130</v>
      </c>
      <c r="B3543" s="26"/>
      <c r="C3543" s="26"/>
      <c r="D3543" s="26"/>
      <c r="E3543" s="26"/>
      <c r="F3543" s="26"/>
    </row>
    <row r="3544" spans="1:8" x14ac:dyDescent="0.3">
      <c r="A3544" s="25" t="s">
        <v>131</v>
      </c>
      <c r="B3544" s="27" t="s">
        <v>46</v>
      </c>
      <c r="C3544" s="27" t="s">
        <v>132</v>
      </c>
      <c r="D3544" s="3" t="s">
        <v>133</v>
      </c>
      <c r="E3544" s="27" t="s">
        <v>135</v>
      </c>
      <c r="F3544" s="27"/>
    </row>
    <row r="3545" spans="1:8" x14ac:dyDescent="0.3">
      <c r="A3545" s="25"/>
      <c r="B3545" s="27"/>
      <c r="C3545" s="27"/>
      <c r="D3545" s="3" t="s">
        <v>134</v>
      </c>
      <c r="E3545" s="27"/>
      <c r="F3545" s="27"/>
    </row>
    <row r="3546" spans="1:8" ht="17.25" thickBot="1" x14ac:dyDescent="0.35">
      <c r="A3546" s="13" t="s">
        <v>66</v>
      </c>
      <c r="B3546" s="2">
        <v>3498</v>
      </c>
      <c r="C3546" s="2">
        <v>8.5525889999999993</v>
      </c>
      <c r="D3546" s="2">
        <v>1.5415E-2</v>
      </c>
      <c r="E3546" s="2">
        <v>8.5223090999999993</v>
      </c>
      <c r="F3546" s="2">
        <v>8.5828691999999993</v>
      </c>
      <c r="H3546" s="8" t="str">
        <f t="shared" ref="H3546:H3549" si="147">TEXT(C3546,"0.00")&amp;" ("&amp;TEXT(E3546,"0.00")&amp;" to "&amp;TEXT(F3546,"0.00")&amp;")"</f>
        <v>8.55 (8.52 to 8.58)</v>
      </c>
    </row>
    <row r="3547" spans="1:8" ht="17.25" thickBot="1" x14ac:dyDescent="0.35">
      <c r="A3547" s="13" t="s">
        <v>67</v>
      </c>
      <c r="B3547" s="2">
        <v>3498</v>
      </c>
      <c r="C3547" s="2">
        <v>0.65426499999999999</v>
      </c>
      <c r="D3547" s="2">
        <v>1.701E-3</v>
      </c>
      <c r="E3547" s="2">
        <v>0.65092419999999995</v>
      </c>
      <c r="F3547" s="2">
        <v>0.65760580000000002</v>
      </c>
      <c r="H3547" s="8" t="str">
        <f t="shared" si="147"/>
        <v>0.65 (0.65 to 0.66)</v>
      </c>
    </row>
    <row r="3548" spans="1:8" ht="17.25" thickBot="1" x14ac:dyDescent="0.35">
      <c r="A3548" s="13" t="s">
        <v>68</v>
      </c>
      <c r="B3548" s="2">
        <v>3498</v>
      </c>
      <c r="C3548" s="2">
        <v>0.35048499999999999</v>
      </c>
      <c r="D3548" s="2">
        <v>7.1190000000000003E-3</v>
      </c>
      <c r="E3548" s="2">
        <v>0.33650150000000001</v>
      </c>
      <c r="F3548" s="2">
        <v>0.36446909999999999</v>
      </c>
      <c r="H3548" s="8" t="str">
        <f t="shared" si="147"/>
        <v>0.35 (0.34 to 0.36)</v>
      </c>
    </row>
    <row r="3549" spans="1:8" x14ac:dyDescent="0.3">
      <c r="A3549" s="14" t="s">
        <v>69</v>
      </c>
      <c r="B3549" s="2">
        <v>3498</v>
      </c>
      <c r="C3549" s="2">
        <v>35.525368</v>
      </c>
      <c r="D3549" s="2">
        <v>0.16802900000000001</v>
      </c>
      <c r="E3549" s="2">
        <v>35.195311799999999</v>
      </c>
      <c r="F3549" s="2">
        <v>35.855424599999999</v>
      </c>
      <c r="H3549" s="8" t="str">
        <f t="shared" si="147"/>
        <v>35.53 (35.20 to 35.86)</v>
      </c>
    </row>
    <row r="3553" spans="1:6" x14ac:dyDescent="0.3">
      <c r="A3553" s="1" t="s">
        <v>129</v>
      </c>
    </row>
    <row r="3555" spans="1:6" x14ac:dyDescent="0.3">
      <c r="A3555" s="1" t="s">
        <v>290</v>
      </c>
    </row>
    <row r="3556" spans="1:6" ht="17.25" thickBot="1" x14ac:dyDescent="0.35"/>
    <row r="3557" spans="1:6" ht="16.5" customHeight="1" x14ac:dyDescent="0.3">
      <c r="A3557" s="24" t="s">
        <v>75</v>
      </c>
      <c r="B3557" s="26"/>
    </row>
    <row r="3558" spans="1:6" ht="26.25" thickBot="1" x14ac:dyDescent="0.35">
      <c r="A3558" s="13" t="s">
        <v>76</v>
      </c>
      <c r="B3558" s="2">
        <v>25</v>
      </c>
    </row>
    <row r="3559" spans="1:6" ht="26.25" thickBot="1" x14ac:dyDescent="0.35">
      <c r="A3559" s="13" t="s">
        <v>77</v>
      </c>
      <c r="B3559" s="2">
        <v>576</v>
      </c>
    </row>
    <row r="3560" spans="1:6" ht="39" thickBot="1" x14ac:dyDescent="0.35">
      <c r="A3560" s="13" t="s">
        <v>78</v>
      </c>
      <c r="B3560" s="2">
        <v>7682</v>
      </c>
    </row>
    <row r="3561" spans="1:6" ht="25.5" x14ac:dyDescent="0.3">
      <c r="A3561" s="14" t="s">
        <v>79</v>
      </c>
      <c r="B3561" s="2">
        <v>3257528.41</v>
      </c>
    </row>
    <row r="3562" spans="1:6" ht="17.25" thickBot="1" x14ac:dyDescent="0.35"/>
    <row r="3563" spans="1:6" ht="33" customHeight="1" x14ac:dyDescent="0.3">
      <c r="A3563" s="24" t="s">
        <v>80</v>
      </c>
      <c r="B3563" s="26"/>
    </row>
    <row r="3564" spans="1:6" ht="33.75" thickBot="1" x14ac:dyDescent="0.35">
      <c r="A3564" s="13" t="s">
        <v>81</v>
      </c>
      <c r="B3564" s="2" t="s">
        <v>82</v>
      </c>
    </row>
    <row r="3565" spans="1:6" ht="25.5" x14ac:dyDescent="0.3">
      <c r="A3565" s="14" t="s">
        <v>83</v>
      </c>
      <c r="B3565" s="2" t="s">
        <v>84</v>
      </c>
    </row>
    <row r="3566" spans="1:6" ht="17.25" thickBot="1" x14ac:dyDescent="0.35"/>
    <row r="3567" spans="1:6" ht="16.5" customHeight="1" x14ac:dyDescent="0.3">
      <c r="A3567" s="24" t="s">
        <v>130</v>
      </c>
      <c r="B3567" s="26"/>
      <c r="C3567" s="26"/>
      <c r="D3567" s="26"/>
      <c r="E3567" s="26"/>
      <c r="F3567" s="26"/>
    </row>
    <row r="3568" spans="1:6" x14ac:dyDescent="0.3">
      <c r="A3568" s="25" t="s">
        <v>131</v>
      </c>
      <c r="B3568" s="27" t="s">
        <v>46</v>
      </c>
      <c r="C3568" s="27" t="s">
        <v>132</v>
      </c>
      <c r="D3568" s="3" t="s">
        <v>133</v>
      </c>
      <c r="E3568" s="27" t="s">
        <v>135</v>
      </c>
      <c r="F3568" s="27"/>
    </row>
    <row r="3569" spans="1:8" x14ac:dyDescent="0.3">
      <c r="A3569" s="25"/>
      <c r="B3569" s="27"/>
      <c r="C3569" s="27"/>
      <c r="D3569" s="3" t="s">
        <v>134</v>
      </c>
      <c r="E3569" s="27"/>
      <c r="F3569" s="27"/>
    </row>
    <row r="3570" spans="1:8" ht="17.25" thickBot="1" x14ac:dyDescent="0.35">
      <c r="A3570" s="13" t="s">
        <v>66</v>
      </c>
      <c r="B3570" s="2">
        <v>7682</v>
      </c>
      <c r="C3570" s="2">
        <v>8.5493749999999995</v>
      </c>
      <c r="D3570" s="2">
        <v>9.8960000000000003E-3</v>
      </c>
      <c r="E3570" s="2">
        <v>8.5299365999999992</v>
      </c>
      <c r="F3570" s="2">
        <v>8.5688139999999997</v>
      </c>
      <c r="H3570" s="8" t="str">
        <f t="shared" ref="H3570:H3573" si="148">TEXT(C3570,"0.00")&amp;" ("&amp;TEXT(E3570,"0.00")&amp;" to "&amp;TEXT(F3570,"0.00")&amp;")"</f>
        <v>8.55 (8.53 to 8.57)</v>
      </c>
    </row>
    <row r="3571" spans="1:8" ht="17.25" thickBot="1" x14ac:dyDescent="0.35">
      <c r="A3571" s="13" t="s">
        <v>67</v>
      </c>
      <c r="B3571" s="2">
        <v>7682</v>
      </c>
      <c r="C3571" s="2">
        <v>0.65608699999999998</v>
      </c>
      <c r="D3571" s="2">
        <v>1.155E-3</v>
      </c>
      <c r="E3571" s="2">
        <v>0.65381920000000004</v>
      </c>
      <c r="F3571" s="2">
        <v>0.65835560000000004</v>
      </c>
      <c r="H3571" s="8" t="str">
        <f t="shared" si="148"/>
        <v>0.66 (0.65 to 0.66)</v>
      </c>
    </row>
    <row r="3572" spans="1:8" ht="17.25" thickBot="1" x14ac:dyDescent="0.35">
      <c r="A3572" s="13" t="s">
        <v>68</v>
      </c>
      <c r="B3572" s="2">
        <v>7682</v>
      </c>
      <c r="C3572" s="2">
        <v>0.35400399999999999</v>
      </c>
      <c r="D3572" s="2">
        <v>4.7200000000000002E-3</v>
      </c>
      <c r="E3572" s="2">
        <v>0.3447325</v>
      </c>
      <c r="F3572" s="2">
        <v>0.36327599999999999</v>
      </c>
      <c r="H3572" s="8" t="str">
        <f t="shared" si="148"/>
        <v>0.35 (0.34 to 0.36)</v>
      </c>
    </row>
    <row r="3573" spans="1:8" x14ac:dyDescent="0.3">
      <c r="A3573" s="14" t="s">
        <v>69</v>
      </c>
      <c r="B3573" s="2">
        <v>7682</v>
      </c>
      <c r="C3573" s="2">
        <v>35.448619000000001</v>
      </c>
      <c r="D3573" s="2">
        <v>0.106419</v>
      </c>
      <c r="E3573" s="2">
        <v>35.239582400000003</v>
      </c>
      <c r="F3573" s="2">
        <v>35.657654700000002</v>
      </c>
      <c r="H3573" s="8" t="str">
        <f t="shared" si="148"/>
        <v>35.45 (35.24 to 35.66)</v>
      </c>
    </row>
    <row r="3577" spans="1:8" x14ac:dyDescent="0.3">
      <c r="A3577" s="1" t="s">
        <v>129</v>
      </c>
    </row>
    <row r="3579" spans="1:8" x14ac:dyDescent="0.3">
      <c r="A3579" s="1" t="s">
        <v>291</v>
      </c>
    </row>
    <row r="3580" spans="1:8" ht="17.25" thickBot="1" x14ac:dyDescent="0.35"/>
    <row r="3581" spans="1:8" ht="16.5" customHeight="1" x14ac:dyDescent="0.3">
      <c r="A3581" s="24" t="s">
        <v>75</v>
      </c>
      <c r="B3581" s="26"/>
    </row>
    <row r="3582" spans="1:8" ht="26.25" thickBot="1" x14ac:dyDescent="0.35">
      <c r="A3582" s="13" t="s">
        <v>76</v>
      </c>
      <c r="B3582" s="2">
        <v>25</v>
      </c>
    </row>
    <row r="3583" spans="1:8" ht="26.25" thickBot="1" x14ac:dyDescent="0.35">
      <c r="A3583" s="13" t="s">
        <v>77</v>
      </c>
      <c r="B3583" s="2">
        <v>543</v>
      </c>
    </row>
    <row r="3584" spans="1:8" ht="39" thickBot="1" x14ac:dyDescent="0.35">
      <c r="A3584" s="13" t="s">
        <v>78</v>
      </c>
      <c r="B3584" s="2">
        <v>1936</v>
      </c>
    </row>
    <row r="3585" spans="1:8" ht="25.5" x14ac:dyDescent="0.3">
      <c r="A3585" s="14" t="s">
        <v>79</v>
      </c>
      <c r="B3585" s="2">
        <v>688037.18700000003</v>
      </c>
    </row>
    <row r="3586" spans="1:8" ht="17.25" thickBot="1" x14ac:dyDescent="0.35"/>
    <row r="3587" spans="1:8" ht="33" customHeight="1" x14ac:dyDescent="0.3">
      <c r="A3587" s="24" t="s">
        <v>80</v>
      </c>
      <c r="B3587" s="26"/>
    </row>
    <row r="3588" spans="1:8" ht="33.75" thickBot="1" x14ac:dyDescent="0.35">
      <c r="A3588" s="13" t="s">
        <v>81</v>
      </c>
      <c r="B3588" s="2" t="s">
        <v>82</v>
      </c>
    </row>
    <row r="3589" spans="1:8" ht="25.5" x14ac:dyDescent="0.3">
      <c r="A3589" s="14" t="s">
        <v>83</v>
      </c>
      <c r="B3589" s="2" t="s">
        <v>84</v>
      </c>
    </row>
    <row r="3590" spans="1:8" ht="17.25" thickBot="1" x14ac:dyDescent="0.35"/>
    <row r="3591" spans="1:8" ht="16.5" customHeight="1" x14ac:dyDescent="0.3">
      <c r="A3591" s="24" t="s">
        <v>130</v>
      </c>
      <c r="B3591" s="26"/>
      <c r="C3591" s="26"/>
      <c r="D3591" s="26"/>
      <c r="E3591" s="26"/>
      <c r="F3591" s="26"/>
    </row>
    <row r="3592" spans="1:8" x14ac:dyDescent="0.3">
      <c r="A3592" s="25" t="s">
        <v>131</v>
      </c>
      <c r="B3592" s="27" t="s">
        <v>46</v>
      </c>
      <c r="C3592" s="27" t="s">
        <v>132</v>
      </c>
      <c r="D3592" s="3" t="s">
        <v>133</v>
      </c>
      <c r="E3592" s="27" t="s">
        <v>135</v>
      </c>
      <c r="F3592" s="27"/>
    </row>
    <row r="3593" spans="1:8" x14ac:dyDescent="0.3">
      <c r="A3593" s="25"/>
      <c r="B3593" s="27"/>
      <c r="C3593" s="27"/>
      <c r="D3593" s="3" t="s">
        <v>134</v>
      </c>
      <c r="E3593" s="27"/>
      <c r="F3593" s="27"/>
    </row>
    <row r="3594" spans="1:8" ht="17.25" thickBot="1" x14ac:dyDescent="0.35">
      <c r="A3594" s="13" t="s">
        <v>66</v>
      </c>
      <c r="B3594" s="2">
        <v>1936</v>
      </c>
      <c r="C3594" s="2">
        <v>8.6229289999999992</v>
      </c>
      <c r="D3594" s="2">
        <v>1.9002999999999999E-2</v>
      </c>
      <c r="E3594" s="2">
        <v>8.5855967999999994</v>
      </c>
      <c r="F3594" s="2">
        <v>8.6602602999999991</v>
      </c>
      <c r="H3594" s="8" t="str">
        <f t="shared" ref="H3594:H3597" si="149">TEXT(C3594,"0.00")&amp;" ("&amp;TEXT(E3594,"0.00")&amp;" to "&amp;TEXT(F3594,"0.00")&amp;")"</f>
        <v>8.62 (8.59 to 8.66)</v>
      </c>
    </row>
    <row r="3595" spans="1:8" ht="17.25" thickBot="1" x14ac:dyDescent="0.35">
      <c r="A3595" s="13" t="s">
        <v>67</v>
      </c>
      <c r="B3595" s="2">
        <v>1936</v>
      </c>
      <c r="C3595" s="2">
        <v>0.67259800000000003</v>
      </c>
      <c r="D3595" s="2">
        <v>2.3679999999999999E-3</v>
      </c>
      <c r="E3595" s="2">
        <v>0.66794520000000002</v>
      </c>
      <c r="F3595" s="2">
        <v>0.67725040000000003</v>
      </c>
      <c r="H3595" s="8" t="str">
        <f t="shared" si="149"/>
        <v>0.67 (0.67 to 0.68)</v>
      </c>
    </row>
    <row r="3596" spans="1:8" ht="17.25" thickBot="1" x14ac:dyDescent="0.35">
      <c r="A3596" s="13" t="s">
        <v>68</v>
      </c>
      <c r="B3596" s="2">
        <v>1936</v>
      </c>
      <c r="C3596" s="2">
        <v>0.383411</v>
      </c>
      <c r="D3596" s="2">
        <v>9.3109999999999998E-3</v>
      </c>
      <c r="E3596" s="2">
        <v>0.36511900000000003</v>
      </c>
      <c r="F3596" s="2">
        <v>0.4017038</v>
      </c>
      <c r="H3596" s="8" t="str">
        <f t="shared" si="149"/>
        <v>0.38 (0.37 to 0.40)</v>
      </c>
    </row>
    <row r="3597" spans="1:8" x14ac:dyDescent="0.3">
      <c r="A3597" s="14" t="s">
        <v>69</v>
      </c>
      <c r="B3597" s="2">
        <v>1936</v>
      </c>
      <c r="C3597" s="2">
        <v>36.067093999999997</v>
      </c>
      <c r="D3597" s="2">
        <v>0.23521300000000001</v>
      </c>
      <c r="E3597" s="2">
        <v>35.6050057</v>
      </c>
      <c r="F3597" s="2">
        <v>36.529181999999999</v>
      </c>
      <c r="H3597" s="8" t="str">
        <f t="shared" si="149"/>
        <v>36.07 (35.61 to 36.53)</v>
      </c>
    </row>
    <row r="3601" spans="1:6" x14ac:dyDescent="0.3">
      <c r="A3601" s="1" t="s">
        <v>129</v>
      </c>
    </row>
    <row r="3603" spans="1:6" x14ac:dyDescent="0.3">
      <c r="A3603" s="1" t="s">
        <v>292</v>
      </c>
    </row>
    <row r="3604" spans="1:6" ht="17.25" thickBot="1" x14ac:dyDescent="0.35"/>
    <row r="3605" spans="1:6" ht="16.5" customHeight="1" x14ac:dyDescent="0.3">
      <c r="A3605" s="24" t="s">
        <v>75</v>
      </c>
      <c r="B3605" s="26"/>
    </row>
    <row r="3606" spans="1:6" ht="26.25" thickBot="1" x14ac:dyDescent="0.35">
      <c r="A3606" s="13" t="s">
        <v>76</v>
      </c>
      <c r="B3606" s="2">
        <v>25</v>
      </c>
    </row>
    <row r="3607" spans="1:6" ht="26.25" thickBot="1" x14ac:dyDescent="0.35">
      <c r="A3607" s="13" t="s">
        <v>77</v>
      </c>
      <c r="B3607" s="2">
        <v>568</v>
      </c>
    </row>
    <row r="3608" spans="1:6" ht="39" thickBot="1" x14ac:dyDescent="0.35">
      <c r="A3608" s="13" t="s">
        <v>78</v>
      </c>
      <c r="B3608" s="2">
        <v>2810</v>
      </c>
    </row>
    <row r="3609" spans="1:6" ht="25.5" x14ac:dyDescent="0.3">
      <c r="A3609" s="14" t="s">
        <v>79</v>
      </c>
      <c r="B3609" s="2">
        <v>1416754.48</v>
      </c>
    </row>
    <row r="3610" spans="1:6" ht="17.25" thickBot="1" x14ac:dyDescent="0.35"/>
    <row r="3611" spans="1:6" ht="33" customHeight="1" x14ac:dyDescent="0.3">
      <c r="A3611" s="24" t="s">
        <v>80</v>
      </c>
      <c r="B3611" s="26"/>
    </row>
    <row r="3612" spans="1:6" ht="33.75" thickBot="1" x14ac:dyDescent="0.35">
      <c r="A3612" s="13" t="s">
        <v>81</v>
      </c>
      <c r="B3612" s="2" t="s">
        <v>82</v>
      </c>
    </row>
    <row r="3613" spans="1:6" ht="25.5" x14ac:dyDescent="0.3">
      <c r="A3613" s="14" t="s">
        <v>83</v>
      </c>
      <c r="B3613" s="2" t="s">
        <v>84</v>
      </c>
    </row>
    <row r="3614" spans="1:6" ht="17.25" thickBot="1" x14ac:dyDescent="0.35"/>
    <row r="3615" spans="1:6" ht="16.5" customHeight="1" x14ac:dyDescent="0.3">
      <c r="A3615" s="24" t="s">
        <v>130</v>
      </c>
      <c r="B3615" s="26"/>
      <c r="C3615" s="26"/>
      <c r="D3615" s="26"/>
      <c r="E3615" s="26"/>
      <c r="F3615" s="26"/>
    </row>
    <row r="3616" spans="1:6" x14ac:dyDescent="0.3">
      <c r="A3616" s="25" t="s">
        <v>131</v>
      </c>
      <c r="B3616" s="27" t="s">
        <v>46</v>
      </c>
      <c r="C3616" s="27" t="s">
        <v>132</v>
      </c>
      <c r="D3616" s="3" t="s">
        <v>133</v>
      </c>
      <c r="E3616" s="27" t="s">
        <v>135</v>
      </c>
      <c r="F3616" s="27"/>
    </row>
    <row r="3617" spans="1:8" x14ac:dyDescent="0.3">
      <c r="A3617" s="25"/>
      <c r="B3617" s="27"/>
      <c r="C3617" s="27"/>
      <c r="D3617" s="3" t="s">
        <v>134</v>
      </c>
      <c r="E3617" s="27"/>
      <c r="F3617" s="27"/>
    </row>
    <row r="3618" spans="1:8" ht="17.25" thickBot="1" x14ac:dyDescent="0.35">
      <c r="A3618" s="13" t="s">
        <v>66</v>
      </c>
      <c r="B3618" s="2">
        <v>2810</v>
      </c>
      <c r="C3618" s="2">
        <v>8.6141740000000002</v>
      </c>
      <c r="D3618" s="2">
        <v>1.6556999999999999E-2</v>
      </c>
      <c r="E3618" s="2">
        <v>8.5816511000000002</v>
      </c>
      <c r="F3618" s="2">
        <v>8.6466969000000002</v>
      </c>
      <c r="H3618" s="8" t="str">
        <f t="shared" ref="H3618:H3621" si="150">TEXT(C3618,"0.00")&amp;" ("&amp;TEXT(E3618,"0.00")&amp;" to "&amp;TEXT(F3618,"0.00")&amp;")"</f>
        <v>8.61 (8.58 to 8.65)</v>
      </c>
    </row>
    <row r="3619" spans="1:8" ht="17.25" thickBot="1" x14ac:dyDescent="0.35">
      <c r="A3619" s="13" t="s">
        <v>67</v>
      </c>
      <c r="B3619" s="2">
        <v>2810</v>
      </c>
      <c r="C3619" s="2">
        <v>0.65860799999999997</v>
      </c>
      <c r="D3619" s="2">
        <v>1.7539999999999999E-3</v>
      </c>
      <c r="E3619" s="2">
        <v>0.65516220000000003</v>
      </c>
      <c r="F3619" s="2">
        <v>0.66205290000000006</v>
      </c>
      <c r="H3619" s="8" t="str">
        <f t="shared" si="150"/>
        <v>0.66 (0.66 to 0.66)</v>
      </c>
    </row>
    <row r="3620" spans="1:8" ht="17.25" thickBot="1" x14ac:dyDescent="0.35">
      <c r="A3620" s="13" t="s">
        <v>68</v>
      </c>
      <c r="B3620" s="2">
        <v>2810</v>
      </c>
      <c r="C3620" s="2">
        <v>0.36388799999999999</v>
      </c>
      <c r="D3620" s="2">
        <v>7.9660000000000009E-3</v>
      </c>
      <c r="E3620" s="2">
        <v>0.3482403</v>
      </c>
      <c r="F3620" s="2">
        <v>0.37953480000000001</v>
      </c>
      <c r="H3620" s="8" t="str">
        <f t="shared" si="150"/>
        <v>0.36 (0.35 to 0.38)</v>
      </c>
    </row>
    <row r="3621" spans="1:8" x14ac:dyDescent="0.3">
      <c r="A3621" s="14" t="s">
        <v>69</v>
      </c>
      <c r="B3621" s="2">
        <v>2810</v>
      </c>
      <c r="C3621" s="2">
        <v>35.798257999999997</v>
      </c>
      <c r="D3621" s="2">
        <v>0.178287</v>
      </c>
      <c r="E3621" s="2">
        <v>35.4480407</v>
      </c>
      <c r="F3621" s="2">
        <v>36.148476000000002</v>
      </c>
      <c r="H3621" s="8" t="str">
        <f t="shared" si="150"/>
        <v>35.80 (35.45 to 36.15)</v>
      </c>
    </row>
    <row r="3625" spans="1:8" x14ac:dyDescent="0.3">
      <c r="A3625" s="1" t="s">
        <v>129</v>
      </c>
    </row>
    <row r="3627" spans="1:8" x14ac:dyDescent="0.3">
      <c r="A3627" s="1" t="s">
        <v>293</v>
      </c>
    </row>
    <row r="3628" spans="1:8" ht="17.25" thickBot="1" x14ac:dyDescent="0.35"/>
    <row r="3629" spans="1:8" ht="16.5" customHeight="1" x14ac:dyDescent="0.3">
      <c r="A3629" s="24" t="s">
        <v>75</v>
      </c>
      <c r="B3629" s="26"/>
    </row>
    <row r="3630" spans="1:8" ht="26.25" thickBot="1" x14ac:dyDescent="0.35">
      <c r="A3630" s="13" t="s">
        <v>76</v>
      </c>
      <c r="B3630" s="2">
        <v>25</v>
      </c>
    </row>
    <row r="3631" spans="1:8" ht="26.25" thickBot="1" x14ac:dyDescent="0.35">
      <c r="A3631" s="13" t="s">
        <v>77</v>
      </c>
      <c r="B3631" s="2">
        <v>575</v>
      </c>
    </row>
    <row r="3632" spans="1:8" ht="39" thickBot="1" x14ac:dyDescent="0.35">
      <c r="A3632" s="13" t="s">
        <v>78</v>
      </c>
      <c r="B3632" s="2">
        <v>6806</v>
      </c>
    </row>
    <row r="3633" spans="1:8" ht="25.5" x14ac:dyDescent="0.3">
      <c r="A3633" s="14" t="s">
        <v>79</v>
      </c>
      <c r="B3633" s="2">
        <v>3197849.23</v>
      </c>
    </row>
    <row r="3634" spans="1:8" ht="17.25" thickBot="1" x14ac:dyDescent="0.35"/>
    <row r="3635" spans="1:8" ht="33" customHeight="1" x14ac:dyDescent="0.3">
      <c r="A3635" s="24" t="s">
        <v>80</v>
      </c>
      <c r="B3635" s="26"/>
    </row>
    <row r="3636" spans="1:8" ht="33.75" thickBot="1" x14ac:dyDescent="0.35">
      <c r="A3636" s="13" t="s">
        <v>81</v>
      </c>
      <c r="B3636" s="2" t="s">
        <v>82</v>
      </c>
    </row>
    <row r="3637" spans="1:8" ht="25.5" x14ac:dyDescent="0.3">
      <c r="A3637" s="14" t="s">
        <v>83</v>
      </c>
      <c r="B3637" s="2" t="s">
        <v>84</v>
      </c>
    </row>
    <row r="3638" spans="1:8" ht="17.25" thickBot="1" x14ac:dyDescent="0.35"/>
    <row r="3639" spans="1:8" ht="16.5" customHeight="1" x14ac:dyDescent="0.3">
      <c r="A3639" s="24" t="s">
        <v>130</v>
      </c>
      <c r="B3639" s="26"/>
      <c r="C3639" s="26"/>
      <c r="D3639" s="26"/>
      <c r="E3639" s="26"/>
      <c r="F3639" s="26"/>
    </row>
    <row r="3640" spans="1:8" x14ac:dyDescent="0.3">
      <c r="A3640" s="25" t="s">
        <v>131</v>
      </c>
      <c r="B3640" s="27" t="s">
        <v>46</v>
      </c>
      <c r="C3640" s="27" t="s">
        <v>132</v>
      </c>
      <c r="D3640" s="3" t="s">
        <v>133</v>
      </c>
      <c r="E3640" s="27" t="s">
        <v>135</v>
      </c>
      <c r="F3640" s="27"/>
    </row>
    <row r="3641" spans="1:8" x14ac:dyDescent="0.3">
      <c r="A3641" s="25"/>
      <c r="B3641" s="27"/>
      <c r="C3641" s="27"/>
      <c r="D3641" s="3" t="s">
        <v>134</v>
      </c>
      <c r="E3641" s="27"/>
      <c r="F3641" s="27"/>
    </row>
    <row r="3642" spans="1:8" ht="17.25" thickBot="1" x14ac:dyDescent="0.35">
      <c r="A3642" s="13" t="s">
        <v>66</v>
      </c>
      <c r="B3642" s="2">
        <v>6806</v>
      </c>
      <c r="C3642" s="2">
        <v>8.5693579999999994</v>
      </c>
      <c r="D3642" s="2">
        <v>1.0413E-2</v>
      </c>
      <c r="E3642" s="2">
        <v>8.5489031000000004</v>
      </c>
      <c r="F3642" s="2">
        <v>8.5898129999999995</v>
      </c>
      <c r="H3642" s="8" t="str">
        <f t="shared" ref="H3642:H3645" si="151">TEXT(C3642,"0.00")&amp;" ("&amp;TEXT(E3642,"0.00")&amp;" to "&amp;TEXT(F3642,"0.00")&amp;")"</f>
        <v>8.57 (8.55 to 8.59)</v>
      </c>
    </row>
    <row r="3643" spans="1:8" ht="17.25" thickBot="1" x14ac:dyDescent="0.35">
      <c r="A3643" s="13" t="s">
        <v>67</v>
      </c>
      <c r="B3643" s="2">
        <v>6806</v>
      </c>
      <c r="C3643" s="2">
        <v>0.65649400000000002</v>
      </c>
      <c r="D3643" s="2">
        <v>1.2279999999999999E-3</v>
      </c>
      <c r="E3643" s="2">
        <v>0.65408279999999996</v>
      </c>
      <c r="F3643" s="2">
        <v>0.65890559999999998</v>
      </c>
      <c r="H3643" s="8" t="str">
        <f t="shared" si="151"/>
        <v>0.66 (0.65 to 0.66)</v>
      </c>
    </row>
    <row r="3644" spans="1:8" ht="17.25" thickBot="1" x14ac:dyDescent="0.35">
      <c r="A3644" s="13" t="s">
        <v>68</v>
      </c>
      <c r="B3644" s="2">
        <v>6806</v>
      </c>
      <c r="C3644" s="2">
        <v>0.33845399999999998</v>
      </c>
      <c r="D3644" s="2">
        <v>4.9170000000000004E-3</v>
      </c>
      <c r="E3644" s="2">
        <v>0.32879609999999998</v>
      </c>
      <c r="F3644" s="2">
        <v>0.34811249999999999</v>
      </c>
      <c r="H3644" s="8" t="str">
        <f t="shared" si="151"/>
        <v>0.34 (0.33 to 0.35)</v>
      </c>
    </row>
    <row r="3645" spans="1:8" x14ac:dyDescent="0.3">
      <c r="A3645" s="14" t="s">
        <v>69</v>
      </c>
      <c r="B3645" s="2">
        <v>6806</v>
      </c>
      <c r="C3645" s="2">
        <v>35.088661000000002</v>
      </c>
      <c r="D3645" s="2">
        <v>0.104937</v>
      </c>
      <c r="E3645" s="2">
        <v>34.882535099999998</v>
      </c>
      <c r="F3645" s="2">
        <v>35.294787599999999</v>
      </c>
      <c r="H3645" s="8" t="str">
        <f t="shared" si="151"/>
        <v>35.09 (34.88 to 35.29)</v>
      </c>
    </row>
    <row r="3649" spans="1:6" x14ac:dyDescent="0.3">
      <c r="A3649" s="1" t="s">
        <v>129</v>
      </c>
    </row>
    <row r="3651" spans="1:6" x14ac:dyDescent="0.3">
      <c r="A3651" s="1" t="s">
        <v>294</v>
      </c>
    </row>
    <row r="3652" spans="1:6" ht="17.25" thickBot="1" x14ac:dyDescent="0.35"/>
    <row r="3653" spans="1:6" ht="16.5" customHeight="1" x14ac:dyDescent="0.3">
      <c r="A3653" s="24" t="s">
        <v>75</v>
      </c>
      <c r="B3653" s="26"/>
    </row>
    <row r="3654" spans="1:6" ht="26.25" thickBot="1" x14ac:dyDescent="0.35">
      <c r="A3654" s="13" t="s">
        <v>76</v>
      </c>
      <c r="B3654" s="2">
        <v>25</v>
      </c>
    </row>
    <row r="3655" spans="1:6" ht="26.25" thickBot="1" x14ac:dyDescent="0.35">
      <c r="A3655" s="13" t="s">
        <v>77</v>
      </c>
      <c r="B3655" s="2">
        <v>546</v>
      </c>
    </row>
    <row r="3656" spans="1:6" ht="39" thickBot="1" x14ac:dyDescent="0.35">
      <c r="A3656" s="13" t="s">
        <v>78</v>
      </c>
      <c r="B3656" s="2">
        <v>1859</v>
      </c>
    </row>
    <row r="3657" spans="1:6" ht="25.5" x14ac:dyDescent="0.3">
      <c r="A3657" s="14" t="s">
        <v>79</v>
      </c>
      <c r="B3657" s="2">
        <v>779925.30799999996</v>
      </c>
    </row>
    <row r="3658" spans="1:6" ht="17.25" thickBot="1" x14ac:dyDescent="0.35"/>
    <row r="3659" spans="1:6" ht="33" customHeight="1" x14ac:dyDescent="0.3">
      <c r="A3659" s="24" t="s">
        <v>80</v>
      </c>
      <c r="B3659" s="26"/>
    </row>
    <row r="3660" spans="1:6" ht="33.75" thickBot="1" x14ac:dyDescent="0.35">
      <c r="A3660" s="13" t="s">
        <v>81</v>
      </c>
      <c r="B3660" s="2" t="s">
        <v>82</v>
      </c>
    </row>
    <row r="3661" spans="1:6" ht="25.5" x14ac:dyDescent="0.3">
      <c r="A3661" s="14" t="s">
        <v>83</v>
      </c>
      <c r="B3661" s="2" t="s">
        <v>84</v>
      </c>
    </row>
    <row r="3662" spans="1:6" ht="17.25" thickBot="1" x14ac:dyDescent="0.35"/>
    <row r="3663" spans="1:6" ht="16.5" customHeight="1" x14ac:dyDescent="0.3">
      <c r="A3663" s="24" t="s">
        <v>130</v>
      </c>
      <c r="B3663" s="26"/>
      <c r="C3663" s="26"/>
      <c r="D3663" s="26"/>
      <c r="E3663" s="26"/>
      <c r="F3663" s="26"/>
    </row>
    <row r="3664" spans="1:6" x14ac:dyDescent="0.3">
      <c r="A3664" s="25" t="s">
        <v>131</v>
      </c>
      <c r="B3664" s="27" t="s">
        <v>46</v>
      </c>
      <c r="C3664" s="27" t="s">
        <v>132</v>
      </c>
      <c r="D3664" s="3" t="s">
        <v>133</v>
      </c>
      <c r="E3664" s="27" t="s">
        <v>135</v>
      </c>
      <c r="F3664" s="27"/>
    </row>
    <row r="3665" spans="1:8" x14ac:dyDescent="0.3">
      <c r="A3665" s="25"/>
      <c r="B3665" s="27"/>
      <c r="C3665" s="27"/>
      <c r="D3665" s="3" t="s">
        <v>134</v>
      </c>
      <c r="E3665" s="27"/>
      <c r="F3665" s="27"/>
    </row>
    <row r="3666" spans="1:8" ht="17.25" thickBot="1" x14ac:dyDescent="0.35">
      <c r="A3666" s="13" t="s">
        <v>66</v>
      </c>
      <c r="B3666" s="2">
        <v>1859</v>
      </c>
      <c r="C3666" s="2">
        <v>8.6241690000000002</v>
      </c>
      <c r="D3666" s="2">
        <v>1.8584E-2</v>
      </c>
      <c r="E3666" s="2">
        <v>8.5876608999999995</v>
      </c>
      <c r="F3666" s="2">
        <v>8.6606766000000004</v>
      </c>
      <c r="H3666" s="8" t="str">
        <f t="shared" ref="H3666:H3669" si="152">TEXT(C3666,"0.00")&amp;" ("&amp;TEXT(E3666,"0.00")&amp;" to "&amp;TEXT(F3666,"0.00")&amp;")"</f>
        <v>8.62 (8.59 to 8.66)</v>
      </c>
    </row>
    <row r="3667" spans="1:8" ht="17.25" thickBot="1" x14ac:dyDescent="0.35">
      <c r="A3667" s="13" t="s">
        <v>67</v>
      </c>
      <c r="B3667" s="2">
        <v>1859</v>
      </c>
      <c r="C3667" s="2">
        <v>0.66958200000000001</v>
      </c>
      <c r="D3667" s="2">
        <v>2.1619999999999999E-3</v>
      </c>
      <c r="E3667" s="2">
        <v>0.66533520000000002</v>
      </c>
      <c r="F3667" s="2">
        <v>0.67382929999999996</v>
      </c>
      <c r="H3667" s="8" t="str">
        <f t="shared" si="152"/>
        <v>0.67 (0.67 to 0.67)</v>
      </c>
    </row>
    <row r="3668" spans="1:8" ht="17.25" thickBot="1" x14ac:dyDescent="0.35">
      <c r="A3668" s="13" t="s">
        <v>68</v>
      </c>
      <c r="B3668" s="2">
        <v>1859</v>
      </c>
      <c r="C3668" s="2">
        <v>0.36111199999999999</v>
      </c>
      <c r="D3668" s="2">
        <v>9.0399999999999994E-3</v>
      </c>
      <c r="E3668" s="2">
        <v>0.34335310000000002</v>
      </c>
      <c r="F3668" s="2">
        <v>0.37887130000000002</v>
      </c>
      <c r="H3668" s="8" t="str">
        <f t="shared" si="152"/>
        <v>0.36 (0.34 to 0.38)</v>
      </c>
    </row>
    <row r="3669" spans="1:8" x14ac:dyDescent="0.3">
      <c r="A3669" s="14" t="s">
        <v>69</v>
      </c>
      <c r="B3669" s="2">
        <v>1859</v>
      </c>
      <c r="C3669" s="2">
        <v>35.880674999999997</v>
      </c>
      <c r="D3669" s="2">
        <v>0.18821199999999999</v>
      </c>
      <c r="E3669" s="2">
        <v>35.510927199999998</v>
      </c>
      <c r="F3669" s="2">
        <v>36.250422700000001</v>
      </c>
      <c r="H3669" s="8" t="str">
        <f t="shared" si="152"/>
        <v>35.88 (35.51 to 36.25)</v>
      </c>
    </row>
    <row r="3673" spans="1:8" x14ac:dyDescent="0.3">
      <c r="A3673" s="1" t="s">
        <v>129</v>
      </c>
    </row>
    <row r="3675" spans="1:8" x14ac:dyDescent="0.3">
      <c r="A3675" s="1" t="s">
        <v>295</v>
      </c>
    </row>
    <row r="3676" spans="1:8" ht="17.25" thickBot="1" x14ac:dyDescent="0.35"/>
    <row r="3677" spans="1:8" ht="16.5" customHeight="1" x14ac:dyDescent="0.3">
      <c r="A3677" s="24" t="s">
        <v>75</v>
      </c>
      <c r="B3677" s="26"/>
    </row>
    <row r="3678" spans="1:8" ht="26.25" thickBot="1" x14ac:dyDescent="0.35">
      <c r="A3678" s="13" t="s">
        <v>76</v>
      </c>
      <c r="B3678" s="2">
        <v>54</v>
      </c>
    </row>
    <row r="3679" spans="1:8" ht="26.25" thickBot="1" x14ac:dyDescent="0.35">
      <c r="A3679" s="13" t="s">
        <v>77</v>
      </c>
      <c r="B3679" s="2">
        <v>569</v>
      </c>
    </row>
    <row r="3680" spans="1:8" ht="39" thickBot="1" x14ac:dyDescent="0.35">
      <c r="A3680" s="13" t="s">
        <v>78</v>
      </c>
      <c r="B3680" s="2">
        <v>3813</v>
      </c>
    </row>
    <row r="3681" spans="1:8" ht="25.5" x14ac:dyDescent="0.3">
      <c r="A3681" s="14" t="s">
        <v>79</v>
      </c>
      <c r="B3681" s="2">
        <v>1783415.82</v>
      </c>
    </row>
    <row r="3682" spans="1:8" ht="17.25" thickBot="1" x14ac:dyDescent="0.35"/>
    <row r="3683" spans="1:8" ht="33" customHeight="1" x14ac:dyDescent="0.3">
      <c r="A3683" s="24" t="s">
        <v>80</v>
      </c>
      <c r="B3683" s="26"/>
    </row>
    <row r="3684" spans="1:8" ht="33.75" thickBot="1" x14ac:dyDescent="0.35">
      <c r="A3684" s="13" t="s">
        <v>81</v>
      </c>
      <c r="B3684" s="2" t="s">
        <v>82</v>
      </c>
    </row>
    <row r="3685" spans="1:8" ht="25.5" x14ac:dyDescent="0.3">
      <c r="A3685" s="14" t="s">
        <v>83</v>
      </c>
      <c r="B3685" s="2" t="s">
        <v>84</v>
      </c>
    </row>
    <row r="3686" spans="1:8" ht="17.25" thickBot="1" x14ac:dyDescent="0.35"/>
    <row r="3687" spans="1:8" ht="16.5" customHeight="1" x14ac:dyDescent="0.3">
      <c r="A3687" s="24" t="s">
        <v>130</v>
      </c>
      <c r="B3687" s="26"/>
      <c r="C3687" s="26"/>
      <c r="D3687" s="26"/>
      <c r="E3687" s="26"/>
      <c r="F3687" s="26"/>
    </row>
    <row r="3688" spans="1:8" x14ac:dyDescent="0.3">
      <c r="A3688" s="25" t="s">
        <v>131</v>
      </c>
      <c r="B3688" s="27" t="s">
        <v>46</v>
      </c>
      <c r="C3688" s="27" t="s">
        <v>132</v>
      </c>
      <c r="D3688" s="3" t="s">
        <v>133</v>
      </c>
      <c r="E3688" s="27" t="s">
        <v>135</v>
      </c>
      <c r="F3688" s="27"/>
    </row>
    <row r="3689" spans="1:8" x14ac:dyDescent="0.3">
      <c r="A3689" s="25"/>
      <c r="B3689" s="27"/>
      <c r="C3689" s="27"/>
      <c r="D3689" s="3" t="s">
        <v>134</v>
      </c>
      <c r="E3689" s="27"/>
      <c r="F3689" s="27"/>
    </row>
    <row r="3690" spans="1:8" ht="17.25" thickBot="1" x14ac:dyDescent="0.35">
      <c r="A3690" s="13" t="s">
        <v>66</v>
      </c>
      <c r="B3690" s="2">
        <v>3813</v>
      </c>
      <c r="C3690" s="2">
        <v>8.6002170000000007</v>
      </c>
      <c r="D3690" s="2">
        <v>1.3226E-2</v>
      </c>
      <c r="E3690" s="2">
        <v>8.5742344999999993</v>
      </c>
      <c r="F3690" s="2">
        <v>8.6261995999999996</v>
      </c>
      <c r="H3690" s="8" t="str">
        <f t="shared" ref="H3690:H3693" si="153">TEXT(C3690,"0.00")&amp;" ("&amp;TEXT(E3690,"0.00")&amp;" to "&amp;TEXT(F3690,"0.00")&amp;")"</f>
        <v>8.60 (8.57 to 8.63)</v>
      </c>
    </row>
    <row r="3691" spans="1:8" ht="17.25" thickBot="1" x14ac:dyDescent="0.35">
      <c r="A3691" s="13" t="s">
        <v>67</v>
      </c>
      <c r="B3691" s="2">
        <v>3813</v>
      </c>
      <c r="C3691" s="2">
        <v>0.65996200000000005</v>
      </c>
      <c r="D3691" s="2">
        <v>1.5120000000000001E-3</v>
      </c>
      <c r="E3691" s="2">
        <v>0.65699149999999995</v>
      </c>
      <c r="F3691" s="2">
        <v>0.66293340000000001</v>
      </c>
      <c r="H3691" s="8" t="str">
        <f t="shared" si="153"/>
        <v>0.66 (0.66 to 0.66)</v>
      </c>
    </row>
    <row r="3692" spans="1:8" ht="17.25" thickBot="1" x14ac:dyDescent="0.35">
      <c r="A3692" s="13" t="s">
        <v>68</v>
      </c>
      <c r="B3692" s="2">
        <v>3813</v>
      </c>
      <c r="C3692" s="2">
        <v>0.35200100000000001</v>
      </c>
      <c r="D3692" s="2">
        <v>6.4390000000000003E-3</v>
      </c>
      <c r="E3692" s="2">
        <v>0.33935120000000002</v>
      </c>
      <c r="F3692" s="2">
        <v>0.36464990000000003</v>
      </c>
      <c r="H3692" s="8" t="str">
        <f t="shared" si="153"/>
        <v>0.35 (0.34 to 0.36)</v>
      </c>
    </row>
    <row r="3693" spans="1:8" x14ac:dyDescent="0.3">
      <c r="A3693" s="14" t="s">
        <v>69</v>
      </c>
      <c r="B3693" s="2">
        <v>3813</v>
      </c>
      <c r="C3693" s="2">
        <v>35.929969999999997</v>
      </c>
      <c r="D3693" s="2">
        <v>0.16564300000000001</v>
      </c>
      <c r="E3693" s="2">
        <v>35.604551200000003</v>
      </c>
      <c r="F3693" s="2">
        <v>36.255389100000002</v>
      </c>
      <c r="H3693" s="8" t="str">
        <f t="shared" si="153"/>
        <v>35.93 (35.60 to 36.26)</v>
      </c>
    </row>
    <row r="3697" spans="1:6" x14ac:dyDescent="0.3">
      <c r="A3697" s="1" t="s">
        <v>129</v>
      </c>
    </row>
    <row r="3699" spans="1:6" x14ac:dyDescent="0.3">
      <c r="A3699" s="1" t="s">
        <v>296</v>
      </c>
    </row>
    <row r="3700" spans="1:6" ht="17.25" thickBot="1" x14ac:dyDescent="0.35"/>
    <row r="3701" spans="1:6" ht="16.5" customHeight="1" x14ac:dyDescent="0.3">
      <c r="A3701" s="24" t="s">
        <v>75</v>
      </c>
      <c r="B3701" s="26"/>
    </row>
    <row r="3702" spans="1:6" ht="26.25" thickBot="1" x14ac:dyDescent="0.35">
      <c r="A3702" s="13" t="s">
        <v>76</v>
      </c>
      <c r="B3702" s="2">
        <v>54</v>
      </c>
    </row>
    <row r="3703" spans="1:6" ht="26.25" thickBot="1" x14ac:dyDescent="0.35">
      <c r="A3703" s="13" t="s">
        <v>77</v>
      </c>
      <c r="B3703" s="2">
        <v>576</v>
      </c>
    </row>
    <row r="3704" spans="1:6" ht="39" thickBot="1" x14ac:dyDescent="0.35">
      <c r="A3704" s="13" t="s">
        <v>78</v>
      </c>
      <c r="B3704" s="2">
        <v>8069</v>
      </c>
    </row>
    <row r="3705" spans="1:6" ht="25.5" x14ac:dyDescent="0.3">
      <c r="A3705" s="14" t="s">
        <v>79</v>
      </c>
      <c r="B3705" s="2">
        <v>3646326.15</v>
      </c>
    </row>
    <row r="3706" spans="1:6" ht="17.25" thickBot="1" x14ac:dyDescent="0.35"/>
    <row r="3707" spans="1:6" ht="33" customHeight="1" x14ac:dyDescent="0.3">
      <c r="A3707" s="24" t="s">
        <v>80</v>
      </c>
      <c r="B3707" s="26"/>
    </row>
    <row r="3708" spans="1:6" ht="33.75" thickBot="1" x14ac:dyDescent="0.35">
      <c r="A3708" s="13" t="s">
        <v>81</v>
      </c>
      <c r="B3708" s="2" t="s">
        <v>82</v>
      </c>
    </row>
    <row r="3709" spans="1:6" ht="25.5" x14ac:dyDescent="0.3">
      <c r="A3709" s="14" t="s">
        <v>83</v>
      </c>
      <c r="B3709" s="2" t="s">
        <v>84</v>
      </c>
    </row>
    <row r="3710" spans="1:6" ht="17.25" thickBot="1" x14ac:dyDescent="0.35"/>
    <row r="3711" spans="1:6" ht="16.5" customHeight="1" x14ac:dyDescent="0.3">
      <c r="A3711" s="24" t="s">
        <v>130</v>
      </c>
      <c r="B3711" s="26"/>
      <c r="C3711" s="26"/>
      <c r="D3711" s="26"/>
      <c r="E3711" s="26"/>
      <c r="F3711" s="26"/>
    </row>
    <row r="3712" spans="1:6" x14ac:dyDescent="0.3">
      <c r="A3712" s="25" t="s">
        <v>131</v>
      </c>
      <c r="B3712" s="27" t="s">
        <v>46</v>
      </c>
      <c r="C3712" s="27" t="s">
        <v>132</v>
      </c>
      <c r="D3712" s="3" t="s">
        <v>133</v>
      </c>
      <c r="E3712" s="27" t="s">
        <v>135</v>
      </c>
      <c r="F3712" s="27"/>
    </row>
    <row r="3713" spans="1:8" x14ac:dyDescent="0.3">
      <c r="A3713" s="25"/>
      <c r="B3713" s="27"/>
      <c r="C3713" s="27"/>
      <c r="D3713" s="3" t="s">
        <v>134</v>
      </c>
      <c r="E3713" s="27"/>
      <c r="F3713" s="27"/>
    </row>
    <row r="3714" spans="1:8" ht="17.25" thickBot="1" x14ac:dyDescent="0.35">
      <c r="A3714" s="13" t="s">
        <v>66</v>
      </c>
      <c r="B3714" s="2">
        <v>8069</v>
      </c>
      <c r="C3714" s="2">
        <v>8.6029809999999998</v>
      </c>
      <c r="D3714" s="2">
        <v>9.5919999999999998E-3</v>
      </c>
      <c r="E3714" s="2">
        <v>8.5841372000000007</v>
      </c>
      <c r="F3714" s="2">
        <v>8.6218239000000008</v>
      </c>
      <c r="H3714" s="8" t="str">
        <f t="shared" ref="H3714:H3717" si="154">TEXT(C3714,"0.00")&amp;" ("&amp;TEXT(E3714,"0.00")&amp;" to "&amp;TEXT(F3714,"0.00")&amp;")"</f>
        <v>8.60 (8.58 to 8.62)</v>
      </c>
    </row>
    <row r="3715" spans="1:8" ht="17.25" thickBot="1" x14ac:dyDescent="0.35">
      <c r="A3715" s="13" t="s">
        <v>67</v>
      </c>
      <c r="B3715" s="2">
        <v>8069</v>
      </c>
      <c r="C3715" s="2">
        <v>0.663663</v>
      </c>
      <c r="D3715" s="2">
        <v>1.1100000000000001E-3</v>
      </c>
      <c r="E3715" s="2">
        <v>0.66148280000000004</v>
      </c>
      <c r="F3715" s="2">
        <v>0.6658423</v>
      </c>
      <c r="H3715" s="8" t="str">
        <f t="shared" si="154"/>
        <v>0.66 (0.66 to 0.67)</v>
      </c>
    </row>
    <row r="3716" spans="1:8" ht="17.25" thickBot="1" x14ac:dyDescent="0.35">
      <c r="A3716" s="13" t="s">
        <v>68</v>
      </c>
      <c r="B3716" s="2">
        <v>8069</v>
      </c>
      <c r="C3716" s="2">
        <v>0.34850799999999998</v>
      </c>
      <c r="D3716" s="2">
        <v>4.7000000000000002E-3</v>
      </c>
      <c r="E3716" s="2">
        <v>0.33927410000000002</v>
      </c>
      <c r="F3716" s="2">
        <v>0.35774089999999997</v>
      </c>
      <c r="H3716" s="8" t="str">
        <f t="shared" si="154"/>
        <v>0.35 (0.34 to 0.36)</v>
      </c>
    </row>
    <row r="3717" spans="1:8" x14ac:dyDescent="0.3">
      <c r="A3717" s="14" t="s">
        <v>69</v>
      </c>
      <c r="B3717" s="2">
        <v>8069</v>
      </c>
      <c r="C3717" s="2">
        <v>35.538915000000003</v>
      </c>
      <c r="D3717" s="2">
        <v>0.100374</v>
      </c>
      <c r="E3717" s="2">
        <v>35.3417283</v>
      </c>
      <c r="F3717" s="2">
        <v>35.736102199999998</v>
      </c>
      <c r="H3717" s="8" t="str">
        <f t="shared" si="154"/>
        <v>35.54 (35.34 to 35.74)</v>
      </c>
    </row>
    <row r="3721" spans="1:8" x14ac:dyDescent="0.3">
      <c r="A3721" s="1" t="s">
        <v>129</v>
      </c>
    </row>
    <row r="3723" spans="1:8" x14ac:dyDescent="0.3">
      <c r="A3723" s="1" t="s">
        <v>297</v>
      </c>
    </row>
    <row r="3724" spans="1:8" ht="17.25" thickBot="1" x14ac:dyDescent="0.35"/>
    <row r="3725" spans="1:8" ht="16.5" customHeight="1" x14ac:dyDescent="0.3">
      <c r="A3725" s="24" t="s">
        <v>75</v>
      </c>
      <c r="B3725" s="26"/>
    </row>
    <row r="3726" spans="1:8" ht="26.25" thickBot="1" x14ac:dyDescent="0.35">
      <c r="A3726" s="13" t="s">
        <v>76</v>
      </c>
      <c r="B3726" s="2">
        <v>54</v>
      </c>
    </row>
    <row r="3727" spans="1:8" ht="26.25" thickBot="1" x14ac:dyDescent="0.35">
      <c r="A3727" s="13" t="s">
        <v>77</v>
      </c>
      <c r="B3727" s="2">
        <v>554</v>
      </c>
    </row>
    <row r="3728" spans="1:8" ht="39" thickBot="1" x14ac:dyDescent="0.35">
      <c r="A3728" s="13" t="s">
        <v>78</v>
      </c>
      <c r="B3728" s="2">
        <v>2276</v>
      </c>
    </row>
    <row r="3729" spans="1:8" ht="25.5" x14ac:dyDescent="0.3">
      <c r="A3729" s="14" t="s">
        <v>79</v>
      </c>
      <c r="B3729" s="2">
        <v>891218.54500000004</v>
      </c>
    </row>
    <row r="3730" spans="1:8" ht="17.25" thickBot="1" x14ac:dyDescent="0.35"/>
    <row r="3731" spans="1:8" ht="33" customHeight="1" x14ac:dyDescent="0.3">
      <c r="A3731" s="24" t="s">
        <v>80</v>
      </c>
      <c r="B3731" s="26"/>
    </row>
    <row r="3732" spans="1:8" ht="33.75" thickBot="1" x14ac:dyDescent="0.35">
      <c r="A3732" s="13" t="s">
        <v>81</v>
      </c>
      <c r="B3732" s="2" t="s">
        <v>82</v>
      </c>
    </row>
    <row r="3733" spans="1:8" ht="25.5" x14ac:dyDescent="0.3">
      <c r="A3733" s="14" t="s">
        <v>83</v>
      </c>
      <c r="B3733" s="2" t="s">
        <v>84</v>
      </c>
    </row>
    <row r="3734" spans="1:8" ht="17.25" thickBot="1" x14ac:dyDescent="0.35"/>
    <row r="3735" spans="1:8" ht="16.5" customHeight="1" x14ac:dyDescent="0.3">
      <c r="A3735" s="24" t="s">
        <v>130</v>
      </c>
      <c r="B3735" s="26"/>
      <c r="C3735" s="26"/>
      <c r="D3735" s="26"/>
      <c r="E3735" s="26"/>
      <c r="F3735" s="26"/>
    </row>
    <row r="3736" spans="1:8" x14ac:dyDescent="0.3">
      <c r="A3736" s="25" t="s">
        <v>131</v>
      </c>
      <c r="B3736" s="27" t="s">
        <v>46</v>
      </c>
      <c r="C3736" s="27" t="s">
        <v>132</v>
      </c>
      <c r="D3736" s="3" t="s">
        <v>133</v>
      </c>
      <c r="E3736" s="27" t="s">
        <v>135</v>
      </c>
      <c r="F3736" s="27"/>
    </row>
    <row r="3737" spans="1:8" x14ac:dyDescent="0.3">
      <c r="A3737" s="25"/>
      <c r="B3737" s="27"/>
      <c r="C3737" s="27"/>
      <c r="D3737" s="3" t="s">
        <v>134</v>
      </c>
      <c r="E3737" s="27"/>
      <c r="F3737" s="27"/>
    </row>
    <row r="3738" spans="1:8" ht="17.25" thickBot="1" x14ac:dyDescent="0.35">
      <c r="A3738" s="13" t="s">
        <v>66</v>
      </c>
      <c r="B3738" s="2">
        <v>2276</v>
      </c>
      <c r="C3738" s="2">
        <v>8.6561299999999992</v>
      </c>
      <c r="D3738" s="2">
        <v>1.7427000000000002E-2</v>
      </c>
      <c r="E3738" s="2">
        <v>8.6218901999999993</v>
      </c>
      <c r="F3738" s="2">
        <v>8.6903693999999998</v>
      </c>
      <c r="H3738" s="8" t="str">
        <f t="shared" ref="H3738:H3741" si="155">TEXT(C3738,"0.00")&amp;" ("&amp;TEXT(E3738,"0.00")&amp;" to "&amp;TEXT(F3738,"0.00")&amp;")"</f>
        <v>8.66 (8.62 to 8.69)</v>
      </c>
    </row>
    <row r="3739" spans="1:8" ht="17.25" thickBot="1" x14ac:dyDescent="0.35">
      <c r="A3739" s="13" t="s">
        <v>67</v>
      </c>
      <c r="B3739" s="2">
        <v>2276</v>
      </c>
      <c r="C3739" s="2">
        <v>0.67732899999999996</v>
      </c>
      <c r="D3739" s="2">
        <v>2.1150000000000001E-3</v>
      </c>
      <c r="E3739" s="2">
        <v>0.67317309999999997</v>
      </c>
      <c r="F3739" s="2">
        <v>0.68148450000000005</v>
      </c>
      <c r="H3739" s="8" t="str">
        <f t="shared" si="155"/>
        <v>0.68 (0.67 to 0.68)</v>
      </c>
    </row>
    <row r="3740" spans="1:8" ht="17.25" thickBot="1" x14ac:dyDescent="0.35">
      <c r="A3740" s="13" t="s">
        <v>68</v>
      </c>
      <c r="B3740" s="2">
        <v>2276</v>
      </c>
      <c r="C3740" s="2">
        <v>0.37318699999999999</v>
      </c>
      <c r="D3740" s="2">
        <v>8.2920000000000008E-3</v>
      </c>
      <c r="E3740" s="2">
        <v>0.35689500000000002</v>
      </c>
      <c r="F3740" s="2">
        <v>0.38947880000000001</v>
      </c>
      <c r="H3740" s="8" t="str">
        <f t="shared" si="155"/>
        <v>0.37 (0.36 to 0.39)</v>
      </c>
    </row>
    <row r="3741" spans="1:8" x14ac:dyDescent="0.3">
      <c r="A3741" s="14" t="s">
        <v>69</v>
      </c>
      <c r="B3741" s="2">
        <v>2276</v>
      </c>
      <c r="C3741" s="2">
        <v>36.183740999999998</v>
      </c>
      <c r="D3741" s="2">
        <v>0.19109400000000001</v>
      </c>
      <c r="E3741" s="2">
        <v>35.8082937</v>
      </c>
      <c r="F3741" s="2">
        <v>36.559187399999999</v>
      </c>
      <c r="H3741" s="8" t="str">
        <f t="shared" si="155"/>
        <v>36.18 (35.81 to 36.56)</v>
      </c>
    </row>
    <row r="3745" spans="1:6" x14ac:dyDescent="0.3">
      <c r="A3745" s="1" t="s">
        <v>129</v>
      </c>
    </row>
    <row r="3747" spans="1:6" x14ac:dyDescent="0.3">
      <c r="A3747" s="1" t="s">
        <v>298</v>
      </c>
    </row>
    <row r="3748" spans="1:6" ht="17.25" thickBot="1" x14ac:dyDescent="0.35"/>
    <row r="3749" spans="1:6" ht="16.5" customHeight="1" x14ac:dyDescent="0.3">
      <c r="A3749" s="24" t="s">
        <v>75</v>
      </c>
      <c r="B3749" s="26"/>
    </row>
    <row r="3750" spans="1:6" ht="26.25" thickBot="1" x14ac:dyDescent="0.35">
      <c r="A3750" s="13" t="s">
        <v>76</v>
      </c>
      <c r="B3750" s="2">
        <v>27</v>
      </c>
    </row>
    <row r="3751" spans="1:6" ht="26.25" thickBot="1" x14ac:dyDescent="0.35">
      <c r="A3751" s="13" t="s">
        <v>77</v>
      </c>
      <c r="B3751" s="2">
        <v>559</v>
      </c>
    </row>
    <row r="3752" spans="1:6" ht="39" thickBot="1" x14ac:dyDescent="0.35">
      <c r="A3752" s="13" t="s">
        <v>78</v>
      </c>
      <c r="B3752" s="2">
        <v>3630</v>
      </c>
    </row>
    <row r="3753" spans="1:6" ht="25.5" x14ac:dyDescent="0.3">
      <c r="A3753" s="14" t="s">
        <v>79</v>
      </c>
      <c r="B3753" s="2">
        <v>1841412.05</v>
      </c>
    </row>
    <row r="3754" spans="1:6" ht="17.25" thickBot="1" x14ac:dyDescent="0.35"/>
    <row r="3755" spans="1:6" ht="33" customHeight="1" x14ac:dyDescent="0.3">
      <c r="A3755" s="24" t="s">
        <v>80</v>
      </c>
      <c r="B3755" s="26"/>
    </row>
    <row r="3756" spans="1:6" ht="33.75" thickBot="1" x14ac:dyDescent="0.35">
      <c r="A3756" s="13" t="s">
        <v>81</v>
      </c>
      <c r="B3756" s="2" t="s">
        <v>82</v>
      </c>
    </row>
    <row r="3757" spans="1:6" ht="25.5" x14ac:dyDescent="0.3">
      <c r="A3757" s="14" t="s">
        <v>83</v>
      </c>
      <c r="B3757" s="2" t="s">
        <v>84</v>
      </c>
    </row>
    <row r="3758" spans="1:6" ht="17.25" thickBot="1" x14ac:dyDescent="0.35"/>
    <row r="3759" spans="1:6" ht="16.5" customHeight="1" x14ac:dyDescent="0.3">
      <c r="A3759" s="24" t="s">
        <v>130</v>
      </c>
      <c r="B3759" s="26"/>
      <c r="C3759" s="26"/>
      <c r="D3759" s="26"/>
      <c r="E3759" s="26"/>
      <c r="F3759" s="26"/>
    </row>
    <row r="3760" spans="1:6" x14ac:dyDescent="0.3">
      <c r="A3760" s="25" t="s">
        <v>131</v>
      </c>
      <c r="B3760" s="27" t="s">
        <v>46</v>
      </c>
      <c r="C3760" s="27" t="s">
        <v>132</v>
      </c>
      <c r="D3760" s="3" t="s">
        <v>133</v>
      </c>
      <c r="E3760" s="27" t="s">
        <v>135</v>
      </c>
      <c r="F3760" s="27"/>
    </row>
    <row r="3761" spans="1:8" x14ac:dyDescent="0.3">
      <c r="A3761" s="25"/>
      <c r="B3761" s="27"/>
      <c r="C3761" s="27"/>
      <c r="D3761" s="3" t="s">
        <v>134</v>
      </c>
      <c r="E3761" s="27"/>
      <c r="F3761" s="27"/>
    </row>
    <row r="3762" spans="1:8" ht="17.25" thickBot="1" x14ac:dyDescent="0.35">
      <c r="A3762" s="13" t="s">
        <v>66</v>
      </c>
      <c r="B3762" s="2">
        <v>3630</v>
      </c>
      <c r="C3762" s="2">
        <v>8.5974129999999995</v>
      </c>
      <c r="D3762" s="2">
        <v>1.379E-2</v>
      </c>
      <c r="E3762" s="2">
        <v>8.5703233000000001</v>
      </c>
      <c r="F3762" s="2">
        <v>8.6245036000000006</v>
      </c>
      <c r="H3762" s="8" t="str">
        <f t="shared" ref="H3762:H3765" si="156">TEXT(C3762,"0.00")&amp;" ("&amp;TEXT(E3762,"0.00")&amp;" to "&amp;TEXT(F3762,"0.00")&amp;")"</f>
        <v>8.60 (8.57 to 8.62)</v>
      </c>
    </row>
    <row r="3763" spans="1:8" ht="17.25" thickBot="1" x14ac:dyDescent="0.35">
      <c r="A3763" s="13" t="s">
        <v>67</v>
      </c>
      <c r="B3763" s="2">
        <v>3630</v>
      </c>
      <c r="C3763" s="2">
        <v>0.67006200000000005</v>
      </c>
      <c r="D3763" s="2">
        <v>1.456E-3</v>
      </c>
      <c r="E3763" s="2">
        <v>0.66720100000000004</v>
      </c>
      <c r="F3763" s="2">
        <v>0.67292229999999997</v>
      </c>
      <c r="H3763" s="8" t="str">
        <f t="shared" si="156"/>
        <v>0.67 (0.67 to 0.67)</v>
      </c>
    </row>
    <row r="3764" spans="1:8" ht="17.25" thickBot="1" x14ac:dyDescent="0.35">
      <c r="A3764" s="13" t="s">
        <v>68</v>
      </c>
      <c r="B3764" s="2">
        <v>3630</v>
      </c>
      <c r="C3764" s="2">
        <v>0.33751599999999998</v>
      </c>
      <c r="D3764" s="2">
        <v>6.6410000000000002E-3</v>
      </c>
      <c r="E3764" s="2">
        <v>0.3244707</v>
      </c>
      <c r="F3764" s="2">
        <v>0.35056219999999999</v>
      </c>
      <c r="H3764" s="8" t="str">
        <f t="shared" si="156"/>
        <v>0.34 (0.32 to 0.35)</v>
      </c>
    </row>
    <row r="3765" spans="1:8" x14ac:dyDescent="0.3">
      <c r="A3765" s="14" t="s">
        <v>69</v>
      </c>
      <c r="B3765" s="2">
        <v>3630</v>
      </c>
      <c r="C3765" s="2">
        <v>36.103673999999998</v>
      </c>
      <c r="D3765" s="2">
        <v>0.16113</v>
      </c>
      <c r="E3765" s="2">
        <v>35.787144599999998</v>
      </c>
      <c r="F3765" s="2">
        <v>36.420203000000001</v>
      </c>
      <c r="H3765" s="8" t="str">
        <f t="shared" si="156"/>
        <v>36.10 (35.79 to 36.42)</v>
      </c>
    </row>
    <row r="3769" spans="1:8" x14ac:dyDescent="0.3">
      <c r="A3769" s="1" t="s">
        <v>129</v>
      </c>
    </row>
    <row r="3771" spans="1:8" x14ac:dyDescent="0.3">
      <c r="A3771" s="1" t="s">
        <v>299</v>
      </c>
    </row>
    <row r="3772" spans="1:8" ht="17.25" thickBot="1" x14ac:dyDescent="0.35"/>
    <row r="3773" spans="1:8" ht="16.5" customHeight="1" x14ac:dyDescent="0.3">
      <c r="A3773" s="24" t="s">
        <v>75</v>
      </c>
      <c r="B3773" s="26"/>
    </row>
    <row r="3774" spans="1:8" ht="26.25" thickBot="1" x14ac:dyDescent="0.35">
      <c r="A3774" s="13" t="s">
        <v>76</v>
      </c>
      <c r="B3774" s="2">
        <v>27</v>
      </c>
    </row>
    <row r="3775" spans="1:8" ht="26.25" thickBot="1" x14ac:dyDescent="0.35">
      <c r="A3775" s="13" t="s">
        <v>77</v>
      </c>
      <c r="B3775" s="2">
        <v>564</v>
      </c>
    </row>
    <row r="3776" spans="1:8" ht="39" thickBot="1" x14ac:dyDescent="0.35">
      <c r="A3776" s="13" t="s">
        <v>78</v>
      </c>
      <c r="B3776" s="2">
        <v>7918</v>
      </c>
    </row>
    <row r="3777" spans="1:8" ht="25.5" x14ac:dyDescent="0.3">
      <c r="A3777" s="14" t="s">
        <v>79</v>
      </c>
      <c r="B3777" s="2">
        <v>3834376.42</v>
      </c>
    </row>
    <row r="3778" spans="1:8" ht="17.25" thickBot="1" x14ac:dyDescent="0.35"/>
    <row r="3779" spans="1:8" ht="33" customHeight="1" x14ac:dyDescent="0.3">
      <c r="A3779" s="24" t="s">
        <v>80</v>
      </c>
      <c r="B3779" s="26"/>
    </row>
    <row r="3780" spans="1:8" ht="33.75" thickBot="1" x14ac:dyDescent="0.35">
      <c r="A3780" s="13" t="s">
        <v>81</v>
      </c>
      <c r="B3780" s="2" t="s">
        <v>82</v>
      </c>
    </row>
    <row r="3781" spans="1:8" ht="25.5" x14ac:dyDescent="0.3">
      <c r="A3781" s="14" t="s">
        <v>83</v>
      </c>
      <c r="B3781" s="2" t="s">
        <v>84</v>
      </c>
    </row>
    <row r="3782" spans="1:8" ht="17.25" thickBot="1" x14ac:dyDescent="0.35"/>
    <row r="3783" spans="1:8" ht="16.5" customHeight="1" x14ac:dyDescent="0.3">
      <c r="A3783" s="24" t="s">
        <v>130</v>
      </c>
      <c r="B3783" s="26"/>
      <c r="C3783" s="26"/>
      <c r="D3783" s="26"/>
      <c r="E3783" s="26"/>
      <c r="F3783" s="26"/>
    </row>
    <row r="3784" spans="1:8" x14ac:dyDescent="0.3">
      <c r="A3784" s="25" t="s">
        <v>131</v>
      </c>
      <c r="B3784" s="27" t="s">
        <v>46</v>
      </c>
      <c r="C3784" s="27" t="s">
        <v>132</v>
      </c>
      <c r="D3784" s="3" t="s">
        <v>133</v>
      </c>
      <c r="E3784" s="27" t="s">
        <v>135</v>
      </c>
      <c r="F3784" s="27"/>
    </row>
    <row r="3785" spans="1:8" x14ac:dyDescent="0.3">
      <c r="A3785" s="25"/>
      <c r="B3785" s="27"/>
      <c r="C3785" s="27"/>
      <c r="D3785" s="3" t="s">
        <v>134</v>
      </c>
      <c r="E3785" s="27"/>
      <c r="F3785" s="27"/>
    </row>
    <row r="3786" spans="1:8" ht="17.25" thickBot="1" x14ac:dyDescent="0.35">
      <c r="A3786" s="13" t="s">
        <v>66</v>
      </c>
      <c r="B3786" s="2">
        <v>7918</v>
      </c>
      <c r="C3786" s="2">
        <v>8.5776810000000001</v>
      </c>
      <c r="D3786" s="2">
        <v>9.7990000000000004E-3</v>
      </c>
      <c r="E3786" s="2">
        <v>8.5584328999999997</v>
      </c>
      <c r="F3786" s="2">
        <v>8.5969292999999993</v>
      </c>
      <c r="H3786" s="8" t="str">
        <f t="shared" ref="H3786:H3789" si="157">TEXT(C3786,"0.00")&amp;" ("&amp;TEXT(E3786,"0.00")&amp;" to "&amp;TEXT(F3786,"0.00")&amp;")"</f>
        <v>8.58 (8.56 to 8.60)</v>
      </c>
    </row>
    <row r="3787" spans="1:8" ht="17.25" thickBot="1" x14ac:dyDescent="0.35">
      <c r="A3787" s="13" t="s">
        <v>67</v>
      </c>
      <c r="B3787" s="2">
        <v>7918</v>
      </c>
      <c r="C3787" s="2">
        <v>0.67148200000000002</v>
      </c>
      <c r="D3787" s="2">
        <v>1.188E-3</v>
      </c>
      <c r="E3787" s="2">
        <v>0.66914750000000001</v>
      </c>
      <c r="F3787" s="2">
        <v>0.67381570000000002</v>
      </c>
      <c r="H3787" s="8" t="str">
        <f t="shared" si="157"/>
        <v>0.67 (0.67 to 0.67)</v>
      </c>
    </row>
    <row r="3788" spans="1:8" ht="17.25" thickBot="1" x14ac:dyDescent="0.35">
      <c r="A3788" s="13" t="s">
        <v>68</v>
      </c>
      <c r="B3788" s="2">
        <v>7918</v>
      </c>
      <c r="C3788" s="2">
        <v>0.32301400000000002</v>
      </c>
      <c r="D3788" s="2">
        <v>4.9519999999999998E-3</v>
      </c>
      <c r="E3788" s="2">
        <v>0.31328699999999998</v>
      </c>
      <c r="F3788" s="2">
        <v>0.3327407</v>
      </c>
      <c r="H3788" s="8" t="str">
        <f t="shared" si="157"/>
        <v>0.32 (0.31 to 0.33)</v>
      </c>
    </row>
    <row r="3789" spans="1:8" x14ac:dyDescent="0.3">
      <c r="A3789" s="14" t="s">
        <v>69</v>
      </c>
      <c r="B3789" s="2">
        <v>7918</v>
      </c>
      <c r="C3789" s="2">
        <v>35.617094000000002</v>
      </c>
      <c r="D3789" s="2">
        <v>0.11530799999999999</v>
      </c>
      <c r="E3789" s="2">
        <v>35.390583700000001</v>
      </c>
      <c r="F3789" s="2">
        <v>35.843604499999998</v>
      </c>
      <c r="H3789" s="8" t="str">
        <f t="shared" si="157"/>
        <v>35.62 (35.39 to 35.84)</v>
      </c>
    </row>
    <row r="3793" spans="1:6" x14ac:dyDescent="0.3">
      <c r="A3793" s="1" t="s">
        <v>129</v>
      </c>
    </row>
    <row r="3795" spans="1:6" x14ac:dyDescent="0.3">
      <c r="A3795" s="1" t="s">
        <v>300</v>
      </c>
    </row>
    <row r="3796" spans="1:6" ht="17.25" thickBot="1" x14ac:dyDescent="0.35"/>
    <row r="3797" spans="1:6" ht="16.5" customHeight="1" x14ac:dyDescent="0.3">
      <c r="A3797" s="24" t="s">
        <v>75</v>
      </c>
      <c r="B3797" s="26"/>
    </row>
    <row r="3798" spans="1:6" ht="26.25" thickBot="1" x14ac:dyDescent="0.35">
      <c r="A3798" s="13" t="s">
        <v>76</v>
      </c>
      <c r="B3798" s="2">
        <v>27</v>
      </c>
    </row>
    <row r="3799" spans="1:6" ht="26.25" thickBot="1" x14ac:dyDescent="0.35">
      <c r="A3799" s="13" t="s">
        <v>77</v>
      </c>
      <c r="B3799" s="2">
        <v>539</v>
      </c>
    </row>
    <row r="3800" spans="1:6" ht="39" thickBot="1" x14ac:dyDescent="0.35">
      <c r="A3800" s="13" t="s">
        <v>78</v>
      </c>
      <c r="B3800" s="2">
        <v>2007</v>
      </c>
    </row>
    <row r="3801" spans="1:6" ht="25.5" x14ac:dyDescent="0.3">
      <c r="A3801" s="14" t="s">
        <v>79</v>
      </c>
      <c r="B3801" s="2">
        <v>878910.34600000002</v>
      </c>
    </row>
    <row r="3802" spans="1:6" ht="17.25" thickBot="1" x14ac:dyDescent="0.35"/>
    <row r="3803" spans="1:6" ht="33" customHeight="1" x14ac:dyDescent="0.3">
      <c r="A3803" s="24" t="s">
        <v>80</v>
      </c>
      <c r="B3803" s="26"/>
    </row>
    <row r="3804" spans="1:6" ht="33.75" thickBot="1" x14ac:dyDescent="0.35">
      <c r="A3804" s="13" t="s">
        <v>81</v>
      </c>
      <c r="B3804" s="2" t="s">
        <v>82</v>
      </c>
    </row>
    <row r="3805" spans="1:6" ht="25.5" x14ac:dyDescent="0.3">
      <c r="A3805" s="14" t="s">
        <v>83</v>
      </c>
      <c r="B3805" s="2" t="s">
        <v>84</v>
      </c>
    </row>
    <row r="3806" spans="1:6" ht="17.25" thickBot="1" x14ac:dyDescent="0.35"/>
    <row r="3807" spans="1:6" ht="16.5" customHeight="1" x14ac:dyDescent="0.3">
      <c r="A3807" s="24" t="s">
        <v>130</v>
      </c>
      <c r="B3807" s="26"/>
      <c r="C3807" s="26"/>
      <c r="D3807" s="26"/>
      <c r="E3807" s="26"/>
      <c r="F3807" s="26"/>
    </row>
    <row r="3808" spans="1:6" x14ac:dyDescent="0.3">
      <c r="A3808" s="25" t="s">
        <v>131</v>
      </c>
      <c r="B3808" s="27" t="s">
        <v>46</v>
      </c>
      <c r="C3808" s="27" t="s">
        <v>132</v>
      </c>
      <c r="D3808" s="3" t="s">
        <v>133</v>
      </c>
      <c r="E3808" s="27" t="s">
        <v>135</v>
      </c>
      <c r="F3808" s="27"/>
    </row>
    <row r="3809" spans="1:8" x14ac:dyDescent="0.3">
      <c r="A3809" s="25"/>
      <c r="B3809" s="27"/>
      <c r="C3809" s="27"/>
      <c r="D3809" s="3" t="s">
        <v>134</v>
      </c>
      <c r="E3809" s="27"/>
      <c r="F3809" s="27"/>
    </row>
    <row r="3810" spans="1:8" ht="17.25" thickBot="1" x14ac:dyDescent="0.35">
      <c r="A3810" s="13" t="s">
        <v>66</v>
      </c>
      <c r="B3810" s="2">
        <v>2007</v>
      </c>
      <c r="C3810" s="2">
        <v>8.5977010000000007</v>
      </c>
      <c r="D3810" s="2">
        <v>1.8501E-2</v>
      </c>
      <c r="E3810" s="2">
        <v>8.5613548999999995</v>
      </c>
      <c r="F3810" s="2">
        <v>8.6340476000000006</v>
      </c>
      <c r="H3810" s="8" t="str">
        <f t="shared" ref="H3810:H3813" si="158">TEXT(C3810,"0.00")&amp;" ("&amp;TEXT(E3810,"0.00")&amp;" to "&amp;TEXT(F3810,"0.00")&amp;")"</f>
        <v>8.60 (8.56 to 8.63)</v>
      </c>
    </row>
    <row r="3811" spans="1:8" ht="17.25" thickBot="1" x14ac:dyDescent="0.35">
      <c r="A3811" s="13" t="s">
        <v>67</v>
      </c>
      <c r="B3811" s="2">
        <v>2007</v>
      </c>
      <c r="C3811" s="2">
        <v>0.68067500000000003</v>
      </c>
      <c r="D3811" s="2">
        <v>2.153E-3</v>
      </c>
      <c r="E3811" s="2">
        <v>0.67644459999999995</v>
      </c>
      <c r="F3811" s="2">
        <v>0.68490600000000001</v>
      </c>
      <c r="H3811" s="8" t="str">
        <f t="shared" si="158"/>
        <v>0.68 (0.68 to 0.68)</v>
      </c>
    </row>
    <row r="3812" spans="1:8" ht="17.25" thickBot="1" x14ac:dyDescent="0.35">
      <c r="A3812" s="13" t="s">
        <v>68</v>
      </c>
      <c r="B3812" s="2">
        <v>2007</v>
      </c>
      <c r="C3812" s="2">
        <v>0.33224799999999999</v>
      </c>
      <c r="D3812" s="2">
        <v>8.7690000000000008E-3</v>
      </c>
      <c r="E3812" s="2">
        <v>0.31502029999999998</v>
      </c>
      <c r="F3812" s="2">
        <v>0.34947630000000002</v>
      </c>
      <c r="H3812" s="8" t="str">
        <f t="shared" si="158"/>
        <v>0.33 (0.32 to 0.35)</v>
      </c>
    </row>
    <row r="3813" spans="1:8" x14ac:dyDescent="0.3">
      <c r="A3813" s="14" t="s">
        <v>69</v>
      </c>
      <c r="B3813" s="2">
        <v>2007</v>
      </c>
      <c r="C3813" s="2">
        <v>36.003549</v>
      </c>
      <c r="D3813" s="2">
        <v>0.239173</v>
      </c>
      <c r="E3813" s="2">
        <v>35.533667299999998</v>
      </c>
      <c r="F3813" s="2">
        <v>36.473429899999999</v>
      </c>
      <c r="H3813" s="8" t="str">
        <f t="shared" si="158"/>
        <v>36.00 (35.53 to 36.47)</v>
      </c>
    </row>
    <row r="3817" spans="1:8" x14ac:dyDescent="0.3">
      <c r="A3817" s="1" t="s">
        <v>129</v>
      </c>
    </row>
    <row r="3819" spans="1:8" x14ac:dyDescent="0.3">
      <c r="A3819" s="1" t="s">
        <v>301</v>
      </c>
    </row>
    <row r="3820" spans="1:8" ht="17.25" thickBot="1" x14ac:dyDescent="0.35"/>
    <row r="3821" spans="1:8" ht="16.5" customHeight="1" x14ac:dyDescent="0.3">
      <c r="A3821" s="24" t="s">
        <v>75</v>
      </c>
      <c r="B3821" s="26"/>
    </row>
    <row r="3822" spans="1:8" ht="26.25" thickBot="1" x14ac:dyDescent="0.35">
      <c r="A3822" s="13" t="s">
        <v>76</v>
      </c>
      <c r="B3822" s="2">
        <v>27</v>
      </c>
    </row>
    <row r="3823" spans="1:8" ht="26.25" thickBot="1" x14ac:dyDescent="0.35">
      <c r="A3823" s="13" t="s">
        <v>77</v>
      </c>
      <c r="B3823" s="2">
        <v>190</v>
      </c>
    </row>
    <row r="3824" spans="1:8" ht="39" thickBot="1" x14ac:dyDescent="0.35">
      <c r="A3824" s="13" t="s">
        <v>78</v>
      </c>
      <c r="B3824" s="2">
        <v>1107</v>
      </c>
    </row>
    <row r="3825" spans="1:8" ht="25.5" x14ac:dyDescent="0.3">
      <c r="A3825" s="14" t="s">
        <v>79</v>
      </c>
      <c r="B3825" s="2">
        <v>563077.59400000004</v>
      </c>
    </row>
    <row r="3826" spans="1:8" ht="17.25" thickBot="1" x14ac:dyDescent="0.35"/>
    <row r="3827" spans="1:8" ht="33" customHeight="1" x14ac:dyDescent="0.3">
      <c r="A3827" s="24" t="s">
        <v>80</v>
      </c>
      <c r="B3827" s="26"/>
    </row>
    <row r="3828" spans="1:8" ht="33.75" thickBot="1" x14ac:dyDescent="0.35">
      <c r="A3828" s="13" t="s">
        <v>81</v>
      </c>
      <c r="B3828" s="2" t="s">
        <v>82</v>
      </c>
    </row>
    <row r="3829" spans="1:8" ht="25.5" x14ac:dyDescent="0.3">
      <c r="A3829" s="14" t="s">
        <v>83</v>
      </c>
      <c r="B3829" s="2" t="s">
        <v>84</v>
      </c>
    </row>
    <row r="3830" spans="1:8" ht="17.25" thickBot="1" x14ac:dyDescent="0.35"/>
    <row r="3831" spans="1:8" ht="16.5" customHeight="1" x14ac:dyDescent="0.3">
      <c r="A3831" s="24" t="s">
        <v>130</v>
      </c>
      <c r="B3831" s="26"/>
      <c r="C3831" s="26"/>
      <c r="D3831" s="26"/>
      <c r="E3831" s="26"/>
      <c r="F3831" s="26"/>
    </row>
    <row r="3832" spans="1:8" x14ac:dyDescent="0.3">
      <c r="A3832" s="25" t="s">
        <v>131</v>
      </c>
      <c r="B3832" s="27" t="s">
        <v>46</v>
      </c>
      <c r="C3832" s="27" t="s">
        <v>132</v>
      </c>
      <c r="D3832" s="3" t="s">
        <v>133</v>
      </c>
      <c r="E3832" s="27" t="s">
        <v>135</v>
      </c>
      <c r="F3832" s="27"/>
    </row>
    <row r="3833" spans="1:8" x14ac:dyDescent="0.3">
      <c r="A3833" s="25"/>
      <c r="B3833" s="27"/>
      <c r="C3833" s="27"/>
      <c r="D3833" s="3" t="s">
        <v>134</v>
      </c>
      <c r="E3833" s="27"/>
      <c r="F3833" s="27"/>
    </row>
    <row r="3834" spans="1:8" ht="17.25" thickBot="1" x14ac:dyDescent="0.35">
      <c r="A3834" s="13" t="s">
        <v>66</v>
      </c>
      <c r="B3834" s="2">
        <v>1107</v>
      </c>
      <c r="C3834" s="2">
        <v>8.6012649999999997</v>
      </c>
      <c r="D3834" s="2">
        <v>2.2138000000000001E-2</v>
      </c>
      <c r="E3834" s="2">
        <v>8.5575501999999997</v>
      </c>
      <c r="F3834" s="2">
        <v>8.6449794999999998</v>
      </c>
      <c r="H3834" s="8" t="str">
        <f t="shared" ref="H3834:H3837" si="159">TEXT(C3834,"0.00")&amp;" ("&amp;TEXT(E3834,"0.00")&amp;" to "&amp;TEXT(F3834,"0.00")&amp;")"</f>
        <v>8.60 (8.56 to 8.64)</v>
      </c>
    </row>
    <row r="3835" spans="1:8" ht="17.25" thickBot="1" x14ac:dyDescent="0.35">
      <c r="A3835" s="13" t="s">
        <v>67</v>
      </c>
      <c r="B3835" s="2">
        <v>1107</v>
      </c>
      <c r="C3835" s="2">
        <v>0.66569999999999996</v>
      </c>
      <c r="D3835" s="2">
        <v>2.5200000000000001E-3</v>
      </c>
      <c r="E3835" s="2">
        <v>0.66072450000000005</v>
      </c>
      <c r="F3835" s="2">
        <v>0.67067500000000002</v>
      </c>
      <c r="H3835" s="8" t="str">
        <f t="shared" si="159"/>
        <v>0.67 (0.66 to 0.67)</v>
      </c>
    </row>
    <row r="3836" spans="1:8" ht="17.25" thickBot="1" x14ac:dyDescent="0.35">
      <c r="A3836" s="13" t="s">
        <v>68</v>
      </c>
      <c r="B3836" s="2">
        <v>1107</v>
      </c>
      <c r="C3836" s="2">
        <v>0.29096100000000003</v>
      </c>
      <c r="D3836" s="2">
        <v>1.1554999999999999E-2</v>
      </c>
      <c r="E3836" s="2">
        <v>0.26814490000000002</v>
      </c>
      <c r="F3836" s="2">
        <v>0.3137778</v>
      </c>
      <c r="H3836" s="8" t="str">
        <f t="shared" si="159"/>
        <v>0.29 (0.27 to 0.31)</v>
      </c>
    </row>
    <row r="3837" spans="1:8" x14ac:dyDescent="0.3">
      <c r="A3837" s="14" t="s">
        <v>69</v>
      </c>
      <c r="B3837" s="2">
        <v>1107</v>
      </c>
      <c r="C3837" s="2">
        <v>35.612130999999998</v>
      </c>
      <c r="D3837" s="2">
        <v>0.32889800000000002</v>
      </c>
      <c r="E3837" s="2">
        <v>34.962681799999999</v>
      </c>
      <c r="F3837" s="2">
        <v>36.261580899999998</v>
      </c>
      <c r="H3837" s="8" t="str">
        <f t="shared" si="159"/>
        <v>35.61 (34.96 to 36.26)</v>
      </c>
    </row>
    <row r="3841" spans="1:6" x14ac:dyDescent="0.3">
      <c r="A3841" s="1" t="s">
        <v>129</v>
      </c>
    </row>
    <row r="3843" spans="1:6" x14ac:dyDescent="0.3">
      <c r="A3843" s="1" t="s">
        <v>302</v>
      </c>
    </row>
    <row r="3844" spans="1:6" ht="17.25" thickBot="1" x14ac:dyDescent="0.35"/>
    <row r="3845" spans="1:6" ht="16.5" customHeight="1" x14ac:dyDescent="0.3">
      <c r="A3845" s="24" t="s">
        <v>75</v>
      </c>
      <c r="B3845" s="26"/>
    </row>
    <row r="3846" spans="1:6" ht="26.25" thickBot="1" x14ac:dyDescent="0.35">
      <c r="A3846" s="13" t="s">
        <v>76</v>
      </c>
      <c r="B3846" s="2">
        <v>27</v>
      </c>
    </row>
    <row r="3847" spans="1:6" ht="26.25" thickBot="1" x14ac:dyDescent="0.35">
      <c r="A3847" s="13" t="s">
        <v>77</v>
      </c>
      <c r="B3847" s="2">
        <v>190</v>
      </c>
    </row>
    <row r="3848" spans="1:6" ht="39" thickBot="1" x14ac:dyDescent="0.35">
      <c r="A3848" s="13" t="s">
        <v>78</v>
      </c>
      <c r="B3848" s="2">
        <v>2438</v>
      </c>
    </row>
    <row r="3849" spans="1:6" ht="25.5" x14ac:dyDescent="0.3">
      <c r="A3849" s="14" t="s">
        <v>79</v>
      </c>
      <c r="B3849" s="2">
        <v>1197612.3899999999</v>
      </c>
    </row>
    <row r="3850" spans="1:6" ht="17.25" thickBot="1" x14ac:dyDescent="0.35"/>
    <row r="3851" spans="1:6" ht="33" customHeight="1" x14ac:dyDescent="0.3">
      <c r="A3851" s="24" t="s">
        <v>80</v>
      </c>
      <c r="B3851" s="26"/>
    </row>
    <row r="3852" spans="1:6" ht="33.75" thickBot="1" x14ac:dyDescent="0.35">
      <c r="A3852" s="13" t="s">
        <v>81</v>
      </c>
      <c r="B3852" s="2" t="s">
        <v>82</v>
      </c>
    </row>
    <row r="3853" spans="1:6" ht="25.5" x14ac:dyDescent="0.3">
      <c r="A3853" s="14" t="s">
        <v>83</v>
      </c>
      <c r="B3853" s="2" t="s">
        <v>84</v>
      </c>
    </row>
    <row r="3854" spans="1:6" ht="17.25" thickBot="1" x14ac:dyDescent="0.35"/>
    <row r="3855" spans="1:6" ht="16.5" customHeight="1" x14ac:dyDescent="0.3">
      <c r="A3855" s="24" t="s">
        <v>130</v>
      </c>
      <c r="B3855" s="26"/>
      <c r="C3855" s="26"/>
      <c r="D3855" s="26"/>
      <c r="E3855" s="26"/>
      <c r="F3855" s="26"/>
    </row>
    <row r="3856" spans="1:6" x14ac:dyDescent="0.3">
      <c r="A3856" s="25" t="s">
        <v>131</v>
      </c>
      <c r="B3856" s="27" t="s">
        <v>46</v>
      </c>
      <c r="C3856" s="27" t="s">
        <v>132</v>
      </c>
      <c r="D3856" s="3" t="s">
        <v>133</v>
      </c>
      <c r="E3856" s="27" t="s">
        <v>135</v>
      </c>
      <c r="F3856" s="27"/>
    </row>
    <row r="3857" spans="1:8" x14ac:dyDescent="0.3">
      <c r="A3857" s="25"/>
      <c r="B3857" s="27"/>
      <c r="C3857" s="27"/>
      <c r="D3857" s="3" t="s">
        <v>134</v>
      </c>
      <c r="E3857" s="27"/>
      <c r="F3857" s="27"/>
    </row>
    <row r="3858" spans="1:8" ht="17.25" thickBot="1" x14ac:dyDescent="0.35">
      <c r="A3858" s="13" t="s">
        <v>66</v>
      </c>
      <c r="B3858" s="2">
        <v>2438</v>
      </c>
      <c r="C3858" s="2">
        <v>8.5872220000000006</v>
      </c>
      <c r="D3858" s="2">
        <v>1.6482E-2</v>
      </c>
      <c r="E3858" s="2">
        <v>8.5546763000000006</v>
      </c>
      <c r="F3858" s="2">
        <v>8.6197672000000001</v>
      </c>
      <c r="H3858" s="8" t="str">
        <f t="shared" ref="H3858:H3861" si="160">TEXT(C3858,"0.00")&amp;" ("&amp;TEXT(E3858,"0.00")&amp;" to "&amp;TEXT(F3858,"0.00")&amp;")"</f>
        <v>8.59 (8.55 to 8.62)</v>
      </c>
    </row>
    <row r="3859" spans="1:8" ht="17.25" thickBot="1" x14ac:dyDescent="0.35">
      <c r="A3859" s="13" t="s">
        <v>67</v>
      </c>
      <c r="B3859" s="2">
        <v>2438</v>
      </c>
      <c r="C3859" s="2">
        <v>0.66761199999999998</v>
      </c>
      <c r="D3859" s="2">
        <v>2.0760000000000002E-3</v>
      </c>
      <c r="E3859" s="2">
        <v>0.66351360000000004</v>
      </c>
      <c r="F3859" s="2">
        <v>0.67171040000000004</v>
      </c>
      <c r="H3859" s="8" t="str">
        <f t="shared" si="160"/>
        <v>0.67 (0.66 to 0.67)</v>
      </c>
    </row>
    <row r="3860" spans="1:8" ht="17.25" thickBot="1" x14ac:dyDescent="0.35">
      <c r="A3860" s="13" t="s">
        <v>68</v>
      </c>
      <c r="B3860" s="2">
        <v>2438</v>
      </c>
      <c r="C3860" s="2">
        <v>0.28870699999999999</v>
      </c>
      <c r="D3860" s="2">
        <v>8.7829999999999991E-3</v>
      </c>
      <c r="E3860" s="2">
        <v>0.27136519999999997</v>
      </c>
      <c r="F3860" s="2">
        <v>0.30604959999999998</v>
      </c>
      <c r="H3860" s="8" t="str">
        <f t="shared" si="160"/>
        <v>0.29 (0.27 to 0.31)</v>
      </c>
    </row>
    <row r="3861" spans="1:8" x14ac:dyDescent="0.3">
      <c r="A3861" s="14" t="s">
        <v>69</v>
      </c>
      <c r="B3861" s="2">
        <v>2438</v>
      </c>
      <c r="C3861" s="2">
        <v>35.115822000000001</v>
      </c>
      <c r="D3861" s="2">
        <v>0.22114700000000001</v>
      </c>
      <c r="E3861" s="2">
        <v>34.679138999999999</v>
      </c>
      <c r="F3861" s="2">
        <v>35.552504900000002</v>
      </c>
      <c r="H3861" s="8" t="str">
        <f t="shared" si="160"/>
        <v>35.12 (34.68 to 35.55)</v>
      </c>
    </row>
    <row r="3865" spans="1:8" x14ac:dyDescent="0.3">
      <c r="A3865" s="1" t="s">
        <v>129</v>
      </c>
    </row>
    <row r="3867" spans="1:8" x14ac:dyDescent="0.3">
      <c r="A3867" s="1" t="s">
        <v>303</v>
      </c>
    </row>
    <row r="3868" spans="1:8" ht="17.25" thickBot="1" x14ac:dyDescent="0.35"/>
    <row r="3869" spans="1:8" ht="16.5" customHeight="1" x14ac:dyDescent="0.3">
      <c r="A3869" s="24" t="s">
        <v>75</v>
      </c>
      <c r="B3869" s="26"/>
    </row>
    <row r="3870" spans="1:8" ht="26.25" thickBot="1" x14ac:dyDescent="0.35">
      <c r="A3870" s="13" t="s">
        <v>76</v>
      </c>
      <c r="B3870" s="2">
        <v>27</v>
      </c>
    </row>
    <row r="3871" spans="1:8" ht="26.25" thickBot="1" x14ac:dyDescent="0.35">
      <c r="A3871" s="13" t="s">
        <v>77</v>
      </c>
      <c r="B3871" s="2">
        <v>187</v>
      </c>
    </row>
    <row r="3872" spans="1:8" ht="39" thickBot="1" x14ac:dyDescent="0.35">
      <c r="A3872" s="13" t="s">
        <v>78</v>
      </c>
      <c r="B3872" s="2">
        <v>871</v>
      </c>
    </row>
    <row r="3873" spans="1:8" ht="25.5" x14ac:dyDescent="0.3">
      <c r="A3873" s="14" t="s">
        <v>79</v>
      </c>
      <c r="B3873" s="2">
        <v>390223.69500000001</v>
      </c>
    </row>
    <row r="3874" spans="1:8" ht="17.25" thickBot="1" x14ac:dyDescent="0.35"/>
    <row r="3875" spans="1:8" ht="33" customHeight="1" x14ac:dyDescent="0.3">
      <c r="A3875" s="24" t="s">
        <v>80</v>
      </c>
      <c r="B3875" s="26"/>
    </row>
    <row r="3876" spans="1:8" ht="33.75" thickBot="1" x14ac:dyDescent="0.35">
      <c r="A3876" s="13" t="s">
        <v>81</v>
      </c>
      <c r="B3876" s="2" t="s">
        <v>82</v>
      </c>
    </row>
    <row r="3877" spans="1:8" ht="25.5" x14ac:dyDescent="0.3">
      <c r="A3877" s="14" t="s">
        <v>83</v>
      </c>
      <c r="B3877" s="2" t="s">
        <v>84</v>
      </c>
    </row>
    <row r="3878" spans="1:8" ht="17.25" thickBot="1" x14ac:dyDescent="0.35"/>
    <row r="3879" spans="1:8" ht="16.5" customHeight="1" x14ac:dyDescent="0.3">
      <c r="A3879" s="24" t="s">
        <v>130</v>
      </c>
      <c r="B3879" s="26"/>
      <c r="C3879" s="26"/>
      <c r="D3879" s="26"/>
      <c r="E3879" s="26"/>
      <c r="F3879" s="26"/>
    </row>
    <row r="3880" spans="1:8" x14ac:dyDescent="0.3">
      <c r="A3880" s="25" t="s">
        <v>131</v>
      </c>
      <c r="B3880" s="27" t="s">
        <v>46</v>
      </c>
      <c r="C3880" s="27" t="s">
        <v>132</v>
      </c>
      <c r="D3880" s="3" t="s">
        <v>133</v>
      </c>
      <c r="E3880" s="27" t="s">
        <v>135</v>
      </c>
      <c r="F3880" s="27"/>
    </row>
    <row r="3881" spans="1:8" x14ac:dyDescent="0.3">
      <c r="A3881" s="25"/>
      <c r="B3881" s="27"/>
      <c r="C3881" s="27"/>
      <c r="D3881" s="3" t="s">
        <v>134</v>
      </c>
      <c r="E3881" s="27"/>
      <c r="F3881" s="27"/>
    </row>
    <row r="3882" spans="1:8" ht="17.25" thickBot="1" x14ac:dyDescent="0.35">
      <c r="A3882" s="13" t="s">
        <v>66</v>
      </c>
      <c r="B3882" s="2">
        <v>871</v>
      </c>
      <c r="C3882" s="2">
        <v>8.6017109999999999</v>
      </c>
      <c r="D3882" s="2">
        <v>2.2120000000000001E-2</v>
      </c>
      <c r="E3882" s="2">
        <v>8.5580265000000004</v>
      </c>
      <c r="F3882" s="2">
        <v>8.6453951999999994</v>
      </c>
      <c r="H3882" s="8" t="str">
        <f t="shared" ref="H3882:H3885" si="161">TEXT(C3882,"0.00")&amp;" ("&amp;TEXT(E3882,"0.00")&amp;" to "&amp;TEXT(F3882,"0.00")&amp;")"</f>
        <v>8.60 (8.56 to 8.65)</v>
      </c>
    </row>
    <row r="3883" spans="1:8" ht="17.25" thickBot="1" x14ac:dyDescent="0.35">
      <c r="A3883" s="13" t="s">
        <v>67</v>
      </c>
      <c r="B3883" s="2">
        <v>871</v>
      </c>
      <c r="C3883" s="2">
        <v>0.677616</v>
      </c>
      <c r="D3883" s="2">
        <v>2.6540000000000001E-3</v>
      </c>
      <c r="E3883" s="2">
        <v>0.6723751</v>
      </c>
      <c r="F3883" s="2">
        <v>0.68285689999999999</v>
      </c>
      <c r="H3883" s="8" t="str">
        <f t="shared" si="161"/>
        <v>0.68 (0.67 to 0.68)</v>
      </c>
    </row>
    <row r="3884" spans="1:8" ht="17.25" thickBot="1" x14ac:dyDescent="0.35">
      <c r="A3884" s="13" t="s">
        <v>68</v>
      </c>
      <c r="B3884" s="2">
        <v>871</v>
      </c>
      <c r="C3884" s="2">
        <v>0.297207</v>
      </c>
      <c r="D3884" s="2">
        <v>1.1726E-2</v>
      </c>
      <c r="E3884" s="2">
        <v>0.27404869999999998</v>
      </c>
      <c r="F3884" s="2">
        <v>0.32036490000000001</v>
      </c>
      <c r="H3884" s="8" t="str">
        <f t="shared" si="161"/>
        <v>0.30 (0.27 to 0.32)</v>
      </c>
    </row>
    <row r="3885" spans="1:8" x14ac:dyDescent="0.3">
      <c r="A3885" s="14" t="s">
        <v>69</v>
      </c>
      <c r="B3885" s="2">
        <v>871</v>
      </c>
      <c r="C3885" s="2">
        <v>35.328260999999998</v>
      </c>
      <c r="D3885" s="2">
        <v>0.28682000000000002</v>
      </c>
      <c r="E3885" s="2">
        <v>34.761818699999999</v>
      </c>
      <c r="F3885" s="2">
        <v>35.894703</v>
      </c>
      <c r="H3885" s="8" t="str">
        <f t="shared" si="161"/>
        <v>35.33 (34.76 to 35.89)</v>
      </c>
    </row>
    <row r="3889" spans="1:6" x14ac:dyDescent="0.3">
      <c r="A3889" s="1" t="s">
        <v>129</v>
      </c>
    </row>
    <row r="3891" spans="1:6" x14ac:dyDescent="0.3">
      <c r="A3891" s="1" t="s">
        <v>304</v>
      </c>
    </row>
    <row r="3892" spans="1:6" ht="17.25" thickBot="1" x14ac:dyDescent="0.35"/>
    <row r="3893" spans="1:6" ht="16.5" customHeight="1" x14ac:dyDescent="0.3">
      <c r="A3893" s="24" t="s">
        <v>75</v>
      </c>
      <c r="B3893" s="26"/>
    </row>
    <row r="3894" spans="1:6" ht="26.25" thickBot="1" x14ac:dyDescent="0.35">
      <c r="A3894" s="13" t="s">
        <v>76</v>
      </c>
      <c r="B3894" s="2">
        <v>25</v>
      </c>
    </row>
    <row r="3895" spans="1:6" ht="26.25" thickBot="1" x14ac:dyDescent="0.35">
      <c r="A3895" s="13" t="s">
        <v>77</v>
      </c>
      <c r="B3895" s="2">
        <v>499</v>
      </c>
    </row>
    <row r="3896" spans="1:6" ht="39" thickBot="1" x14ac:dyDescent="0.35">
      <c r="A3896" s="13" t="s">
        <v>78</v>
      </c>
      <c r="B3896" s="2">
        <v>4479</v>
      </c>
    </row>
    <row r="3897" spans="1:6" ht="25.5" x14ac:dyDescent="0.3">
      <c r="A3897" s="14" t="s">
        <v>79</v>
      </c>
      <c r="B3897" s="2">
        <v>1441743.24</v>
      </c>
    </row>
    <row r="3898" spans="1:6" ht="17.25" thickBot="1" x14ac:dyDescent="0.35"/>
    <row r="3899" spans="1:6" ht="33" customHeight="1" x14ac:dyDescent="0.3">
      <c r="A3899" s="24" t="s">
        <v>80</v>
      </c>
      <c r="B3899" s="26"/>
    </row>
    <row r="3900" spans="1:6" ht="33.75" thickBot="1" x14ac:dyDescent="0.35">
      <c r="A3900" s="13" t="s">
        <v>81</v>
      </c>
      <c r="B3900" s="2" t="s">
        <v>82</v>
      </c>
    </row>
    <row r="3901" spans="1:6" ht="25.5" x14ac:dyDescent="0.3">
      <c r="A3901" s="14" t="s">
        <v>83</v>
      </c>
      <c r="B3901" s="2" t="s">
        <v>84</v>
      </c>
    </row>
    <row r="3902" spans="1:6" ht="17.25" thickBot="1" x14ac:dyDescent="0.35"/>
    <row r="3903" spans="1:6" ht="16.5" customHeight="1" x14ac:dyDescent="0.3">
      <c r="A3903" s="24" t="s">
        <v>130</v>
      </c>
      <c r="B3903" s="26"/>
      <c r="C3903" s="26"/>
      <c r="D3903" s="26"/>
      <c r="E3903" s="26"/>
      <c r="F3903" s="26"/>
    </row>
    <row r="3904" spans="1:6" x14ac:dyDescent="0.3">
      <c r="A3904" s="25" t="s">
        <v>131</v>
      </c>
      <c r="B3904" s="27" t="s">
        <v>46</v>
      </c>
      <c r="C3904" s="27" t="s">
        <v>132</v>
      </c>
      <c r="D3904" s="3" t="s">
        <v>133</v>
      </c>
      <c r="E3904" s="27" t="s">
        <v>135</v>
      </c>
      <c r="F3904" s="27"/>
    </row>
    <row r="3905" spans="1:8" x14ac:dyDescent="0.3">
      <c r="A3905" s="25"/>
      <c r="B3905" s="27"/>
      <c r="C3905" s="27"/>
      <c r="D3905" s="3" t="s">
        <v>134</v>
      </c>
      <c r="E3905" s="27"/>
      <c r="F3905" s="27"/>
    </row>
    <row r="3906" spans="1:8" ht="17.25" thickBot="1" x14ac:dyDescent="0.35">
      <c r="A3906" s="13" t="s">
        <v>66</v>
      </c>
      <c r="B3906" s="2">
        <v>4479</v>
      </c>
      <c r="C3906" s="2">
        <v>8.4760100000000005</v>
      </c>
      <c r="D3906" s="2">
        <v>1.2481000000000001E-2</v>
      </c>
      <c r="E3906" s="2">
        <v>8.4514846000000006</v>
      </c>
      <c r="F3906" s="2">
        <v>8.5005345000000005</v>
      </c>
      <c r="H3906" s="8" t="str">
        <f t="shared" ref="H3906:H3909" si="162">TEXT(C3906,"0.00")&amp;" ("&amp;TEXT(E3906,"0.00")&amp;" to "&amp;TEXT(F3906,"0.00")&amp;")"</f>
        <v>8.48 (8.45 to 8.50)</v>
      </c>
    </row>
    <row r="3907" spans="1:8" ht="17.25" thickBot="1" x14ac:dyDescent="0.35">
      <c r="A3907" s="13" t="s">
        <v>67</v>
      </c>
      <c r="B3907" s="2">
        <v>4479</v>
      </c>
      <c r="C3907" s="2">
        <v>0.65601200000000004</v>
      </c>
      <c r="D3907" s="2">
        <v>1.73E-3</v>
      </c>
      <c r="E3907" s="2">
        <v>0.65261250000000004</v>
      </c>
      <c r="F3907" s="2">
        <v>0.65941150000000004</v>
      </c>
      <c r="H3907" s="8" t="str">
        <f t="shared" si="162"/>
        <v>0.66 (0.65 to 0.66)</v>
      </c>
    </row>
    <row r="3908" spans="1:8" ht="17.25" thickBot="1" x14ac:dyDescent="0.35">
      <c r="A3908" s="13" t="s">
        <v>68</v>
      </c>
      <c r="B3908" s="2">
        <v>4479</v>
      </c>
      <c r="C3908" s="2">
        <v>0.34066400000000002</v>
      </c>
      <c r="D3908" s="2">
        <v>5.8310000000000002E-3</v>
      </c>
      <c r="E3908" s="2">
        <v>0.32920549999999998</v>
      </c>
      <c r="F3908" s="2">
        <v>0.35212179999999998</v>
      </c>
      <c r="H3908" s="8" t="str">
        <f t="shared" si="162"/>
        <v>0.34 (0.33 to 0.35)</v>
      </c>
    </row>
    <row r="3909" spans="1:8" x14ac:dyDescent="0.3">
      <c r="A3909" s="14" t="s">
        <v>69</v>
      </c>
      <c r="B3909" s="2">
        <v>4479</v>
      </c>
      <c r="C3909" s="2">
        <v>35.382308000000002</v>
      </c>
      <c r="D3909" s="2">
        <v>0.12963</v>
      </c>
      <c r="E3909" s="2">
        <v>35.127587499999997</v>
      </c>
      <c r="F3909" s="2">
        <v>35.637027699999997</v>
      </c>
      <c r="H3909" s="8" t="str">
        <f t="shared" si="162"/>
        <v>35.38 (35.13 to 35.64)</v>
      </c>
    </row>
    <row r="3913" spans="1:8" x14ac:dyDescent="0.3">
      <c r="A3913" s="1" t="s">
        <v>129</v>
      </c>
    </row>
    <row r="3915" spans="1:8" x14ac:dyDescent="0.3">
      <c r="A3915" s="1" t="s">
        <v>305</v>
      </c>
    </row>
    <row r="3916" spans="1:8" ht="17.25" thickBot="1" x14ac:dyDescent="0.35"/>
    <row r="3917" spans="1:8" ht="16.5" customHeight="1" x14ac:dyDescent="0.3">
      <c r="A3917" s="24" t="s">
        <v>75</v>
      </c>
      <c r="B3917" s="26"/>
    </row>
    <row r="3918" spans="1:8" ht="26.25" thickBot="1" x14ac:dyDescent="0.35">
      <c r="A3918" s="13" t="s">
        <v>76</v>
      </c>
      <c r="B3918" s="2">
        <v>25</v>
      </c>
    </row>
    <row r="3919" spans="1:8" ht="26.25" thickBot="1" x14ac:dyDescent="0.35">
      <c r="A3919" s="13" t="s">
        <v>77</v>
      </c>
      <c r="B3919" s="2">
        <v>499</v>
      </c>
    </row>
    <row r="3920" spans="1:8" ht="39" thickBot="1" x14ac:dyDescent="0.35">
      <c r="A3920" s="13" t="s">
        <v>78</v>
      </c>
      <c r="B3920" s="2">
        <v>4351</v>
      </c>
    </row>
    <row r="3921" spans="1:8" ht="25.5" x14ac:dyDescent="0.3">
      <c r="A3921" s="14" t="s">
        <v>79</v>
      </c>
      <c r="B3921" s="2">
        <v>1735633.93</v>
      </c>
    </row>
    <row r="3922" spans="1:8" ht="17.25" thickBot="1" x14ac:dyDescent="0.35"/>
    <row r="3923" spans="1:8" ht="33" customHeight="1" x14ac:dyDescent="0.3">
      <c r="A3923" s="24" t="s">
        <v>80</v>
      </c>
      <c r="B3923" s="26"/>
    </row>
    <row r="3924" spans="1:8" ht="33.75" thickBot="1" x14ac:dyDescent="0.35">
      <c r="A3924" s="13" t="s">
        <v>81</v>
      </c>
      <c r="B3924" s="2" t="s">
        <v>82</v>
      </c>
    </row>
    <row r="3925" spans="1:8" ht="25.5" x14ac:dyDescent="0.3">
      <c r="A3925" s="14" t="s">
        <v>83</v>
      </c>
      <c r="B3925" s="2" t="s">
        <v>84</v>
      </c>
    </row>
    <row r="3926" spans="1:8" ht="17.25" thickBot="1" x14ac:dyDescent="0.35"/>
    <row r="3927" spans="1:8" ht="16.5" customHeight="1" x14ac:dyDescent="0.3">
      <c r="A3927" s="24" t="s">
        <v>130</v>
      </c>
      <c r="B3927" s="26"/>
      <c r="C3927" s="26"/>
      <c r="D3927" s="26"/>
      <c r="E3927" s="26"/>
      <c r="F3927" s="26"/>
    </row>
    <row r="3928" spans="1:8" x14ac:dyDescent="0.3">
      <c r="A3928" s="25" t="s">
        <v>131</v>
      </c>
      <c r="B3928" s="27" t="s">
        <v>46</v>
      </c>
      <c r="C3928" s="27" t="s">
        <v>132</v>
      </c>
      <c r="D3928" s="3" t="s">
        <v>133</v>
      </c>
      <c r="E3928" s="27" t="s">
        <v>135</v>
      </c>
      <c r="F3928" s="27"/>
    </row>
    <row r="3929" spans="1:8" x14ac:dyDescent="0.3">
      <c r="A3929" s="25"/>
      <c r="B3929" s="27"/>
      <c r="C3929" s="27"/>
      <c r="D3929" s="3" t="s">
        <v>134</v>
      </c>
      <c r="E3929" s="27"/>
      <c r="F3929" s="27"/>
    </row>
    <row r="3930" spans="1:8" ht="17.25" thickBot="1" x14ac:dyDescent="0.35">
      <c r="A3930" s="13" t="s">
        <v>66</v>
      </c>
      <c r="B3930" s="2">
        <v>4351</v>
      </c>
      <c r="C3930" s="2">
        <v>8.4726800000000004</v>
      </c>
      <c r="D3930" s="2">
        <v>1.1259E-2</v>
      </c>
      <c r="E3930" s="2">
        <v>8.4505555000000001</v>
      </c>
      <c r="F3930" s="2">
        <v>8.4948046000000001</v>
      </c>
      <c r="H3930" s="8" t="str">
        <f t="shared" ref="H3930:H3933" si="163">TEXT(C3930,"0.00")&amp;" ("&amp;TEXT(E3930,"0.00")&amp;" to "&amp;TEXT(F3930,"0.00")&amp;")"</f>
        <v>8.47 (8.45 to 8.49)</v>
      </c>
    </row>
    <row r="3931" spans="1:8" ht="17.25" thickBot="1" x14ac:dyDescent="0.35">
      <c r="A3931" s="13" t="s">
        <v>67</v>
      </c>
      <c r="B3931" s="2">
        <v>4351</v>
      </c>
      <c r="C3931" s="2">
        <v>0.64838300000000004</v>
      </c>
      <c r="D3931" s="2">
        <v>1.402E-3</v>
      </c>
      <c r="E3931" s="2">
        <v>0.64562810000000004</v>
      </c>
      <c r="F3931" s="2">
        <v>0.65113710000000002</v>
      </c>
      <c r="H3931" s="8" t="str">
        <f t="shared" si="163"/>
        <v>0.65 (0.65 to 0.65)</v>
      </c>
    </row>
    <row r="3932" spans="1:8" ht="17.25" thickBot="1" x14ac:dyDescent="0.35">
      <c r="A3932" s="13" t="s">
        <v>68</v>
      </c>
      <c r="B3932" s="2">
        <v>4351</v>
      </c>
      <c r="C3932" s="2">
        <v>0.33950900000000001</v>
      </c>
      <c r="D3932" s="2">
        <v>5.372E-3</v>
      </c>
      <c r="E3932" s="2">
        <v>0.32895269999999999</v>
      </c>
      <c r="F3932" s="2">
        <v>0.35006549999999997</v>
      </c>
      <c r="H3932" s="8" t="str">
        <f t="shared" si="163"/>
        <v>0.34 (0.33 to 0.35)</v>
      </c>
    </row>
    <row r="3933" spans="1:8" x14ac:dyDescent="0.3">
      <c r="A3933" s="14" t="s">
        <v>69</v>
      </c>
      <c r="B3933" s="2">
        <v>4351</v>
      </c>
      <c r="C3933" s="2">
        <v>35.102634999999999</v>
      </c>
      <c r="D3933" s="2">
        <v>0.122533</v>
      </c>
      <c r="E3933" s="2">
        <v>34.861859899999999</v>
      </c>
      <c r="F3933" s="2">
        <v>35.3434107</v>
      </c>
      <c r="H3933" s="8" t="str">
        <f t="shared" si="163"/>
        <v>35.10 (34.86 to 35.34)</v>
      </c>
    </row>
    <row r="3937" spans="1:6" x14ac:dyDescent="0.3">
      <c r="A3937" s="1" t="s">
        <v>129</v>
      </c>
    </row>
    <row r="3939" spans="1:6" x14ac:dyDescent="0.3">
      <c r="A3939" s="1" t="s">
        <v>306</v>
      </c>
    </row>
    <row r="3940" spans="1:6" ht="17.25" thickBot="1" x14ac:dyDescent="0.35"/>
    <row r="3941" spans="1:6" ht="16.5" customHeight="1" x14ac:dyDescent="0.3">
      <c r="A3941" s="24" t="s">
        <v>75</v>
      </c>
      <c r="B3941" s="26"/>
    </row>
    <row r="3942" spans="1:6" ht="26.25" thickBot="1" x14ac:dyDescent="0.35">
      <c r="A3942" s="13" t="s">
        <v>76</v>
      </c>
      <c r="B3942" s="2">
        <v>25</v>
      </c>
    </row>
    <row r="3943" spans="1:6" ht="26.25" thickBot="1" x14ac:dyDescent="0.35">
      <c r="A3943" s="13" t="s">
        <v>77</v>
      </c>
      <c r="B3943" s="2">
        <v>498</v>
      </c>
    </row>
    <row r="3944" spans="1:6" ht="39" thickBot="1" x14ac:dyDescent="0.35">
      <c r="A3944" s="13" t="s">
        <v>78</v>
      </c>
      <c r="B3944" s="2">
        <v>3085</v>
      </c>
    </row>
    <row r="3945" spans="1:6" ht="25.5" x14ac:dyDescent="0.3">
      <c r="A3945" s="14" t="s">
        <v>79</v>
      </c>
      <c r="B3945" s="2">
        <v>1192791.54</v>
      </c>
    </row>
    <row r="3946" spans="1:6" ht="17.25" thickBot="1" x14ac:dyDescent="0.35"/>
    <row r="3947" spans="1:6" ht="33" customHeight="1" x14ac:dyDescent="0.3">
      <c r="A3947" s="24" t="s">
        <v>80</v>
      </c>
      <c r="B3947" s="26"/>
    </row>
    <row r="3948" spans="1:6" ht="33.75" thickBot="1" x14ac:dyDescent="0.35">
      <c r="A3948" s="13" t="s">
        <v>81</v>
      </c>
      <c r="B3948" s="2" t="s">
        <v>82</v>
      </c>
    </row>
    <row r="3949" spans="1:6" ht="25.5" x14ac:dyDescent="0.3">
      <c r="A3949" s="14" t="s">
        <v>83</v>
      </c>
      <c r="B3949" s="2" t="s">
        <v>84</v>
      </c>
    </row>
    <row r="3950" spans="1:6" ht="17.25" thickBot="1" x14ac:dyDescent="0.35"/>
    <row r="3951" spans="1:6" ht="16.5" customHeight="1" x14ac:dyDescent="0.3">
      <c r="A3951" s="24" t="s">
        <v>130</v>
      </c>
      <c r="B3951" s="26"/>
      <c r="C3951" s="26"/>
      <c r="D3951" s="26"/>
      <c r="E3951" s="26"/>
      <c r="F3951" s="26"/>
    </row>
    <row r="3952" spans="1:6" x14ac:dyDescent="0.3">
      <c r="A3952" s="25" t="s">
        <v>131</v>
      </c>
      <c r="B3952" s="27" t="s">
        <v>46</v>
      </c>
      <c r="C3952" s="27" t="s">
        <v>132</v>
      </c>
      <c r="D3952" s="3" t="s">
        <v>133</v>
      </c>
      <c r="E3952" s="27" t="s">
        <v>135</v>
      </c>
      <c r="F3952" s="27"/>
    </row>
    <row r="3953" spans="1:8" x14ac:dyDescent="0.3">
      <c r="A3953" s="25"/>
      <c r="B3953" s="27"/>
      <c r="C3953" s="27"/>
      <c r="D3953" s="3" t="s">
        <v>134</v>
      </c>
      <c r="E3953" s="27"/>
      <c r="F3953" s="27"/>
    </row>
    <row r="3954" spans="1:8" ht="17.25" thickBot="1" x14ac:dyDescent="0.35">
      <c r="A3954" s="13" t="s">
        <v>66</v>
      </c>
      <c r="B3954" s="2">
        <v>3085</v>
      </c>
      <c r="C3954" s="2">
        <v>8.7702989999999996</v>
      </c>
      <c r="D3954" s="2">
        <v>1.4134000000000001E-2</v>
      </c>
      <c r="E3954" s="2">
        <v>8.7425265000000003</v>
      </c>
      <c r="F3954" s="2">
        <v>8.7980719999999994</v>
      </c>
      <c r="H3954" s="8" t="str">
        <f t="shared" ref="H3954:H3957" si="164">TEXT(C3954,"0.00")&amp;" ("&amp;TEXT(E3954,"0.00")&amp;" to "&amp;TEXT(F3954,"0.00")&amp;")"</f>
        <v>8.77 (8.74 to 8.80)</v>
      </c>
    </row>
    <row r="3955" spans="1:8" ht="17.25" thickBot="1" x14ac:dyDescent="0.35">
      <c r="A3955" s="13" t="s">
        <v>67</v>
      </c>
      <c r="B3955" s="2">
        <v>3085</v>
      </c>
      <c r="C3955" s="2">
        <v>0.68341700000000005</v>
      </c>
      <c r="D3955" s="2">
        <v>1.6459999999999999E-3</v>
      </c>
      <c r="E3955" s="2">
        <v>0.68018290000000003</v>
      </c>
      <c r="F3955" s="2">
        <v>0.68665019999999999</v>
      </c>
      <c r="H3955" s="8" t="str">
        <f t="shared" si="164"/>
        <v>0.68 (0.68 to 0.69)</v>
      </c>
    </row>
    <row r="3956" spans="1:8" ht="17.25" thickBot="1" x14ac:dyDescent="0.35">
      <c r="A3956" s="13" t="s">
        <v>68</v>
      </c>
      <c r="B3956" s="2">
        <v>3085</v>
      </c>
      <c r="C3956" s="2">
        <v>0.44212800000000002</v>
      </c>
      <c r="D3956" s="2">
        <v>6.574E-3</v>
      </c>
      <c r="E3956" s="2">
        <v>0.42921100000000001</v>
      </c>
      <c r="F3956" s="2">
        <v>0.4550459</v>
      </c>
      <c r="H3956" s="8" t="str">
        <f t="shared" si="164"/>
        <v>0.44 (0.43 to 0.46)</v>
      </c>
    </row>
    <row r="3957" spans="1:8" x14ac:dyDescent="0.3">
      <c r="A3957" s="14" t="s">
        <v>69</v>
      </c>
      <c r="B3957" s="2">
        <v>3085</v>
      </c>
      <c r="C3957" s="2">
        <v>36.501998999999998</v>
      </c>
      <c r="D3957" s="2">
        <v>0.139984</v>
      </c>
      <c r="E3957" s="2">
        <v>36.226931200000003</v>
      </c>
      <c r="F3957" s="2">
        <v>36.777067099999996</v>
      </c>
      <c r="H3957" s="8" t="str">
        <f t="shared" si="164"/>
        <v>36.50 (36.23 to 36.78)</v>
      </c>
    </row>
    <row r="3961" spans="1:8" x14ac:dyDescent="0.3">
      <c r="A3961" s="1" t="s">
        <v>129</v>
      </c>
    </row>
    <row r="3963" spans="1:8" x14ac:dyDescent="0.3">
      <c r="A3963" s="1" t="s">
        <v>307</v>
      </c>
    </row>
    <row r="3964" spans="1:8" ht="17.25" thickBot="1" x14ac:dyDescent="0.35"/>
    <row r="3965" spans="1:8" ht="16.5" customHeight="1" x14ac:dyDescent="0.3">
      <c r="A3965" s="24" t="s">
        <v>75</v>
      </c>
      <c r="B3965" s="26"/>
    </row>
    <row r="3966" spans="1:8" ht="26.25" thickBot="1" x14ac:dyDescent="0.35">
      <c r="A3966" s="13" t="s">
        <v>76</v>
      </c>
      <c r="B3966" s="2">
        <v>25</v>
      </c>
    </row>
    <row r="3967" spans="1:8" ht="26.25" thickBot="1" x14ac:dyDescent="0.35">
      <c r="A3967" s="13" t="s">
        <v>77</v>
      </c>
      <c r="B3967" s="2">
        <v>576</v>
      </c>
    </row>
    <row r="3968" spans="1:8" ht="39" thickBot="1" x14ac:dyDescent="0.35">
      <c r="A3968" s="13" t="s">
        <v>78</v>
      </c>
      <c r="B3968" s="2">
        <v>5052</v>
      </c>
    </row>
    <row r="3969" spans="1:8" ht="25.5" x14ac:dyDescent="0.3">
      <c r="A3969" s="14" t="s">
        <v>79</v>
      </c>
      <c r="B3969" s="2">
        <v>1855532.81</v>
      </c>
    </row>
    <row r="3970" spans="1:8" ht="17.25" thickBot="1" x14ac:dyDescent="0.35"/>
    <row r="3971" spans="1:8" ht="33" customHeight="1" x14ac:dyDescent="0.3">
      <c r="A3971" s="24" t="s">
        <v>80</v>
      </c>
      <c r="B3971" s="26"/>
    </row>
    <row r="3972" spans="1:8" ht="33.75" thickBot="1" x14ac:dyDescent="0.35">
      <c r="A3972" s="13" t="s">
        <v>81</v>
      </c>
      <c r="B3972" s="2" t="s">
        <v>82</v>
      </c>
    </row>
    <row r="3973" spans="1:8" ht="25.5" x14ac:dyDescent="0.3">
      <c r="A3973" s="14" t="s">
        <v>83</v>
      </c>
      <c r="B3973" s="2" t="s">
        <v>84</v>
      </c>
    </row>
    <row r="3974" spans="1:8" ht="17.25" thickBot="1" x14ac:dyDescent="0.35"/>
    <row r="3975" spans="1:8" ht="16.5" customHeight="1" x14ac:dyDescent="0.3">
      <c r="A3975" s="24" t="s">
        <v>130</v>
      </c>
      <c r="B3975" s="26"/>
      <c r="C3975" s="26"/>
      <c r="D3975" s="26"/>
      <c r="E3975" s="26"/>
      <c r="F3975" s="26"/>
    </row>
    <row r="3976" spans="1:8" x14ac:dyDescent="0.3">
      <c r="A3976" s="25" t="s">
        <v>131</v>
      </c>
      <c r="B3976" s="27" t="s">
        <v>46</v>
      </c>
      <c r="C3976" s="27" t="s">
        <v>132</v>
      </c>
      <c r="D3976" s="3" t="s">
        <v>133</v>
      </c>
      <c r="E3976" s="27" t="s">
        <v>135</v>
      </c>
      <c r="F3976" s="27"/>
    </row>
    <row r="3977" spans="1:8" x14ac:dyDescent="0.3">
      <c r="A3977" s="25"/>
      <c r="B3977" s="27"/>
      <c r="C3977" s="27"/>
      <c r="D3977" s="3" t="s">
        <v>134</v>
      </c>
      <c r="E3977" s="27"/>
      <c r="F3977" s="27"/>
    </row>
    <row r="3978" spans="1:8" ht="17.25" thickBot="1" x14ac:dyDescent="0.35">
      <c r="A3978" s="13" t="s">
        <v>66</v>
      </c>
      <c r="B3978" s="2">
        <v>5052</v>
      </c>
      <c r="C3978" s="2">
        <v>8.4515119999999992</v>
      </c>
      <c r="D3978" s="2">
        <v>1.1455E-2</v>
      </c>
      <c r="E3978" s="2">
        <v>8.4290105999999998</v>
      </c>
      <c r="F3978" s="2">
        <v>8.4740126</v>
      </c>
      <c r="H3978" s="8" t="str">
        <f t="shared" ref="H3978:H3981" si="165">TEXT(C3978,"0.00")&amp;" ("&amp;TEXT(E3978,"0.00")&amp;" to "&amp;TEXT(F3978,"0.00")&amp;")"</f>
        <v>8.45 (8.43 to 8.47)</v>
      </c>
    </row>
    <row r="3979" spans="1:8" ht="17.25" thickBot="1" x14ac:dyDescent="0.35">
      <c r="A3979" s="13" t="s">
        <v>67</v>
      </c>
      <c r="B3979" s="2">
        <v>5052</v>
      </c>
      <c r="C3979" s="2">
        <v>0.64877499999999999</v>
      </c>
      <c r="D3979" s="2">
        <v>1.4339999999999999E-3</v>
      </c>
      <c r="E3979" s="2">
        <v>0.64595880000000006</v>
      </c>
      <c r="F3979" s="2">
        <v>0.65159210000000001</v>
      </c>
      <c r="H3979" s="8" t="str">
        <f t="shared" si="165"/>
        <v>0.65 (0.65 to 0.65)</v>
      </c>
    </row>
    <row r="3980" spans="1:8" ht="17.25" thickBot="1" x14ac:dyDescent="0.35">
      <c r="A3980" s="13" t="s">
        <v>68</v>
      </c>
      <c r="B3980" s="2">
        <v>5052</v>
      </c>
      <c r="C3980" s="2">
        <v>0.32056200000000001</v>
      </c>
      <c r="D3980" s="2">
        <v>5.4720000000000003E-3</v>
      </c>
      <c r="E3980" s="2">
        <v>0.30981379999999997</v>
      </c>
      <c r="F3980" s="2">
        <v>0.3313102</v>
      </c>
      <c r="H3980" s="8" t="str">
        <f t="shared" si="165"/>
        <v>0.32 (0.31 to 0.33)</v>
      </c>
    </row>
    <row r="3981" spans="1:8" x14ac:dyDescent="0.3">
      <c r="A3981" s="14" t="s">
        <v>69</v>
      </c>
      <c r="B3981" s="2">
        <v>5052</v>
      </c>
      <c r="C3981" s="2">
        <v>35.099710000000002</v>
      </c>
      <c r="D3981" s="2">
        <v>0.134743</v>
      </c>
      <c r="E3981" s="2">
        <v>34.835037</v>
      </c>
      <c r="F3981" s="2">
        <v>35.364383099999998</v>
      </c>
      <c r="H3981" s="8" t="str">
        <f t="shared" si="165"/>
        <v>35.10 (34.84 to 35.36)</v>
      </c>
    </row>
    <row r="3985" spans="1:6" x14ac:dyDescent="0.3">
      <c r="A3985" s="1" t="s">
        <v>129</v>
      </c>
    </row>
    <row r="3987" spans="1:6" x14ac:dyDescent="0.3">
      <c r="A3987" s="1" t="s">
        <v>308</v>
      </c>
    </row>
    <row r="3988" spans="1:6" ht="17.25" thickBot="1" x14ac:dyDescent="0.35"/>
    <row r="3989" spans="1:6" ht="16.5" customHeight="1" x14ac:dyDescent="0.3">
      <c r="A3989" s="24" t="s">
        <v>75</v>
      </c>
      <c r="B3989" s="26"/>
    </row>
    <row r="3990" spans="1:6" ht="26.25" thickBot="1" x14ac:dyDescent="0.35">
      <c r="A3990" s="13" t="s">
        <v>76</v>
      </c>
      <c r="B3990" s="2">
        <v>25</v>
      </c>
    </row>
    <row r="3991" spans="1:6" ht="26.25" thickBot="1" x14ac:dyDescent="0.35">
      <c r="A3991" s="13" t="s">
        <v>77</v>
      </c>
      <c r="B3991" s="2">
        <v>574</v>
      </c>
    </row>
    <row r="3992" spans="1:6" ht="39" thickBot="1" x14ac:dyDescent="0.35">
      <c r="A3992" s="13" t="s">
        <v>78</v>
      </c>
      <c r="B3992" s="2">
        <v>4786</v>
      </c>
    </row>
    <row r="3993" spans="1:6" ht="25.5" x14ac:dyDescent="0.3">
      <c r="A3993" s="14" t="s">
        <v>79</v>
      </c>
      <c r="B3993" s="2">
        <v>2111907.29</v>
      </c>
    </row>
    <row r="3994" spans="1:6" ht="17.25" thickBot="1" x14ac:dyDescent="0.35"/>
    <row r="3995" spans="1:6" ht="33" customHeight="1" x14ac:dyDescent="0.3">
      <c r="A3995" s="24" t="s">
        <v>80</v>
      </c>
      <c r="B3995" s="26"/>
    </row>
    <row r="3996" spans="1:6" ht="33.75" thickBot="1" x14ac:dyDescent="0.35">
      <c r="A3996" s="13" t="s">
        <v>81</v>
      </c>
      <c r="B3996" s="2" t="s">
        <v>82</v>
      </c>
    </row>
    <row r="3997" spans="1:6" ht="25.5" x14ac:dyDescent="0.3">
      <c r="A3997" s="14" t="s">
        <v>83</v>
      </c>
      <c r="B3997" s="2" t="s">
        <v>84</v>
      </c>
    </row>
    <row r="3998" spans="1:6" ht="17.25" thickBot="1" x14ac:dyDescent="0.35"/>
    <row r="3999" spans="1:6" ht="16.5" customHeight="1" x14ac:dyDescent="0.3">
      <c r="A3999" s="24" t="s">
        <v>130</v>
      </c>
      <c r="B3999" s="26"/>
      <c r="C3999" s="26"/>
      <c r="D3999" s="26"/>
      <c r="E3999" s="26"/>
      <c r="F3999" s="26"/>
    </row>
    <row r="4000" spans="1:6" x14ac:dyDescent="0.3">
      <c r="A4000" s="25" t="s">
        <v>131</v>
      </c>
      <c r="B4000" s="27" t="s">
        <v>46</v>
      </c>
      <c r="C4000" s="27" t="s">
        <v>132</v>
      </c>
      <c r="D4000" s="3" t="s">
        <v>133</v>
      </c>
      <c r="E4000" s="27" t="s">
        <v>135</v>
      </c>
      <c r="F4000" s="27"/>
    </row>
    <row r="4001" spans="1:8" x14ac:dyDescent="0.3">
      <c r="A4001" s="25"/>
      <c r="B4001" s="27"/>
      <c r="C4001" s="27"/>
      <c r="D4001" s="3" t="s">
        <v>134</v>
      </c>
      <c r="E4001" s="27"/>
      <c r="F4001" s="27"/>
    </row>
    <row r="4002" spans="1:8" ht="17.25" thickBot="1" x14ac:dyDescent="0.35">
      <c r="A4002" s="13" t="s">
        <v>66</v>
      </c>
      <c r="B4002" s="2">
        <v>4786</v>
      </c>
      <c r="C4002" s="2">
        <v>8.5017600000000009</v>
      </c>
      <c r="D4002" s="2">
        <v>1.268E-2</v>
      </c>
      <c r="E4002" s="2">
        <v>8.4768532000000008</v>
      </c>
      <c r="F4002" s="2">
        <v>8.5266667999999992</v>
      </c>
      <c r="H4002" s="8" t="str">
        <f t="shared" ref="H4002:H4005" si="166">TEXT(C4002,"0.00")&amp;" ("&amp;TEXT(E4002,"0.00")&amp;" to "&amp;TEXT(F4002,"0.00")&amp;")"</f>
        <v>8.50 (8.48 to 8.53)</v>
      </c>
    </row>
    <row r="4003" spans="1:8" ht="17.25" thickBot="1" x14ac:dyDescent="0.35">
      <c r="A4003" s="13" t="s">
        <v>67</v>
      </c>
      <c r="B4003" s="2">
        <v>4786</v>
      </c>
      <c r="C4003" s="2">
        <v>0.64831399999999995</v>
      </c>
      <c r="D4003" s="2">
        <v>1.4189999999999999E-3</v>
      </c>
      <c r="E4003" s="2">
        <v>0.64552569999999998</v>
      </c>
      <c r="F4003" s="2">
        <v>0.65110230000000002</v>
      </c>
      <c r="H4003" s="8" t="str">
        <f t="shared" si="166"/>
        <v>0.65 (0.65 to 0.65)</v>
      </c>
    </row>
    <row r="4004" spans="1:8" ht="17.25" thickBot="1" x14ac:dyDescent="0.35">
      <c r="A4004" s="13" t="s">
        <v>68</v>
      </c>
      <c r="B4004" s="2">
        <v>4786</v>
      </c>
      <c r="C4004" s="2">
        <v>0.34111799999999998</v>
      </c>
      <c r="D4004" s="2">
        <v>6.1380000000000002E-3</v>
      </c>
      <c r="E4004" s="2">
        <v>0.32906190000000002</v>
      </c>
      <c r="F4004" s="2">
        <v>0.35317490000000001</v>
      </c>
      <c r="H4004" s="8" t="str">
        <f t="shared" si="166"/>
        <v>0.34 (0.33 to 0.35)</v>
      </c>
    </row>
    <row r="4005" spans="1:8" x14ac:dyDescent="0.3">
      <c r="A4005" s="14" t="s">
        <v>69</v>
      </c>
      <c r="B4005" s="2">
        <v>4786</v>
      </c>
      <c r="C4005" s="2">
        <v>35.343651000000001</v>
      </c>
      <c r="D4005" s="2">
        <v>0.148614</v>
      </c>
      <c r="E4005" s="2">
        <v>35.0517301</v>
      </c>
      <c r="F4005" s="2">
        <v>35.6355723</v>
      </c>
      <c r="H4005" s="8" t="str">
        <f t="shared" si="166"/>
        <v>35.34 (35.05 to 35.64)</v>
      </c>
    </row>
    <row r="4009" spans="1:8" x14ac:dyDescent="0.3">
      <c r="A4009" s="1" t="s">
        <v>129</v>
      </c>
    </row>
    <row r="4011" spans="1:8" x14ac:dyDescent="0.3">
      <c r="A4011" s="1" t="s">
        <v>309</v>
      </c>
    </row>
    <row r="4012" spans="1:8" ht="17.25" thickBot="1" x14ac:dyDescent="0.35"/>
    <row r="4013" spans="1:8" ht="16.5" customHeight="1" x14ac:dyDescent="0.3">
      <c r="A4013" s="24" t="s">
        <v>75</v>
      </c>
      <c r="B4013" s="26"/>
    </row>
    <row r="4014" spans="1:8" ht="26.25" thickBot="1" x14ac:dyDescent="0.35">
      <c r="A4014" s="13" t="s">
        <v>76</v>
      </c>
      <c r="B4014" s="2">
        <v>25</v>
      </c>
    </row>
    <row r="4015" spans="1:8" ht="26.25" thickBot="1" x14ac:dyDescent="0.35">
      <c r="A4015" s="13" t="s">
        <v>77</v>
      </c>
      <c r="B4015" s="2">
        <v>574</v>
      </c>
    </row>
    <row r="4016" spans="1:8" ht="39" thickBot="1" x14ac:dyDescent="0.35">
      <c r="A4016" s="13" t="s">
        <v>78</v>
      </c>
      <c r="B4016" s="2">
        <v>3278</v>
      </c>
    </row>
    <row r="4017" spans="1:8" ht="25.5" x14ac:dyDescent="0.3">
      <c r="A4017" s="14" t="s">
        <v>79</v>
      </c>
      <c r="B4017" s="2">
        <v>1493224.84</v>
      </c>
    </row>
    <row r="4018" spans="1:8" ht="17.25" thickBot="1" x14ac:dyDescent="0.35"/>
    <row r="4019" spans="1:8" ht="33" customHeight="1" x14ac:dyDescent="0.3">
      <c r="A4019" s="24" t="s">
        <v>80</v>
      </c>
      <c r="B4019" s="26"/>
    </row>
    <row r="4020" spans="1:8" ht="33.75" thickBot="1" x14ac:dyDescent="0.35">
      <c r="A4020" s="13" t="s">
        <v>81</v>
      </c>
      <c r="B4020" s="2" t="s">
        <v>82</v>
      </c>
    </row>
    <row r="4021" spans="1:8" ht="25.5" x14ac:dyDescent="0.3">
      <c r="A4021" s="14" t="s">
        <v>83</v>
      </c>
      <c r="B4021" s="2" t="s">
        <v>84</v>
      </c>
    </row>
    <row r="4022" spans="1:8" ht="17.25" thickBot="1" x14ac:dyDescent="0.35"/>
    <row r="4023" spans="1:8" ht="16.5" customHeight="1" x14ac:dyDescent="0.3">
      <c r="A4023" s="24" t="s">
        <v>130</v>
      </c>
      <c r="B4023" s="26"/>
      <c r="C4023" s="26"/>
      <c r="D4023" s="26"/>
      <c r="E4023" s="26"/>
      <c r="F4023" s="26"/>
    </row>
    <row r="4024" spans="1:8" x14ac:dyDescent="0.3">
      <c r="A4024" s="25" t="s">
        <v>131</v>
      </c>
      <c r="B4024" s="27" t="s">
        <v>46</v>
      </c>
      <c r="C4024" s="27" t="s">
        <v>132</v>
      </c>
      <c r="D4024" s="3" t="s">
        <v>133</v>
      </c>
      <c r="E4024" s="27" t="s">
        <v>135</v>
      </c>
      <c r="F4024" s="27"/>
    </row>
    <row r="4025" spans="1:8" x14ac:dyDescent="0.3">
      <c r="A4025" s="25"/>
      <c r="B4025" s="27"/>
      <c r="C4025" s="27"/>
      <c r="D4025" s="3" t="s">
        <v>134</v>
      </c>
      <c r="E4025" s="27"/>
      <c r="F4025" s="27"/>
    </row>
    <row r="4026" spans="1:8" ht="17.25" thickBot="1" x14ac:dyDescent="0.35">
      <c r="A4026" s="13" t="s">
        <v>66</v>
      </c>
      <c r="B4026" s="2">
        <v>3278</v>
      </c>
      <c r="C4026" s="2">
        <v>8.7754799999999999</v>
      </c>
      <c r="D4026" s="2">
        <v>1.617E-2</v>
      </c>
      <c r="E4026" s="2">
        <v>8.7437170000000002</v>
      </c>
      <c r="F4026" s="2">
        <v>8.8072426999999998</v>
      </c>
      <c r="H4026" s="8" t="str">
        <f t="shared" ref="H4026:H4029" si="167">TEXT(C4026,"0.00")&amp;" ("&amp;TEXT(E4026,"0.00")&amp;" to "&amp;TEXT(F4026,"0.00")&amp;")"</f>
        <v>8.78 (8.74 to 8.81)</v>
      </c>
    </row>
    <row r="4027" spans="1:8" ht="17.25" thickBot="1" x14ac:dyDescent="0.35">
      <c r="A4027" s="13" t="s">
        <v>67</v>
      </c>
      <c r="B4027" s="2">
        <v>3278</v>
      </c>
      <c r="C4027" s="2">
        <v>0.68192600000000003</v>
      </c>
      <c r="D4027" s="2">
        <v>1.7619999999999999E-3</v>
      </c>
      <c r="E4027" s="2">
        <v>0.67846589999999996</v>
      </c>
      <c r="F4027" s="2">
        <v>0.68538639999999995</v>
      </c>
      <c r="H4027" s="8" t="str">
        <f t="shared" si="167"/>
        <v>0.68 (0.68 to 0.69)</v>
      </c>
    </row>
    <row r="4028" spans="1:8" ht="17.25" thickBot="1" x14ac:dyDescent="0.35">
      <c r="A4028" s="13" t="s">
        <v>68</v>
      </c>
      <c r="B4028" s="2">
        <v>3278</v>
      </c>
      <c r="C4028" s="2">
        <v>0.423765</v>
      </c>
      <c r="D4028" s="2">
        <v>7.6140000000000001E-3</v>
      </c>
      <c r="E4028" s="2">
        <v>0.4088099</v>
      </c>
      <c r="F4028" s="2">
        <v>0.43872030000000001</v>
      </c>
      <c r="H4028" s="8" t="str">
        <f t="shared" si="167"/>
        <v>0.42 (0.41 to 0.44)</v>
      </c>
    </row>
    <row r="4029" spans="1:8" x14ac:dyDescent="0.3">
      <c r="A4029" s="14" t="s">
        <v>69</v>
      </c>
      <c r="B4029" s="2">
        <v>3278</v>
      </c>
      <c r="C4029" s="2">
        <v>36.393492999999999</v>
      </c>
      <c r="D4029" s="2">
        <v>0.16450000000000001</v>
      </c>
      <c r="E4029" s="2">
        <v>36.070366800000002</v>
      </c>
      <c r="F4029" s="2">
        <v>36.716619100000003</v>
      </c>
      <c r="H4029" s="8" t="str">
        <f t="shared" si="167"/>
        <v>36.39 (36.07 to 36.72)</v>
      </c>
    </row>
    <row r="4033" spans="1:6" x14ac:dyDescent="0.3">
      <c r="A4033" s="1" t="s">
        <v>129</v>
      </c>
    </row>
    <row r="4035" spans="1:6" x14ac:dyDescent="0.3">
      <c r="A4035" s="1" t="s">
        <v>310</v>
      </c>
    </row>
    <row r="4036" spans="1:6" ht="17.25" thickBot="1" x14ac:dyDescent="0.35"/>
    <row r="4037" spans="1:6" ht="16.5" customHeight="1" x14ac:dyDescent="0.3">
      <c r="A4037" s="24" t="s">
        <v>75</v>
      </c>
      <c r="B4037" s="26"/>
    </row>
    <row r="4038" spans="1:6" ht="26.25" thickBot="1" x14ac:dyDescent="0.35">
      <c r="A4038" s="13" t="s">
        <v>76</v>
      </c>
      <c r="B4038" s="2">
        <v>25</v>
      </c>
    </row>
    <row r="4039" spans="1:6" ht="26.25" thickBot="1" x14ac:dyDescent="0.35">
      <c r="A4039" s="13" t="s">
        <v>77</v>
      </c>
      <c r="B4039" s="2">
        <v>575</v>
      </c>
    </row>
    <row r="4040" spans="1:6" ht="39" thickBot="1" x14ac:dyDescent="0.35">
      <c r="A4040" s="13" t="s">
        <v>78</v>
      </c>
      <c r="B4040" s="2">
        <v>4399</v>
      </c>
    </row>
    <row r="4041" spans="1:6" ht="25.5" x14ac:dyDescent="0.3">
      <c r="A4041" s="14" t="s">
        <v>79</v>
      </c>
      <c r="B4041" s="2">
        <v>1854999.7</v>
      </c>
    </row>
    <row r="4042" spans="1:6" ht="17.25" thickBot="1" x14ac:dyDescent="0.35"/>
    <row r="4043" spans="1:6" ht="33" customHeight="1" x14ac:dyDescent="0.3">
      <c r="A4043" s="24" t="s">
        <v>80</v>
      </c>
      <c r="B4043" s="26"/>
    </row>
    <row r="4044" spans="1:6" ht="33.75" thickBot="1" x14ac:dyDescent="0.35">
      <c r="A4044" s="13" t="s">
        <v>81</v>
      </c>
      <c r="B4044" s="2" t="s">
        <v>82</v>
      </c>
    </row>
    <row r="4045" spans="1:6" ht="25.5" x14ac:dyDescent="0.3">
      <c r="A4045" s="14" t="s">
        <v>83</v>
      </c>
      <c r="B4045" s="2" t="s">
        <v>84</v>
      </c>
    </row>
    <row r="4046" spans="1:6" ht="17.25" thickBot="1" x14ac:dyDescent="0.35"/>
    <row r="4047" spans="1:6" ht="16.5" customHeight="1" x14ac:dyDescent="0.3">
      <c r="A4047" s="24" t="s">
        <v>130</v>
      </c>
      <c r="B4047" s="26"/>
      <c r="C4047" s="26"/>
      <c r="D4047" s="26"/>
      <c r="E4047" s="26"/>
      <c r="F4047" s="26"/>
    </row>
    <row r="4048" spans="1:6" x14ac:dyDescent="0.3">
      <c r="A4048" s="25" t="s">
        <v>131</v>
      </c>
      <c r="B4048" s="27" t="s">
        <v>46</v>
      </c>
      <c r="C4048" s="27" t="s">
        <v>132</v>
      </c>
      <c r="D4048" s="3" t="s">
        <v>133</v>
      </c>
      <c r="E4048" s="27" t="s">
        <v>135</v>
      </c>
      <c r="F4048" s="27"/>
    </row>
    <row r="4049" spans="1:8" x14ac:dyDescent="0.3">
      <c r="A4049" s="25"/>
      <c r="B4049" s="27"/>
      <c r="C4049" s="27"/>
      <c r="D4049" s="3" t="s">
        <v>134</v>
      </c>
      <c r="E4049" s="27"/>
      <c r="F4049" s="27"/>
    </row>
    <row r="4050" spans="1:8" ht="17.25" thickBot="1" x14ac:dyDescent="0.35">
      <c r="A4050" s="13" t="s">
        <v>66</v>
      </c>
      <c r="B4050" s="2">
        <v>4399</v>
      </c>
      <c r="C4050" s="2">
        <v>8.4996259999999992</v>
      </c>
      <c r="D4050" s="2">
        <v>1.2074E-2</v>
      </c>
      <c r="E4050" s="2">
        <v>8.4759080999999998</v>
      </c>
      <c r="F4050" s="2">
        <v>8.5233433000000005</v>
      </c>
      <c r="H4050" s="8" t="str">
        <f t="shared" ref="H4050:H4053" si="168">TEXT(C4050,"0.00")&amp;" ("&amp;TEXT(E4050,"0.00")&amp;" to "&amp;TEXT(F4050,"0.00")&amp;")"</f>
        <v>8.50 (8.48 to 8.52)</v>
      </c>
    </row>
    <row r="4051" spans="1:8" ht="17.25" thickBot="1" x14ac:dyDescent="0.35">
      <c r="A4051" s="13" t="s">
        <v>67</v>
      </c>
      <c r="B4051" s="2">
        <v>4399</v>
      </c>
      <c r="C4051" s="2">
        <v>0.65342800000000001</v>
      </c>
      <c r="D4051" s="2">
        <v>1.5100000000000001E-3</v>
      </c>
      <c r="E4051" s="2">
        <v>0.65046130000000002</v>
      </c>
      <c r="F4051" s="2">
        <v>0.65639460000000005</v>
      </c>
      <c r="H4051" s="8" t="str">
        <f t="shared" si="168"/>
        <v>0.65 (0.65 to 0.66)</v>
      </c>
    </row>
    <row r="4052" spans="1:8" ht="17.25" thickBot="1" x14ac:dyDescent="0.35">
      <c r="A4052" s="13" t="s">
        <v>68</v>
      </c>
      <c r="B4052" s="2">
        <v>4399</v>
      </c>
      <c r="C4052" s="2">
        <v>0.32027</v>
      </c>
      <c r="D4052" s="2">
        <v>5.7879999999999997E-3</v>
      </c>
      <c r="E4052" s="2">
        <v>0.30890060000000003</v>
      </c>
      <c r="F4052" s="2">
        <v>0.33163900000000002</v>
      </c>
      <c r="H4052" s="8" t="str">
        <f t="shared" si="168"/>
        <v>0.32 (0.31 to 0.33)</v>
      </c>
    </row>
    <row r="4053" spans="1:8" x14ac:dyDescent="0.3">
      <c r="A4053" s="14" t="s">
        <v>69</v>
      </c>
      <c r="B4053" s="2">
        <v>4399</v>
      </c>
      <c r="C4053" s="2">
        <v>35.042571000000002</v>
      </c>
      <c r="D4053" s="2">
        <v>0.13725999999999999</v>
      </c>
      <c r="E4053" s="2">
        <v>34.772953299999998</v>
      </c>
      <c r="F4053" s="2">
        <v>35.312187899999998</v>
      </c>
      <c r="H4053" s="8" t="str">
        <f t="shared" si="168"/>
        <v>35.04 (34.77 to 35.31)</v>
      </c>
    </row>
    <row r="4057" spans="1:8" x14ac:dyDescent="0.3">
      <c r="A4057" s="1" t="s">
        <v>129</v>
      </c>
    </row>
    <row r="4059" spans="1:8" x14ac:dyDescent="0.3">
      <c r="A4059" s="1" t="s">
        <v>311</v>
      </c>
    </row>
    <row r="4060" spans="1:8" ht="17.25" thickBot="1" x14ac:dyDescent="0.35"/>
    <row r="4061" spans="1:8" ht="16.5" customHeight="1" x14ac:dyDescent="0.3">
      <c r="A4061" s="24" t="s">
        <v>75</v>
      </c>
      <c r="B4061" s="26"/>
    </row>
    <row r="4062" spans="1:8" ht="26.25" thickBot="1" x14ac:dyDescent="0.35">
      <c r="A4062" s="13" t="s">
        <v>76</v>
      </c>
      <c r="B4062" s="2">
        <v>25</v>
      </c>
    </row>
    <row r="4063" spans="1:8" ht="26.25" thickBot="1" x14ac:dyDescent="0.35">
      <c r="A4063" s="13" t="s">
        <v>77</v>
      </c>
      <c r="B4063" s="2">
        <v>572</v>
      </c>
    </row>
    <row r="4064" spans="1:8" ht="39" thickBot="1" x14ac:dyDescent="0.35">
      <c r="A4064" s="13" t="s">
        <v>78</v>
      </c>
      <c r="B4064" s="2">
        <v>4275</v>
      </c>
    </row>
    <row r="4065" spans="1:8" ht="25.5" x14ac:dyDescent="0.3">
      <c r="A4065" s="14" t="s">
        <v>79</v>
      </c>
      <c r="B4065" s="2">
        <v>2148006.23</v>
      </c>
    </row>
    <row r="4066" spans="1:8" ht="17.25" thickBot="1" x14ac:dyDescent="0.35"/>
    <row r="4067" spans="1:8" ht="33" customHeight="1" x14ac:dyDescent="0.3">
      <c r="A4067" s="24" t="s">
        <v>80</v>
      </c>
      <c r="B4067" s="26"/>
    </row>
    <row r="4068" spans="1:8" ht="33.75" thickBot="1" x14ac:dyDescent="0.35">
      <c r="A4068" s="13" t="s">
        <v>81</v>
      </c>
      <c r="B4068" s="2" t="s">
        <v>82</v>
      </c>
    </row>
    <row r="4069" spans="1:8" ht="25.5" x14ac:dyDescent="0.3">
      <c r="A4069" s="14" t="s">
        <v>83</v>
      </c>
      <c r="B4069" s="2" t="s">
        <v>84</v>
      </c>
    </row>
    <row r="4070" spans="1:8" ht="17.25" thickBot="1" x14ac:dyDescent="0.35"/>
    <row r="4071" spans="1:8" ht="16.5" customHeight="1" x14ac:dyDescent="0.3">
      <c r="A4071" s="24" t="s">
        <v>130</v>
      </c>
      <c r="B4071" s="26"/>
      <c r="C4071" s="26"/>
      <c r="D4071" s="26"/>
      <c r="E4071" s="26"/>
      <c r="F4071" s="26"/>
    </row>
    <row r="4072" spans="1:8" x14ac:dyDescent="0.3">
      <c r="A4072" s="25" t="s">
        <v>131</v>
      </c>
      <c r="B4072" s="27" t="s">
        <v>46</v>
      </c>
      <c r="C4072" s="27" t="s">
        <v>132</v>
      </c>
      <c r="D4072" s="3" t="s">
        <v>133</v>
      </c>
      <c r="E4072" s="27" t="s">
        <v>135</v>
      </c>
      <c r="F4072" s="27"/>
    </row>
    <row r="4073" spans="1:8" x14ac:dyDescent="0.3">
      <c r="A4073" s="25"/>
      <c r="B4073" s="27"/>
      <c r="C4073" s="27"/>
      <c r="D4073" s="3" t="s">
        <v>134</v>
      </c>
      <c r="E4073" s="27"/>
      <c r="F4073" s="27"/>
    </row>
    <row r="4074" spans="1:8" ht="17.25" thickBot="1" x14ac:dyDescent="0.35">
      <c r="A4074" s="13" t="s">
        <v>66</v>
      </c>
      <c r="B4074" s="2">
        <v>4275</v>
      </c>
      <c r="C4074" s="2">
        <v>8.5041820000000001</v>
      </c>
      <c r="D4074" s="2">
        <v>1.2002000000000001E-2</v>
      </c>
      <c r="E4074" s="2">
        <v>8.4806062999999998</v>
      </c>
      <c r="F4074" s="2">
        <v>8.5277583000000003</v>
      </c>
      <c r="H4074" s="8" t="str">
        <f t="shared" ref="H4074:H4077" si="169">TEXT(C4074,"0.00")&amp;" ("&amp;TEXT(E4074,"0.00")&amp;" to "&amp;TEXT(F4074,"0.00")&amp;")"</f>
        <v>8.50 (8.48 to 8.53)</v>
      </c>
    </row>
    <row r="4075" spans="1:8" ht="17.25" thickBot="1" x14ac:dyDescent="0.35">
      <c r="A4075" s="13" t="s">
        <v>67</v>
      </c>
      <c r="B4075" s="2">
        <v>4275</v>
      </c>
      <c r="C4075" s="2">
        <v>0.64677799999999996</v>
      </c>
      <c r="D4075" s="2">
        <v>1.403E-3</v>
      </c>
      <c r="E4075" s="2">
        <v>0.64402239999999999</v>
      </c>
      <c r="F4075" s="2">
        <v>0.64953309999999997</v>
      </c>
      <c r="H4075" s="8" t="str">
        <f t="shared" si="169"/>
        <v>0.65 (0.64 to 0.65)</v>
      </c>
    </row>
    <row r="4076" spans="1:8" ht="17.25" thickBot="1" x14ac:dyDescent="0.35">
      <c r="A4076" s="13" t="s">
        <v>68</v>
      </c>
      <c r="B4076" s="2">
        <v>4275</v>
      </c>
      <c r="C4076" s="2">
        <v>0.31797399999999998</v>
      </c>
      <c r="D4076" s="2">
        <v>5.934E-3</v>
      </c>
      <c r="E4076" s="2">
        <v>0.30631849999999999</v>
      </c>
      <c r="F4076" s="2">
        <v>0.32963019999999998</v>
      </c>
      <c r="H4076" s="8" t="str">
        <f t="shared" si="169"/>
        <v>0.32 (0.31 to 0.33)</v>
      </c>
    </row>
    <row r="4077" spans="1:8" x14ac:dyDescent="0.3">
      <c r="A4077" s="14" t="s">
        <v>69</v>
      </c>
      <c r="B4077" s="2">
        <v>4275</v>
      </c>
      <c r="C4077" s="2">
        <v>34.903087999999997</v>
      </c>
      <c r="D4077" s="2">
        <v>0.13855400000000001</v>
      </c>
      <c r="E4077" s="2">
        <v>34.630925900000001</v>
      </c>
      <c r="F4077" s="2">
        <v>35.175251000000003</v>
      </c>
      <c r="H4077" s="8" t="str">
        <f t="shared" si="169"/>
        <v>34.90 (34.63 to 35.18)</v>
      </c>
    </row>
    <row r="4081" spans="1:6" x14ac:dyDescent="0.3">
      <c r="A4081" s="1" t="s">
        <v>129</v>
      </c>
    </row>
    <row r="4083" spans="1:6" x14ac:dyDescent="0.3">
      <c r="A4083" s="1" t="s">
        <v>312</v>
      </c>
    </row>
    <row r="4084" spans="1:6" ht="17.25" thickBot="1" x14ac:dyDescent="0.35"/>
    <row r="4085" spans="1:6" ht="16.5" customHeight="1" x14ac:dyDescent="0.3">
      <c r="A4085" s="24" t="s">
        <v>75</v>
      </c>
      <c r="B4085" s="26"/>
    </row>
    <row r="4086" spans="1:6" ht="26.25" thickBot="1" x14ac:dyDescent="0.35">
      <c r="A4086" s="13" t="s">
        <v>76</v>
      </c>
      <c r="B4086" s="2">
        <v>25</v>
      </c>
    </row>
    <row r="4087" spans="1:6" ht="26.25" thickBot="1" x14ac:dyDescent="0.35">
      <c r="A4087" s="13" t="s">
        <v>77</v>
      </c>
      <c r="B4087" s="2">
        <v>567</v>
      </c>
    </row>
    <row r="4088" spans="1:6" ht="39" thickBot="1" x14ac:dyDescent="0.35">
      <c r="A4088" s="13" t="s">
        <v>78</v>
      </c>
      <c r="B4088" s="2">
        <v>2801</v>
      </c>
    </row>
    <row r="4089" spans="1:6" ht="25.5" x14ac:dyDescent="0.3">
      <c r="A4089" s="14" t="s">
        <v>79</v>
      </c>
      <c r="B4089" s="2">
        <v>1391523.09</v>
      </c>
    </row>
    <row r="4090" spans="1:6" ht="17.25" thickBot="1" x14ac:dyDescent="0.35"/>
    <row r="4091" spans="1:6" ht="33" customHeight="1" x14ac:dyDescent="0.3">
      <c r="A4091" s="24" t="s">
        <v>80</v>
      </c>
      <c r="B4091" s="26"/>
    </row>
    <row r="4092" spans="1:6" ht="33.75" thickBot="1" x14ac:dyDescent="0.35">
      <c r="A4092" s="13" t="s">
        <v>81</v>
      </c>
      <c r="B4092" s="2" t="s">
        <v>82</v>
      </c>
    </row>
    <row r="4093" spans="1:6" ht="25.5" x14ac:dyDescent="0.3">
      <c r="A4093" s="14" t="s">
        <v>83</v>
      </c>
      <c r="B4093" s="2" t="s">
        <v>84</v>
      </c>
    </row>
    <row r="4094" spans="1:6" ht="17.25" thickBot="1" x14ac:dyDescent="0.35"/>
    <row r="4095" spans="1:6" ht="16.5" customHeight="1" x14ac:dyDescent="0.3">
      <c r="A4095" s="24" t="s">
        <v>130</v>
      </c>
      <c r="B4095" s="26"/>
      <c r="C4095" s="26"/>
      <c r="D4095" s="26"/>
      <c r="E4095" s="26"/>
      <c r="F4095" s="26"/>
    </row>
    <row r="4096" spans="1:6" x14ac:dyDescent="0.3">
      <c r="A4096" s="25" t="s">
        <v>131</v>
      </c>
      <c r="B4096" s="27" t="s">
        <v>46</v>
      </c>
      <c r="C4096" s="27" t="s">
        <v>132</v>
      </c>
      <c r="D4096" s="3" t="s">
        <v>133</v>
      </c>
      <c r="E4096" s="27" t="s">
        <v>135</v>
      </c>
      <c r="F4096" s="27"/>
    </row>
    <row r="4097" spans="1:8" x14ac:dyDescent="0.3">
      <c r="A4097" s="25"/>
      <c r="B4097" s="27"/>
      <c r="C4097" s="27"/>
      <c r="D4097" s="3" t="s">
        <v>134</v>
      </c>
      <c r="E4097" s="27"/>
      <c r="F4097" s="27"/>
    </row>
    <row r="4098" spans="1:8" ht="17.25" thickBot="1" x14ac:dyDescent="0.35">
      <c r="A4098" s="13" t="s">
        <v>66</v>
      </c>
      <c r="B4098" s="2">
        <v>2801</v>
      </c>
      <c r="C4098" s="2">
        <v>8.8392730000000004</v>
      </c>
      <c r="D4098" s="2">
        <v>1.7283E-2</v>
      </c>
      <c r="E4098" s="2">
        <v>8.8053229000000002</v>
      </c>
      <c r="F4098" s="2">
        <v>8.8732231000000006</v>
      </c>
      <c r="H4098" s="8" t="str">
        <f t="shared" ref="H4098:H4101" si="170">TEXT(C4098,"0.00")&amp;" ("&amp;TEXT(E4098,"0.00")&amp;" to "&amp;TEXT(F4098,"0.00")&amp;")"</f>
        <v>8.84 (8.81 to 8.87)</v>
      </c>
    </row>
    <row r="4099" spans="1:8" ht="17.25" thickBot="1" x14ac:dyDescent="0.35">
      <c r="A4099" s="13" t="s">
        <v>67</v>
      </c>
      <c r="B4099" s="2">
        <v>2801</v>
      </c>
      <c r="C4099" s="2">
        <v>0.68506800000000001</v>
      </c>
      <c r="D4099" s="2">
        <v>1.823E-3</v>
      </c>
      <c r="E4099" s="2">
        <v>0.68148699999999995</v>
      </c>
      <c r="F4099" s="2">
        <v>0.68864829999999999</v>
      </c>
      <c r="H4099" s="8" t="str">
        <f t="shared" si="170"/>
        <v>0.69 (0.68 to 0.69)</v>
      </c>
    </row>
    <row r="4100" spans="1:8" ht="17.25" thickBot="1" x14ac:dyDescent="0.35">
      <c r="A4100" s="13" t="s">
        <v>68</v>
      </c>
      <c r="B4100" s="2">
        <v>2801</v>
      </c>
      <c r="C4100" s="2">
        <v>0.43290299999999998</v>
      </c>
      <c r="D4100" s="2">
        <v>8.3090000000000004E-3</v>
      </c>
      <c r="E4100" s="2">
        <v>0.41658200000000001</v>
      </c>
      <c r="F4100" s="2">
        <v>0.44922400000000001</v>
      </c>
      <c r="H4100" s="8" t="str">
        <f t="shared" si="170"/>
        <v>0.43 (0.42 to 0.45)</v>
      </c>
    </row>
    <row r="4101" spans="1:8" x14ac:dyDescent="0.3">
      <c r="A4101" s="14" t="s">
        <v>69</v>
      </c>
      <c r="B4101" s="2">
        <v>2801</v>
      </c>
      <c r="C4101" s="2">
        <v>36.602935000000002</v>
      </c>
      <c r="D4101" s="2">
        <v>0.17454900000000001</v>
      </c>
      <c r="E4101" s="2">
        <v>36.260059200000001</v>
      </c>
      <c r="F4101" s="2">
        <v>36.945810100000003</v>
      </c>
      <c r="H4101" s="8" t="str">
        <f t="shared" si="170"/>
        <v>36.60 (36.26 to 36.95)</v>
      </c>
    </row>
    <row r="4105" spans="1:8" x14ac:dyDescent="0.3">
      <c r="A4105" s="1" t="s">
        <v>129</v>
      </c>
    </row>
    <row r="4107" spans="1:8" x14ac:dyDescent="0.3">
      <c r="A4107" s="1" t="s">
        <v>313</v>
      </c>
    </row>
    <row r="4108" spans="1:8" ht="17.25" thickBot="1" x14ac:dyDescent="0.35"/>
    <row r="4109" spans="1:8" ht="16.5" customHeight="1" x14ac:dyDescent="0.3">
      <c r="A4109" s="24" t="s">
        <v>75</v>
      </c>
      <c r="B4109" s="26"/>
    </row>
    <row r="4110" spans="1:8" ht="26.25" thickBot="1" x14ac:dyDescent="0.35">
      <c r="A4110" s="13" t="s">
        <v>76</v>
      </c>
      <c r="B4110" s="2">
        <v>54</v>
      </c>
    </row>
    <row r="4111" spans="1:8" ht="26.25" thickBot="1" x14ac:dyDescent="0.35">
      <c r="A4111" s="13" t="s">
        <v>77</v>
      </c>
      <c r="B4111" s="2">
        <v>576</v>
      </c>
    </row>
    <row r="4112" spans="1:8" ht="39" thickBot="1" x14ac:dyDescent="0.35">
      <c r="A4112" s="13" t="s">
        <v>78</v>
      </c>
      <c r="B4112" s="2">
        <v>5475</v>
      </c>
    </row>
    <row r="4113" spans="1:8" ht="25.5" x14ac:dyDescent="0.3">
      <c r="A4113" s="14" t="s">
        <v>79</v>
      </c>
      <c r="B4113" s="2">
        <v>2215521.59</v>
      </c>
    </row>
    <row r="4114" spans="1:8" ht="17.25" thickBot="1" x14ac:dyDescent="0.35"/>
    <row r="4115" spans="1:8" ht="33" customHeight="1" x14ac:dyDescent="0.3">
      <c r="A4115" s="24" t="s">
        <v>80</v>
      </c>
      <c r="B4115" s="26"/>
    </row>
    <row r="4116" spans="1:8" ht="33.75" thickBot="1" x14ac:dyDescent="0.35">
      <c r="A4116" s="13" t="s">
        <v>81</v>
      </c>
      <c r="B4116" s="2" t="s">
        <v>82</v>
      </c>
    </row>
    <row r="4117" spans="1:8" ht="25.5" x14ac:dyDescent="0.3">
      <c r="A4117" s="14" t="s">
        <v>83</v>
      </c>
      <c r="B4117" s="2" t="s">
        <v>84</v>
      </c>
    </row>
    <row r="4118" spans="1:8" ht="17.25" thickBot="1" x14ac:dyDescent="0.35"/>
    <row r="4119" spans="1:8" ht="16.5" customHeight="1" x14ac:dyDescent="0.3">
      <c r="A4119" s="24" t="s">
        <v>130</v>
      </c>
      <c r="B4119" s="26"/>
      <c r="C4119" s="26"/>
      <c r="D4119" s="26"/>
      <c r="E4119" s="26"/>
      <c r="F4119" s="26"/>
    </row>
    <row r="4120" spans="1:8" x14ac:dyDescent="0.3">
      <c r="A4120" s="25" t="s">
        <v>131</v>
      </c>
      <c r="B4120" s="27" t="s">
        <v>46</v>
      </c>
      <c r="C4120" s="27" t="s">
        <v>132</v>
      </c>
      <c r="D4120" s="3" t="s">
        <v>133</v>
      </c>
      <c r="E4120" s="27" t="s">
        <v>135</v>
      </c>
      <c r="F4120" s="27"/>
    </row>
    <row r="4121" spans="1:8" x14ac:dyDescent="0.3">
      <c r="A4121" s="25"/>
      <c r="B4121" s="27"/>
      <c r="C4121" s="27"/>
      <c r="D4121" s="3" t="s">
        <v>134</v>
      </c>
      <c r="E4121" s="27"/>
      <c r="F4121" s="27"/>
    </row>
    <row r="4122" spans="1:8" ht="17.25" thickBot="1" x14ac:dyDescent="0.35">
      <c r="A4122" s="13" t="s">
        <v>66</v>
      </c>
      <c r="B4122" s="2">
        <v>5475</v>
      </c>
      <c r="C4122" s="2">
        <v>8.5440950000000004</v>
      </c>
      <c r="D4122" s="2">
        <v>1.0975E-2</v>
      </c>
      <c r="E4122" s="2">
        <v>8.5225351000000007</v>
      </c>
      <c r="F4122" s="2">
        <v>8.5656558999999994</v>
      </c>
      <c r="H4122" s="8" t="str">
        <f t="shared" ref="H4122:H4125" si="171">TEXT(C4122,"0.00")&amp;" ("&amp;TEXT(E4122,"0.00")&amp;" to "&amp;TEXT(F4122,"0.00")&amp;")"</f>
        <v>8.54 (8.52 to 8.57)</v>
      </c>
    </row>
    <row r="4123" spans="1:8" ht="17.25" thickBot="1" x14ac:dyDescent="0.35">
      <c r="A4123" s="13" t="s">
        <v>67</v>
      </c>
      <c r="B4123" s="2">
        <v>5475</v>
      </c>
      <c r="C4123" s="2">
        <v>0.66129000000000004</v>
      </c>
      <c r="D4123" s="2">
        <v>1.4040000000000001E-3</v>
      </c>
      <c r="E4123" s="2">
        <v>0.65853269999999997</v>
      </c>
      <c r="F4123" s="2">
        <v>0.6640471</v>
      </c>
      <c r="H4123" s="8" t="str">
        <f t="shared" si="171"/>
        <v>0.66 (0.66 to 0.66)</v>
      </c>
    </row>
    <row r="4124" spans="1:8" ht="17.25" thickBot="1" x14ac:dyDescent="0.35">
      <c r="A4124" s="13" t="s">
        <v>68</v>
      </c>
      <c r="B4124" s="2">
        <v>5475</v>
      </c>
      <c r="C4124" s="2">
        <v>0.33475300000000002</v>
      </c>
      <c r="D4124" s="2">
        <v>5.3090000000000004E-3</v>
      </c>
      <c r="E4124" s="2">
        <v>0.32432430000000001</v>
      </c>
      <c r="F4124" s="2">
        <v>0.34518199999999999</v>
      </c>
      <c r="H4124" s="8" t="str">
        <f t="shared" si="171"/>
        <v>0.33 (0.32 to 0.35)</v>
      </c>
    </row>
    <row r="4125" spans="1:8" x14ac:dyDescent="0.3">
      <c r="A4125" s="14" t="s">
        <v>69</v>
      </c>
      <c r="B4125" s="2">
        <v>5475</v>
      </c>
      <c r="C4125" s="2">
        <v>35.505057999999998</v>
      </c>
      <c r="D4125" s="2">
        <v>0.13814299999999999</v>
      </c>
      <c r="E4125" s="2">
        <v>35.233672300000002</v>
      </c>
      <c r="F4125" s="2">
        <v>35.776443</v>
      </c>
      <c r="H4125" s="8" t="str">
        <f t="shared" si="171"/>
        <v>35.51 (35.23 to 35.78)</v>
      </c>
    </row>
    <row r="4129" spans="1:6" x14ac:dyDescent="0.3">
      <c r="A4129" s="1" t="s">
        <v>129</v>
      </c>
    </row>
    <row r="4131" spans="1:6" x14ac:dyDescent="0.3">
      <c r="A4131" s="1" t="s">
        <v>314</v>
      </c>
    </row>
    <row r="4132" spans="1:6" ht="17.25" thickBot="1" x14ac:dyDescent="0.35"/>
    <row r="4133" spans="1:6" ht="16.5" customHeight="1" x14ac:dyDescent="0.3">
      <c r="A4133" s="24" t="s">
        <v>75</v>
      </c>
      <c r="B4133" s="26"/>
    </row>
    <row r="4134" spans="1:6" ht="26.25" thickBot="1" x14ac:dyDescent="0.35">
      <c r="A4134" s="13" t="s">
        <v>76</v>
      </c>
      <c r="B4134" s="2">
        <v>54</v>
      </c>
    </row>
    <row r="4135" spans="1:6" ht="26.25" thickBot="1" x14ac:dyDescent="0.35">
      <c r="A4135" s="13" t="s">
        <v>77</v>
      </c>
      <c r="B4135" s="2">
        <v>573</v>
      </c>
    </row>
    <row r="4136" spans="1:6" ht="39" thickBot="1" x14ac:dyDescent="0.35">
      <c r="A4136" s="13" t="s">
        <v>78</v>
      </c>
      <c r="B4136" s="2">
        <v>5105</v>
      </c>
    </row>
    <row r="4137" spans="1:6" ht="25.5" x14ac:dyDescent="0.3">
      <c r="A4137" s="14" t="s">
        <v>79</v>
      </c>
      <c r="B4137" s="2">
        <v>2431472.94</v>
      </c>
    </row>
    <row r="4138" spans="1:6" ht="17.25" thickBot="1" x14ac:dyDescent="0.35"/>
    <row r="4139" spans="1:6" ht="33" customHeight="1" x14ac:dyDescent="0.3">
      <c r="A4139" s="24" t="s">
        <v>80</v>
      </c>
      <c r="B4139" s="26"/>
    </row>
    <row r="4140" spans="1:6" ht="33.75" thickBot="1" x14ac:dyDescent="0.35">
      <c r="A4140" s="13" t="s">
        <v>81</v>
      </c>
      <c r="B4140" s="2" t="s">
        <v>82</v>
      </c>
    </row>
    <row r="4141" spans="1:6" ht="25.5" x14ac:dyDescent="0.3">
      <c r="A4141" s="14" t="s">
        <v>83</v>
      </c>
      <c r="B4141" s="2" t="s">
        <v>84</v>
      </c>
    </row>
    <row r="4142" spans="1:6" ht="17.25" thickBot="1" x14ac:dyDescent="0.35"/>
    <row r="4143" spans="1:6" ht="16.5" customHeight="1" x14ac:dyDescent="0.3">
      <c r="A4143" s="24" t="s">
        <v>130</v>
      </c>
      <c r="B4143" s="26"/>
      <c r="C4143" s="26"/>
      <c r="D4143" s="26"/>
      <c r="E4143" s="26"/>
      <c r="F4143" s="26"/>
    </row>
    <row r="4144" spans="1:6" x14ac:dyDescent="0.3">
      <c r="A4144" s="25" t="s">
        <v>131</v>
      </c>
      <c r="B4144" s="27" t="s">
        <v>46</v>
      </c>
      <c r="C4144" s="27" t="s">
        <v>132</v>
      </c>
      <c r="D4144" s="3" t="s">
        <v>133</v>
      </c>
      <c r="E4144" s="27" t="s">
        <v>135</v>
      </c>
      <c r="F4144" s="27"/>
    </row>
    <row r="4145" spans="1:8" x14ac:dyDescent="0.3">
      <c r="A4145" s="25"/>
      <c r="B4145" s="27"/>
      <c r="C4145" s="27"/>
      <c r="D4145" s="3" t="s">
        <v>134</v>
      </c>
      <c r="E4145" s="27"/>
      <c r="F4145" s="27"/>
    </row>
    <row r="4146" spans="1:8" ht="17.25" thickBot="1" x14ac:dyDescent="0.35">
      <c r="A4146" s="13" t="s">
        <v>66</v>
      </c>
      <c r="B4146" s="2">
        <v>5105</v>
      </c>
      <c r="C4146" s="2">
        <v>8.5326989999999991</v>
      </c>
      <c r="D4146" s="2">
        <v>1.0691000000000001E-2</v>
      </c>
      <c r="E4146" s="2">
        <v>8.5116958999999994</v>
      </c>
      <c r="F4146" s="2">
        <v>8.5537013999999996</v>
      </c>
      <c r="H4146" s="8" t="str">
        <f t="shared" ref="H4146:H4149" si="172">TEXT(C4146,"0.00")&amp;" ("&amp;TEXT(E4146,"0.00")&amp;" to "&amp;TEXT(F4146,"0.00")&amp;")"</f>
        <v>8.53 (8.51 to 8.55)</v>
      </c>
    </row>
    <row r="4147" spans="1:8" ht="17.25" thickBot="1" x14ac:dyDescent="0.35">
      <c r="A4147" s="13" t="s">
        <v>67</v>
      </c>
      <c r="B4147" s="2">
        <v>5105</v>
      </c>
      <c r="C4147" s="2">
        <v>0.65205400000000002</v>
      </c>
      <c r="D4147" s="2">
        <v>1.1969999999999999E-3</v>
      </c>
      <c r="E4147" s="2">
        <v>0.64970209999999995</v>
      </c>
      <c r="F4147" s="2">
        <v>0.65440549999999997</v>
      </c>
      <c r="H4147" s="8" t="str">
        <f t="shared" si="172"/>
        <v>0.65 (0.65 to 0.65)</v>
      </c>
    </row>
    <row r="4148" spans="1:8" ht="17.25" thickBot="1" x14ac:dyDescent="0.35">
      <c r="A4148" s="13" t="s">
        <v>68</v>
      </c>
      <c r="B4148" s="2">
        <v>5105</v>
      </c>
      <c r="C4148" s="2">
        <v>0.32648300000000002</v>
      </c>
      <c r="D4148" s="2">
        <v>5.3460000000000001E-3</v>
      </c>
      <c r="E4148" s="2">
        <v>0.31597960000000003</v>
      </c>
      <c r="F4148" s="2">
        <v>0.3369856</v>
      </c>
      <c r="H4148" s="8" t="str">
        <f t="shared" si="172"/>
        <v>0.33 (0.32 to 0.34)</v>
      </c>
    </row>
    <row r="4149" spans="1:8" x14ac:dyDescent="0.3">
      <c r="A4149" s="14" t="s">
        <v>69</v>
      </c>
      <c r="B4149" s="2">
        <v>5105</v>
      </c>
      <c r="C4149" s="2">
        <v>35.440792000000002</v>
      </c>
      <c r="D4149" s="2">
        <v>0.136988</v>
      </c>
      <c r="E4149" s="2">
        <v>35.1716725</v>
      </c>
      <c r="F4149" s="2">
        <v>35.709911499999997</v>
      </c>
      <c r="H4149" s="8" t="str">
        <f t="shared" si="172"/>
        <v>35.44 (35.17 to 35.71)</v>
      </c>
    </row>
    <row r="4153" spans="1:8" x14ac:dyDescent="0.3">
      <c r="A4153" s="1" t="s">
        <v>129</v>
      </c>
    </row>
    <row r="4155" spans="1:8" x14ac:dyDescent="0.3">
      <c r="A4155" s="1" t="s">
        <v>315</v>
      </c>
    </row>
    <row r="4156" spans="1:8" ht="17.25" thickBot="1" x14ac:dyDescent="0.35"/>
    <row r="4157" spans="1:8" ht="16.5" customHeight="1" x14ac:dyDescent="0.3">
      <c r="A4157" s="24" t="s">
        <v>75</v>
      </c>
      <c r="B4157" s="26"/>
    </row>
    <row r="4158" spans="1:8" ht="26.25" thickBot="1" x14ac:dyDescent="0.35">
      <c r="A4158" s="13" t="s">
        <v>76</v>
      </c>
      <c r="B4158" s="2">
        <v>54</v>
      </c>
    </row>
    <row r="4159" spans="1:8" ht="26.25" thickBot="1" x14ac:dyDescent="0.35">
      <c r="A4159" s="13" t="s">
        <v>77</v>
      </c>
      <c r="B4159" s="2">
        <v>575</v>
      </c>
    </row>
    <row r="4160" spans="1:8" ht="39" thickBot="1" x14ac:dyDescent="0.35">
      <c r="A4160" s="13" t="s">
        <v>78</v>
      </c>
      <c r="B4160" s="2">
        <v>3578</v>
      </c>
    </row>
    <row r="4161" spans="1:8" ht="25.5" x14ac:dyDescent="0.3">
      <c r="A4161" s="14" t="s">
        <v>79</v>
      </c>
      <c r="B4161" s="2">
        <v>1673965.98</v>
      </c>
    </row>
    <row r="4162" spans="1:8" ht="17.25" thickBot="1" x14ac:dyDescent="0.35"/>
    <row r="4163" spans="1:8" ht="33" customHeight="1" x14ac:dyDescent="0.3">
      <c r="A4163" s="24" t="s">
        <v>80</v>
      </c>
      <c r="B4163" s="26"/>
    </row>
    <row r="4164" spans="1:8" ht="33.75" thickBot="1" x14ac:dyDescent="0.35">
      <c r="A4164" s="13" t="s">
        <v>81</v>
      </c>
      <c r="B4164" s="2" t="s">
        <v>82</v>
      </c>
    </row>
    <row r="4165" spans="1:8" ht="25.5" x14ac:dyDescent="0.3">
      <c r="A4165" s="14" t="s">
        <v>83</v>
      </c>
      <c r="B4165" s="2" t="s">
        <v>84</v>
      </c>
    </row>
    <row r="4166" spans="1:8" ht="17.25" thickBot="1" x14ac:dyDescent="0.35"/>
    <row r="4167" spans="1:8" ht="16.5" customHeight="1" x14ac:dyDescent="0.3">
      <c r="A4167" s="24" t="s">
        <v>130</v>
      </c>
      <c r="B4167" s="26"/>
      <c r="C4167" s="26"/>
      <c r="D4167" s="26"/>
      <c r="E4167" s="26"/>
      <c r="F4167" s="26"/>
    </row>
    <row r="4168" spans="1:8" x14ac:dyDescent="0.3">
      <c r="A4168" s="25" t="s">
        <v>131</v>
      </c>
      <c r="B4168" s="27" t="s">
        <v>46</v>
      </c>
      <c r="C4168" s="27" t="s">
        <v>132</v>
      </c>
      <c r="D4168" s="3" t="s">
        <v>133</v>
      </c>
      <c r="E4168" s="27" t="s">
        <v>135</v>
      </c>
      <c r="F4168" s="27"/>
    </row>
    <row r="4169" spans="1:8" x14ac:dyDescent="0.3">
      <c r="A4169" s="25"/>
      <c r="B4169" s="27"/>
      <c r="C4169" s="27"/>
      <c r="D4169" s="3" t="s">
        <v>134</v>
      </c>
      <c r="E4169" s="27"/>
      <c r="F4169" s="27"/>
    </row>
    <row r="4170" spans="1:8" ht="17.25" thickBot="1" x14ac:dyDescent="0.35">
      <c r="A4170" s="13" t="s">
        <v>66</v>
      </c>
      <c r="B4170" s="2">
        <v>3578</v>
      </c>
      <c r="C4170" s="2">
        <v>8.8083539999999996</v>
      </c>
      <c r="D4170" s="2">
        <v>1.5211000000000001E-2</v>
      </c>
      <c r="E4170" s="2">
        <v>8.7784715000000002</v>
      </c>
      <c r="F4170" s="2">
        <v>8.8382372</v>
      </c>
      <c r="H4170" s="8" t="str">
        <f t="shared" ref="H4170:H4173" si="173">TEXT(C4170,"0.00")&amp;" ("&amp;TEXT(E4170,"0.00")&amp;" to "&amp;TEXT(F4170,"0.00")&amp;")"</f>
        <v>8.81 (8.78 to 8.84)</v>
      </c>
    </row>
    <row r="4171" spans="1:8" ht="17.25" thickBot="1" x14ac:dyDescent="0.35">
      <c r="A4171" s="13" t="s">
        <v>67</v>
      </c>
      <c r="B4171" s="2">
        <v>3578</v>
      </c>
      <c r="C4171" s="2">
        <v>0.68699900000000003</v>
      </c>
      <c r="D4171" s="2">
        <v>1.629E-3</v>
      </c>
      <c r="E4171" s="2">
        <v>0.68379820000000002</v>
      </c>
      <c r="F4171" s="2">
        <v>0.69019900000000001</v>
      </c>
      <c r="H4171" s="8" t="str">
        <f t="shared" si="173"/>
        <v>0.69 (0.68 to 0.69)</v>
      </c>
    </row>
    <row r="4172" spans="1:8" ht="17.25" thickBot="1" x14ac:dyDescent="0.35">
      <c r="A4172" s="13" t="s">
        <v>68</v>
      </c>
      <c r="B4172" s="2">
        <v>3578</v>
      </c>
      <c r="C4172" s="2">
        <v>0.41556399999999999</v>
      </c>
      <c r="D4172" s="2">
        <v>7.3749999999999996E-3</v>
      </c>
      <c r="E4172" s="2">
        <v>0.40107579999999998</v>
      </c>
      <c r="F4172" s="2">
        <v>0.4300524</v>
      </c>
      <c r="H4172" s="8" t="str">
        <f t="shared" si="173"/>
        <v>0.42 (0.40 to 0.43)</v>
      </c>
    </row>
    <row r="4173" spans="1:8" x14ac:dyDescent="0.3">
      <c r="A4173" s="14" t="s">
        <v>69</v>
      </c>
      <c r="B4173" s="2">
        <v>3578</v>
      </c>
      <c r="C4173" s="2">
        <v>36.486181000000002</v>
      </c>
      <c r="D4173" s="2">
        <v>0.15396099999999999</v>
      </c>
      <c r="E4173" s="2">
        <v>36.183720100000002</v>
      </c>
      <c r="F4173" s="2">
        <v>36.7886411</v>
      </c>
      <c r="H4173" s="8" t="str">
        <f t="shared" si="173"/>
        <v>36.49 (36.18 to 36.79)</v>
      </c>
    </row>
    <row r="4177" spans="1:6" x14ac:dyDescent="0.3">
      <c r="A4177" s="1" t="s">
        <v>129</v>
      </c>
    </row>
    <row r="4179" spans="1:6" x14ac:dyDescent="0.3">
      <c r="A4179" s="1" t="s">
        <v>316</v>
      </c>
    </row>
    <row r="4180" spans="1:6" ht="17.25" thickBot="1" x14ac:dyDescent="0.35"/>
    <row r="4181" spans="1:6" ht="16.5" customHeight="1" x14ac:dyDescent="0.3">
      <c r="A4181" s="24" t="s">
        <v>75</v>
      </c>
      <c r="B4181" s="26"/>
    </row>
    <row r="4182" spans="1:6" ht="26.25" thickBot="1" x14ac:dyDescent="0.35">
      <c r="A4182" s="13" t="s">
        <v>76</v>
      </c>
      <c r="B4182" s="2">
        <v>27</v>
      </c>
    </row>
    <row r="4183" spans="1:6" ht="26.25" thickBot="1" x14ac:dyDescent="0.35">
      <c r="A4183" s="13" t="s">
        <v>77</v>
      </c>
      <c r="B4183" s="2">
        <v>564</v>
      </c>
    </row>
    <row r="4184" spans="1:6" ht="39" thickBot="1" x14ac:dyDescent="0.35">
      <c r="A4184" s="13" t="s">
        <v>78</v>
      </c>
      <c r="B4184" s="2">
        <v>5622</v>
      </c>
    </row>
    <row r="4185" spans="1:6" ht="25.5" x14ac:dyDescent="0.3">
      <c r="A4185" s="14" t="s">
        <v>79</v>
      </c>
      <c r="B4185" s="2">
        <v>2528612.92</v>
      </c>
    </row>
    <row r="4186" spans="1:6" ht="17.25" thickBot="1" x14ac:dyDescent="0.35"/>
    <row r="4187" spans="1:6" ht="33" customHeight="1" x14ac:dyDescent="0.3">
      <c r="A4187" s="24" t="s">
        <v>80</v>
      </c>
      <c r="B4187" s="26"/>
    </row>
    <row r="4188" spans="1:6" ht="33.75" thickBot="1" x14ac:dyDescent="0.35">
      <c r="A4188" s="13" t="s">
        <v>81</v>
      </c>
      <c r="B4188" s="2" t="s">
        <v>82</v>
      </c>
    </row>
    <row r="4189" spans="1:6" ht="25.5" x14ac:dyDescent="0.3">
      <c r="A4189" s="14" t="s">
        <v>83</v>
      </c>
      <c r="B4189" s="2" t="s">
        <v>84</v>
      </c>
    </row>
    <row r="4190" spans="1:6" ht="17.25" thickBot="1" x14ac:dyDescent="0.35"/>
    <row r="4191" spans="1:6" ht="16.5" customHeight="1" x14ac:dyDescent="0.3">
      <c r="A4191" s="24" t="s">
        <v>130</v>
      </c>
      <c r="B4191" s="26"/>
      <c r="C4191" s="26"/>
      <c r="D4191" s="26"/>
      <c r="E4191" s="26"/>
      <c r="F4191" s="26"/>
    </row>
    <row r="4192" spans="1:6" x14ac:dyDescent="0.3">
      <c r="A4192" s="25" t="s">
        <v>131</v>
      </c>
      <c r="B4192" s="27" t="s">
        <v>46</v>
      </c>
      <c r="C4192" s="27" t="s">
        <v>132</v>
      </c>
      <c r="D4192" s="3" t="s">
        <v>133</v>
      </c>
      <c r="E4192" s="27" t="s">
        <v>135</v>
      </c>
      <c r="F4192" s="27"/>
    </row>
    <row r="4193" spans="1:8" x14ac:dyDescent="0.3">
      <c r="A4193" s="25"/>
      <c r="B4193" s="27"/>
      <c r="C4193" s="27"/>
      <c r="D4193" s="3" t="s">
        <v>134</v>
      </c>
      <c r="E4193" s="27"/>
      <c r="F4193" s="27"/>
    </row>
    <row r="4194" spans="1:8" ht="17.25" thickBot="1" x14ac:dyDescent="0.35">
      <c r="A4194" s="13" t="s">
        <v>66</v>
      </c>
      <c r="B4194" s="2">
        <v>5622</v>
      </c>
      <c r="C4194" s="2">
        <v>8.519171</v>
      </c>
      <c r="D4194" s="2">
        <v>1.1516E-2</v>
      </c>
      <c r="E4194" s="2">
        <v>8.4965496999999992</v>
      </c>
      <c r="F4194" s="2">
        <v>8.5417921000000003</v>
      </c>
      <c r="H4194" s="8" t="str">
        <f t="shared" ref="H4194:H4197" si="174">TEXT(C4194,"0.00")&amp;" ("&amp;TEXT(E4194,"0.00")&amp;" to "&amp;TEXT(F4194,"0.00")&amp;")"</f>
        <v>8.52 (8.50 to 8.54)</v>
      </c>
    </row>
    <row r="4195" spans="1:8" ht="17.25" thickBot="1" x14ac:dyDescent="0.35">
      <c r="A4195" s="13" t="s">
        <v>67</v>
      </c>
      <c r="B4195" s="2">
        <v>5622</v>
      </c>
      <c r="C4195" s="2">
        <v>0.66899399999999998</v>
      </c>
      <c r="D4195" s="2">
        <v>1.3389999999999999E-3</v>
      </c>
      <c r="E4195" s="2">
        <v>0.6663637</v>
      </c>
      <c r="F4195" s="2">
        <v>0.67162509999999997</v>
      </c>
      <c r="H4195" s="8" t="str">
        <f t="shared" si="174"/>
        <v>0.67 (0.67 to 0.67)</v>
      </c>
    </row>
    <row r="4196" spans="1:8" ht="17.25" thickBot="1" x14ac:dyDescent="0.35">
      <c r="A4196" s="13" t="s">
        <v>68</v>
      </c>
      <c r="B4196" s="2">
        <v>5622</v>
      </c>
      <c r="C4196" s="2">
        <v>0.31036799999999998</v>
      </c>
      <c r="D4196" s="2">
        <v>5.6389999999999999E-3</v>
      </c>
      <c r="E4196" s="2">
        <v>0.29929090000000003</v>
      </c>
      <c r="F4196" s="2">
        <v>0.32144489999999998</v>
      </c>
      <c r="H4196" s="8" t="str">
        <f t="shared" si="174"/>
        <v>0.31 (0.30 to 0.32)</v>
      </c>
    </row>
    <row r="4197" spans="1:8" x14ac:dyDescent="0.3">
      <c r="A4197" s="14" t="s">
        <v>69</v>
      </c>
      <c r="B4197" s="2">
        <v>5622</v>
      </c>
      <c r="C4197" s="2">
        <v>35.675834000000002</v>
      </c>
      <c r="D4197" s="2">
        <v>0.14546300000000001</v>
      </c>
      <c r="E4197" s="2">
        <v>35.390087200000004</v>
      </c>
      <c r="F4197" s="2">
        <v>35.961580400000003</v>
      </c>
      <c r="H4197" s="8" t="str">
        <f t="shared" si="174"/>
        <v>35.68 (35.39 to 35.96)</v>
      </c>
    </row>
    <row r="4201" spans="1:8" x14ac:dyDescent="0.3">
      <c r="A4201" s="1" t="s">
        <v>129</v>
      </c>
    </row>
    <row r="4203" spans="1:8" x14ac:dyDescent="0.3">
      <c r="A4203" s="1" t="s">
        <v>317</v>
      </c>
    </row>
    <row r="4204" spans="1:8" ht="17.25" thickBot="1" x14ac:dyDescent="0.35"/>
    <row r="4205" spans="1:8" ht="16.5" customHeight="1" x14ac:dyDescent="0.3">
      <c r="A4205" s="24" t="s">
        <v>75</v>
      </c>
      <c r="B4205" s="26"/>
    </row>
    <row r="4206" spans="1:8" ht="26.25" thickBot="1" x14ac:dyDescent="0.35">
      <c r="A4206" s="13" t="s">
        <v>76</v>
      </c>
      <c r="B4206" s="2">
        <v>27</v>
      </c>
    </row>
    <row r="4207" spans="1:8" ht="26.25" thickBot="1" x14ac:dyDescent="0.35">
      <c r="A4207" s="13" t="s">
        <v>77</v>
      </c>
      <c r="B4207" s="2">
        <v>562</v>
      </c>
    </row>
    <row r="4208" spans="1:8" ht="39" thickBot="1" x14ac:dyDescent="0.35">
      <c r="A4208" s="13" t="s">
        <v>78</v>
      </c>
      <c r="B4208" s="2">
        <v>4873</v>
      </c>
    </row>
    <row r="4209" spans="1:8" ht="25.5" x14ac:dyDescent="0.3">
      <c r="A4209" s="14" t="s">
        <v>79</v>
      </c>
      <c r="B4209" s="2">
        <v>2495628.73</v>
      </c>
    </row>
    <row r="4210" spans="1:8" ht="17.25" thickBot="1" x14ac:dyDescent="0.35"/>
    <row r="4211" spans="1:8" ht="33" customHeight="1" x14ac:dyDescent="0.3">
      <c r="A4211" s="24" t="s">
        <v>80</v>
      </c>
      <c r="B4211" s="26"/>
    </row>
    <row r="4212" spans="1:8" ht="33.75" thickBot="1" x14ac:dyDescent="0.35">
      <c r="A4212" s="13" t="s">
        <v>81</v>
      </c>
      <c r="B4212" s="2" t="s">
        <v>82</v>
      </c>
    </row>
    <row r="4213" spans="1:8" ht="25.5" x14ac:dyDescent="0.3">
      <c r="A4213" s="14" t="s">
        <v>83</v>
      </c>
      <c r="B4213" s="2" t="s">
        <v>84</v>
      </c>
    </row>
    <row r="4214" spans="1:8" ht="17.25" thickBot="1" x14ac:dyDescent="0.35"/>
    <row r="4215" spans="1:8" ht="16.5" customHeight="1" x14ac:dyDescent="0.3">
      <c r="A4215" s="24" t="s">
        <v>130</v>
      </c>
      <c r="B4215" s="26"/>
      <c r="C4215" s="26"/>
      <c r="D4215" s="26"/>
      <c r="E4215" s="26"/>
      <c r="F4215" s="26"/>
    </row>
    <row r="4216" spans="1:8" x14ac:dyDescent="0.3">
      <c r="A4216" s="25" t="s">
        <v>131</v>
      </c>
      <c r="B4216" s="27" t="s">
        <v>46</v>
      </c>
      <c r="C4216" s="27" t="s">
        <v>132</v>
      </c>
      <c r="D4216" s="3" t="s">
        <v>133</v>
      </c>
      <c r="E4216" s="27" t="s">
        <v>135</v>
      </c>
      <c r="F4216" s="27"/>
    </row>
    <row r="4217" spans="1:8" x14ac:dyDescent="0.3">
      <c r="A4217" s="25"/>
      <c r="B4217" s="27"/>
      <c r="C4217" s="27"/>
      <c r="D4217" s="3" t="s">
        <v>134</v>
      </c>
      <c r="E4217" s="27"/>
      <c r="F4217" s="27"/>
    </row>
    <row r="4218" spans="1:8" ht="17.25" thickBot="1" x14ac:dyDescent="0.35">
      <c r="A4218" s="13" t="s">
        <v>66</v>
      </c>
      <c r="B4218" s="2">
        <v>4873</v>
      </c>
      <c r="C4218" s="2">
        <v>8.5316939999999999</v>
      </c>
      <c r="D4218" s="2">
        <v>1.1766E-2</v>
      </c>
      <c r="E4218" s="2">
        <v>8.5085811000000007</v>
      </c>
      <c r="F4218" s="2">
        <v>8.5548061999999998</v>
      </c>
      <c r="H4218" s="8" t="str">
        <f t="shared" ref="H4218:H4221" si="175">TEXT(C4218,"0.00")&amp;" ("&amp;TEXT(E4218,"0.00")&amp;" to "&amp;TEXT(F4218,"0.00")&amp;")"</f>
        <v>8.53 (8.51 to 8.55)</v>
      </c>
    </row>
    <row r="4219" spans="1:8" ht="17.25" thickBot="1" x14ac:dyDescent="0.35">
      <c r="A4219" s="13" t="s">
        <v>67</v>
      </c>
      <c r="B4219" s="2">
        <v>4873</v>
      </c>
      <c r="C4219" s="2">
        <v>0.66181199999999996</v>
      </c>
      <c r="D4219" s="2">
        <v>1.3270000000000001E-3</v>
      </c>
      <c r="E4219" s="2">
        <v>0.6592055</v>
      </c>
      <c r="F4219" s="2">
        <v>0.66441899999999998</v>
      </c>
      <c r="H4219" s="8" t="str">
        <f t="shared" si="175"/>
        <v>0.66 (0.66 to 0.66)</v>
      </c>
    </row>
    <row r="4220" spans="1:8" ht="17.25" thickBot="1" x14ac:dyDescent="0.35">
      <c r="A4220" s="13" t="s">
        <v>68</v>
      </c>
      <c r="B4220" s="2">
        <v>4873</v>
      </c>
      <c r="C4220" s="2">
        <v>0.31100499999999998</v>
      </c>
      <c r="D4220" s="2">
        <v>5.921E-3</v>
      </c>
      <c r="E4220" s="2">
        <v>0.29937380000000002</v>
      </c>
      <c r="F4220" s="2">
        <v>0.32263649999999999</v>
      </c>
      <c r="H4220" s="8" t="str">
        <f t="shared" si="175"/>
        <v>0.31 (0.30 to 0.32)</v>
      </c>
    </row>
    <row r="4221" spans="1:8" x14ac:dyDescent="0.3">
      <c r="A4221" s="14" t="s">
        <v>69</v>
      </c>
      <c r="B4221" s="2">
        <v>4873</v>
      </c>
      <c r="C4221" s="2">
        <v>35.531680999999999</v>
      </c>
      <c r="D4221" s="2">
        <v>0.14355200000000001</v>
      </c>
      <c r="E4221" s="2">
        <v>35.249686199999999</v>
      </c>
      <c r="F4221" s="2">
        <v>35.813676700000002</v>
      </c>
      <c r="H4221" s="8" t="str">
        <f t="shared" si="175"/>
        <v>35.53 (35.25 to 35.81)</v>
      </c>
    </row>
    <row r="4225" spans="1:6" x14ac:dyDescent="0.3">
      <c r="A4225" s="1" t="s">
        <v>129</v>
      </c>
    </row>
    <row r="4227" spans="1:6" x14ac:dyDescent="0.3">
      <c r="A4227" s="1" t="s">
        <v>318</v>
      </c>
    </row>
    <row r="4228" spans="1:6" ht="17.25" thickBot="1" x14ac:dyDescent="0.35"/>
    <row r="4229" spans="1:6" ht="16.5" customHeight="1" x14ac:dyDescent="0.3">
      <c r="A4229" s="24" t="s">
        <v>75</v>
      </c>
      <c r="B4229" s="26"/>
    </row>
    <row r="4230" spans="1:6" ht="26.25" thickBot="1" x14ac:dyDescent="0.35">
      <c r="A4230" s="13" t="s">
        <v>76</v>
      </c>
      <c r="B4230" s="2">
        <v>27</v>
      </c>
    </row>
    <row r="4231" spans="1:6" ht="26.25" thickBot="1" x14ac:dyDescent="0.35">
      <c r="A4231" s="13" t="s">
        <v>77</v>
      </c>
      <c r="B4231" s="2">
        <v>557</v>
      </c>
    </row>
    <row r="4232" spans="1:6" ht="39" thickBot="1" x14ac:dyDescent="0.35">
      <c r="A4232" s="13" t="s">
        <v>78</v>
      </c>
      <c r="B4232" s="2">
        <v>3060</v>
      </c>
    </row>
    <row r="4233" spans="1:6" ht="25.5" x14ac:dyDescent="0.3">
      <c r="A4233" s="14" t="s">
        <v>79</v>
      </c>
      <c r="B4233" s="2">
        <v>1530457.16</v>
      </c>
    </row>
    <row r="4234" spans="1:6" ht="17.25" thickBot="1" x14ac:dyDescent="0.35"/>
    <row r="4235" spans="1:6" ht="33" customHeight="1" x14ac:dyDescent="0.3">
      <c r="A4235" s="24" t="s">
        <v>80</v>
      </c>
      <c r="B4235" s="26"/>
    </row>
    <row r="4236" spans="1:6" ht="33.75" thickBot="1" x14ac:dyDescent="0.35">
      <c r="A4236" s="13" t="s">
        <v>81</v>
      </c>
      <c r="B4236" s="2" t="s">
        <v>82</v>
      </c>
    </row>
    <row r="4237" spans="1:6" ht="25.5" x14ac:dyDescent="0.3">
      <c r="A4237" s="14" t="s">
        <v>83</v>
      </c>
      <c r="B4237" s="2" t="s">
        <v>84</v>
      </c>
    </row>
    <row r="4238" spans="1:6" ht="17.25" thickBot="1" x14ac:dyDescent="0.35"/>
    <row r="4239" spans="1:6" ht="16.5" customHeight="1" x14ac:dyDescent="0.3">
      <c r="A4239" s="24" t="s">
        <v>130</v>
      </c>
      <c r="B4239" s="26"/>
      <c r="C4239" s="26"/>
      <c r="D4239" s="26"/>
      <c r="E4239" s="26"/>
      <c r="F4239" s="26"/>
    </row>
    <row r="4240" spans="1:6" x14ac:dyDescent="0.3">
      <c r="A4240" s="25" t="s">
        <v>131</v>
      </c>
      <c r="B4240" s="27" t="s">
        <v>46</v>
      </c>
      <c r="C4240" s="27" t="s">
        <v>132</v>
      </c>
      <c r="D4240" s="3" t="s">
        <v>133</v>
      </c>
      <c r="E4240" s="27" t="s">
        <v>135</v>
      </c>
      <c r="F4240" s="27"/>
    </row>
    <row r="4241" spans="1:8" x14ac:dyDescent="0.3">
      <c r="A4241" s="25"/>
      <c r="B4241" s="27"/>
      <c r="C4241" s="27"/>
      <c r="D4241" s="3" t="s">
        <v>134</v>
      </c>
      <c r="E4241" s="27"/>
      <c r="F4241" s="27"/>
    </row>
    <row r="4242" spans="1:8" ht="17.25" thickBot="1" x14ac:dyDescent="0.35">
      <c r="A4242" s="13" t="s">
        <v>66</v>
      </c>
      <c r="B4242" s="2">
        <v>3060</v>
      </c>
      <c r="C4242" s="2">
        <v>8.7845790000000008</v>
      </c>
      <c r="D4242" s="2">
        <v>1.5308E-2</v>
      </c>
      <c r="E4242" s="2">
        <v>8.7545064999999997</v>
      </c>
      <c r="F4242" s="2">
        <v>8.8146520000000006</v>
      </c>
      <c r="H4242" s="8" t="str">
        <f t="shared" ref="H4242:H4245" si="176">TEXT(C4242,"0.00")&amp;" ("&amp;TEXT(E4242,"0.00")&amp;" to "&amp;TEXT(F4242,"0.00")&amp;")"</f>
        <v>8.78 (8.75 to 8.81)</v>
      </c>
    </row>
    <row r="4243" spans="1:8" ht="17.25" thickBot="1" x14ac:dyDescent="0.35">
      <c r="A4243" s="13" t="s">
        <v>67</v>
      </c>
      <c r="B4243" s="2">
        <v>3060</v>
      </c>
      <c r="C4243" s="2">
        <v>0.69492900000000002</v>
      </c>
      <c r="D4243" s="2">
        <v>1.745E-3</v>
      </c>
      <c r="E4243" s="2">
        <v>0.69150089999999997</v>
      </c>
      <c r="F4243" s="2">
        <v>0.69835780000000003</v>
      </c>
      <c r="H4243" s="8" t="str">
        <f t="shared" si="176"/>
        <v>0.69 (0.69 to 0.70)</v>
      </c>
    </row>
    <row r="4244" spans="1:8" ht="17.25" thickBot="1" x14ac:dyDescent="0.35">
      <c r="A4244" s="13" t="s">
        <v>68</v>
      </c>
      <c r="B4244" s="2">
        <v>3060</v>
      </c>
      <c r="C4244" s="2">
        <v>0.38624199999999997</v>
      </c>
      <c r="D4244" s="2">
        <v>7.5940000000000001E-3</v>
      </c>
      <c r="E4244" s="2">
        <v>0.3713246</v>
      </c>
      <c r="F4244" s="2">
        <v>0.40115889999999998</v>
      </c>
      <c r="H4244" s="8" t="str">
        <f t="shared" si="176"/>
        <v>0.39 (0.37 to 0.40)</v>
      </c>
    </row>
    <row r="4245" spans="1:8" x14ac:dyDescent="0.3">
      <c r="A4245" s="14" t="s">
        <v>69</v>
      </c>
      <c r="B4245" s="2">
        <v>3060</v>
      </c>
      <c r="C4245" s="2">
        <v>36.466697000000003</v>
      </c>
      <c r="D4245" s="2">
        <v>0.160242</v>
      </c>
      <c r="E4245" s="2">
        <v>36.151908900000002</v>
      </c>
      <c r="F4245" s="2">
        <v>36.781485099999998</v>
      </c>
      <c r="H4245" s="8" t="str">
        <f t="shared" si="176"/>
        <v>36.47 (36.15 to 36.78)</v>
      </c>
    </row>
    <row r="4249" spans="1:8" x14ac:dyDescent="0.3">
      <c r="A4249" s="1" t="s">
        <v>129</v>
      </c>
    </row>
    <row r="4251" spans="1:8" x14ac:dyDescent="0.3">
      <c r="A4251" s="1" t="s">
        <v>319</v>
      </c>
    </row>
    <row r="4252" spans="1:8" ht="17.25" thickBot="1" x14ac:dyDescent="0.35"/>
    <row r="4253" spans="1:8" ht="16.5" customHeight="1" x14ac:dyDescent="0.3">
      <c r="A4253" s="24" t="s">
        <v>75</v>
      </c>
      <c r="B4253" s="26"/>
    </row>
    <row r="4254" spans="1:8" ht="26.25" thickBot="1" x14ac:dyDescent="0.35">
      <c r="A4254" s="13" t="s">
        <v>76</v>
      </c>
      <c r="B4254" s="2">
        <v>27</v>
      </c>
    </row>
    <row r="4255" spans="1:8" ht="26.25" thickBot="1" x14ac:dyDescent="0.35">
      <c r="A4255" s="13" t="s">
        <v>77</v>
      </c>
      <c r="B4255" s="2">
        <v>190</v>
      </c>
    </row>
    <row r="4256" spans="1:8" ht="39" thickBot="1" x14ac:dyDescent="0.35">
      <c r="A4256" s="13" t="s">
        <v>78</v>
      </c>
      <c r="B4256" s="2">
        <v>1881</v>
      </c>
    </row>
    <row r="4257" spans="1:8" ht="25.5" x14ac:dyDescent="0.3">
      <c r="A4257" s="14" t="s">
        <v>79</v>
      </c>
      <c r="B4257" s="2">
        <v>842659.88699999999</v>
      </c>
    </row>
    <row r="4258" spans="1:8" ht="17.25" thickBot="1" x14ac:dyDescent="0.35"/>
    <row r="4259" spans="1:8" ht="33" customHeight="1" x14ac:dyDescent="0.3">
      <c r="A4259" s="24" t="s">
        <v>80</v>
      </c>
      <c r="B4259" s="26"/>
    </row>
    <row r="4260" spans="1:8" ht="33.75" thickBot="1" x14ac:dyDescent="0.35">
      <c r="A4260" s="13" t="s">
        <v>81</v>
      </c>
      <c r="B4260" s="2" t="s">
        <v>82</v>
      </c>
    </row>
    <row r="4261" spans="1:8" ht="25.5" x14ac:dyDescent="0.3">
      <c r="A4261" s="14" t="s">
        <v>83</v>
      </c>
      <c r="B4261" s="2" t="s">
        <v>84</v>
      </c>
    </row>
    <row r="4262" spans="1:8" ht="17.25" thickBot="1" x14ac:dyDescent="0.35"/>
    <row r="4263" spans="1:8" ht="16.5" customHeight="1" x14ac:dyDescent="0.3">
      <c r="A4263" s="24" t="s">
        <v>130</v>
      </c>
      <c r="B4263" s="26"/>
      <c r="C4263" s="26"/>
      <c r="D4263" s="26"/>
      <c r="E4263" s="26"/>
      <c r="F4263" s="26"/>
    </row>
    <row r="4264" spans="1:8" x14ac:dyDescent="0.3">
      <c r="A4264" s="25" t="s">
        <v>131</v>
      </c>
      <c r="B4264" s="27" t="s">
        <v>46</v>
      </c>
      <c r="C4264" s="27" t="s">
        <v>132</v>
      </c>
      <c r="D4264" s="3" t="s">
        <v>133</v>
      </c>
      <c r="E4264" s="27" t="s">
        <v>135</v>
      </c>
      <c r="F4264" s="27"/>
    </row>
    <row r="4265" spans="1:8" x14ac:dyDescent="0.3">
      <c r="A4265" s="25"/>
      <c r="B4265" s="27"/>
      <c r="C4265" s="27"/>
      <c r="D4265" s="3" t="s">
        <v>134</v>
      </c>
      <c r="E4265" s="27"/>
      <c r="F4265" s="27"/>
    </row>
    <row r="4266" spans="1:8" ht="17.25" thickBot="1" x14ac:dyDescent="0.35">
      <c r="A4266" s="13" t="s">
        <v>66</v>
      </c>
      <c r="B4266" s="2">
        <v>1881</v>
      </c>
      <c r="C4266" s="2">
        <v>8.5470380000000006</v>
      </c>
      <c r="D4266" s="2">
        <v>1.7183E-2</v>
      </c>
      <c r="E4266" s="2">
        <v>8.5131081000000002</v>
      </c>
      <c r="F4266" s="2">
        <v>8.5809686999999997</v>
      </c>
      <c r="H4266" s="8" t="str">
        <f t="shared" ref="H4266:H4269" si="177">TEXT(C4266,"0.00")&amp;" ("&amp;TEXT(E4266,"0.00")&amp;" to "&amp;TEXT(F4266,"0.00")&amp;")"</f>
        <v>8.55 (8.51 to 8.58)</v>
      </c>
    </row>
    <row r="4267" spans="1:8" ht="17.25" thickBot="1" x14ac:dyDescent="0.35">
      <c r="A4267" s="13" t="s">
        <v>67</v>
      </c>
      <c r="B4267" s="2">
        <v>1881</v>
      </c>
      <c r="C4267" s="2">
        <v>0.66691299999999998</v>
      </c>
      <c r="D4267" s="2">
        <v>2.2569999999999999E-3</v>
      </c>
      <c r="E4267" s="2">
        <v>0.66245670000000001</v>
      </c>
      <c r="F4267" s="2">
        <v>0.67136960000000001</v>
      </c>
      <c r="H4267" s="8" t="str">
        <f t="shared" si="177"/>
        <v>0.67 (0.66 to 0.67)</v>
      </c>
    </row>
    <row r="4268" spans="1:8" ht="17.25" thickBot="1" x14ac:dyDescent="0.35">
      <c r="A4268" s="13" t="s">
        <v>68</v>
      </c>
      <c r="B4268" s="2">
        <v>1881</v>
      </c>
      <c r="C4268" s="2">
        <v>0.27999099999999999</v>
      </c>
      <c r="D4268" s="2">
        <v>9.0150000000000004E-3</v>
      </c>
      <c r="E4268" s="2">
        <v>0.26218999999999998</v>
      </c>
      <c r="F4268" s="2">
        <v>0.29779290000000003</v>
      </c>
      <c r="H4268" s="8" t="str">
        <f t="shared" si="177"/>
        <v>0.28 (0.26 to 0.30)</v>
      </c>
    </row>
    <row r="4269" spans="1:8" x14ac:dyDescent="0.3">
      <c r="A4269" s="14" t="s">
        <v>69</v>
      </c>
      <c r="B4269" s="2">
        <v>1881</v>
      </c>
      <c r="C4269" s="2">
        <v>35.158698000000001</v>
      </c>
      <c r="D4269" s="2">
        <v>0.25848399999999999</v>
      </c>
      <c r="E4269" s="2">
        <v>34.648289699999999</v>
      </c>
      <c r="F4269" s="2">
        <v>35.669106599999999</v>
      </c>
      <c r="H4269" s="8" t="str">
        <f t="shared" si="177"/>
        <v>35.16 (34.65 to 35.67)</v>
      </c>
    </row>
    <row r="4273" spans="1:6" x14ac:dyDescent="0.3">
      <c r="A4273" s="1" t="s">
        <v>129</v>
      </c>
    </row>
    <row r="4275" spans="1:6" x14ac:dyDescent="0.3">
      <c r="A4275" s="1" t="s">
        <v>320</v>
      </c>
    </row>
    <row r="4276" spans="1:6" ht="17.25" thickBot="1" x14ac:dyDescent="0.35"/>
    <row r="4277" spans="1:6" ht="16.5" customHeight="1" x14ac:dyDescent="0.3">
      <c r="A4277" s="24" t="s">
        <v>75</v>
      </c>
      <c r="B4277" s="26"/>
    </row>
    <row r="4278" spans="1:6" ht="26.25" thickBot="1" x14ac:dyDescent="0.35">
      <c r="A4278" s="13" t="s">
        <v>76</v>
      </c>
      <c r="B4278" s="2">
        <v>27</v>
      </c>
    </row>
    <row r="4279" spans="1:6" ht="26.25" thickBot="1" x14ac:dyDescent="0.35">
      <c r="A4279" s="13" t="s">
        <v>77</v>
      </c>
      <c r="B4279" s="2">
        <v>189</v>
      </c>
    </row>
    <row r="4280" spans="1:6" ht="39" thickBot="1" x14ac:dyDescent="0.35">
      <c r="A4280" s="13" t="s">
        <v>78</v>
      </c>
      <c r="B4280" s="2">
        <v>1609</v>
      </c>
    </row>
    <row r="4281" spans="1:6" ht="25.5" x14ac:dyDescent="0.3">
      <c r="A4281" s="14" t="s">
        <v>79</v>
      </c>
      <c r="B4281" s="2">
        <v>817908.43799999997</v>
      </c>
    </row>
    <row r="4282" spans="1:6" ht="17.25" thickBot="1" x14ac:dyDescent="0.35"/>
    <row r="4283" spans="1:6" ht="33" customHeight="1" x14ac:dyDescent="0.3">
      <c r="A4283" s="24" t="s">
        <v>80</v>
      </c>
      <c r="B4283" s="26"/>
    </row>
    <row r="4284" spans="1:6" ht="33.75" thickBot="1" x14ac:dyDescent="0.35">
      <c r="A4284" s="13" t="s">
        <v>81</v>
      </c>
      <c r="B4284" s="2" t="s">
        <v>82</v>
      </c>
    </row>
    <row r="4285" spans="1:6" ht="25.5" x14ac:dyDescent="0.3">
      <c r="A4285" s="14" t="s">
        <v>83</v>
      </c>
      <c r="B4285" s="2" t="s">
        <v>84</v>
      </c>
    </row>
    <row r="4286" spans="1:6" ht="17.25" thickBot="1" x14ac:dyDescent="0.35"/>
    <row r="4287" spans="1:6" ht="16.5" customHeight="1" x14ac:dyDescent="0.3">
      <c r="A4287" s="24" t="s">
        <v>130</v>
      </c>
      <c r="B4287" s="26"/>
      <c r="C4287" s="26"/>
      <c r="D4287" s="26"/>
      <c r="E4287" s="26"/>
      <c r="F4287" s="26"/>
    </row>
    <row r="4288" spans="1:6" x14ac:dyDescent="0.3">
      <c r="A4288" s="25" t="s">
        <v>131</v>
      </c>
      <c r="B4288" s="27" t="s">
        <v>46</v>
      </c>
      <c r="C4288" s="27" t="s">
        <v>132</v>
      </c>
      <c r="D4288" s="3" t="s">
        <v>133</v>
      </c>
      <c r="E4288" s="27" t="s">
        <v>135</v>
      </c>
      <c r="F4288" s="27"/>
    </row>
    <row r="4289" spans="1:8" x14ac:dyDescent="0.3">
      <c r="A4289" s="25"/>
      <c r="B4289" s="27"/>
      <c r="C4289" s="27"/>
      <c r="D4289" s="3" t="s">
        <v>134</v>
      </c>
      <c r="E4289" s="27"/>
      <c r="F4289" s="27"/>
    </row>
    <row r="4290" spans="1:8" ht="17.25" thickBot="1" x14ac:dyDescent="0.35">
      <c r="A4290" s="13" t="s">
        <v>66</v>
      </c>
      <c r="B4290" s="2">
        <v>1609</v>
      </c>
      <c r="C4290" s="2">
        <v>8.5505790000000008</v>
      </c>
      <c r="D4290" s="2">
        <v>1.8616000000000001E-2</v>
      </c>
      <c r="E4290" s="2">
        <v>8.5138177000000006</v>
      </c>
      <c r="F4290" s="2">
        <v>8.5873404000000004</v>
      </c>
      <c r="H4290" s="8" t="str">
        <f t="shared" ref="H4290:H4293" si="178">TEXT(C4290,"0.00")&amp;" ("&amp;TEXT(E4290,"0.00")&amp;" to "&amp;TEXT(F4290,"0.00")&amp;")"</f>
        <v>8.55 (8.51 to 8.59)</v>
      </c>
    </row>
    <row r="4291" spans="1:8" ht="17.25" thickBot="1" x14ac:dyDescent="0.35">
      <c r="A4291" s="13" t="s">
        <v>67</v>
      </c>
      <c r="B4291" s="2">
        <v>1609</v>
      </c>
      <c r="C4291" s="2">
        <v>0.66118100000000002</v>
      </c>
      <c r="D4291" s="2">
        <v>2.2100000000000002E-3</v>
      </c>
      <c r="E4291" s="2">
        <v>0.65681599999999996</v>
      </c>
      <c r="F4291" s="2">
        <v>0.66554590000000002</v>
      </c>
      <c r="H4291" s="8" t="str">
        <f t="shared" si="178"/>
        <v>0.66 (0.66 to 0.67)</v>
      </c>
    </row>
    <row r="4292" spans="1:8" ht="17.25" thickBot="1" x14ac:dyDescent="0.35">
      <c r="A4292" s="13" t="s">
        <v>68</v>
      </c>
      <c r="B4292" s="2">
        <v>1609</v>
      </c>
      <c r="C4292" s="2">
        <v>0.27742</v>
      </c>
      <c r="D4292" s="2">
        <v>9.6559999999999997E-3</v>
      </c>
      <c r="E4292" s="2">
        <v>0.25835160000000001</v>
      </c>
      <c r="F4292" s="2">
        <v>0.29648859999999999</v>
      </c>
      <c r="H4292" s="8" t="str">
        <f t="shared" si="178"/>
        <v>0.28 (0.26 to 0.30)</v>
      </c>
    </row>
    <row r="4293" spans="1:8" x14ac:dyDescent="0.3">
      <c r="A4293" s="14" t="s">
        <v>69</v>
      </c>
      <c r="B4293" s="2">
        <v>1609</v>
      </c>
      <c r="C4293" s="2">
        <v>35.146338</v>
      </c>
      <c r="D4293" s="2">
        <v>0.26485900000000001</v>
      </c>
      <c r="E4293" s="2">
        <v>34.623316799999998</v>
      </c>
      <c r="F4293" s="2">
        <v>35.669358199999998</v>
      </c>
      <c r="H4293" s="8" t="str">
        <f t="shared" si="178"/>
        <v>35.15 (34.62 to 35.67)</v>
      </c>
    </row>
    <row r="4297" spans="1:8" x14ac:dyDescent="0.3">
      <c r="A4297" s="1" t="s">
        <v>129</v>
      </c>
    </row>
    <row r="4299" spans="1:8" x14ac:dyDescent="0.3">
      <c r="A4299" s="1" t="s">
        <v>321</v>
      </c>
    </row>
    <row r="4300" spans="1:8" ht="17.25" thickBot="1" x14ac:dyDescent="0.35"/>
    <row r="4301" spans="1:8" ht="16.5" customHeight="1" x14ac:dyDescent="0.3">
      <c r="A4301" s="24" t="s">
        <v>75</v>
      </c>
      <c r="B4301" s="26"/>
    </row>
    <row r="4302" spans="1:8" ht="26.25" thickBot="1" x14ac:dyDescent="0.35">
      <c r="A4302" s="13" t="s">
        <v>76</v>
      </c>
      <c r="B4302" s="2">
        <v>27</v>
      </c>
    </row>
    <row r="4303" spans="1:8" ht="26.25" thickBot="1" x14ac:dyDescent="0.35">
      <c r="A4303" s="13" t="s">
        <v>77</v>
      </c>
      <c r="B4303" s="2">
        <v>184</v>
      </c>
    </row>
    <row r="4304" spans="1:8" ht="39" thickBot="1" x14ac:dyDescent="0.35">
      <c r="A4304" s="13" t="s">
        <v>78</v>
      </c>
      <c r="B4304" s="2">
        <v>926</v>
      </c>
    </row>
    <row r="4305" spans="1:8" ht="25.5" x14ac:dyDescent="0.3">
      <c r="A4305" s="14" t="s">
        <v>79</v>
      </c>
      <c r="B4305" s="2">
        <v>490345.35100000002</v>
      </c>
    </row>
    <row r="4306" spans="1:8" ht="17.25" thickBot="1" x14ac:dyDescent="0.35"/>
    <row r="4307" spans="1:8" ht="33" customHeight="1" x14ac:dyDescent="0.3">
      <c r="A4307" s="24" t="s">
        <v>80</v>
      </c>
      <c r="B4307" s="26"/>
    </row>
    <row r="4308" spans="1:8" ht="33.75" thickBot="1" x14ac:dyDescent="0.35">
      <c r="A4308" s="13" t="s">
        <v>81</v>
      </c>
      <c r="B4308" s="2" t="s">
        <v>82</v>
      </c>
    </row>
    <row r="4309" spans="1:8" ht="25.5" x14ac:dyDescent="0.3">
      <c r="A4309" s="14" t="s">
        <v>83</v>
      </c>
      <c r="B4309" s="2" t="s">
        <v>84</v>
      </c>
    </row>
    <row r="4310" spans="1:8" ht="17.25" thickBot="1" x14ac:dyDescent="0.35"/>
    <row r="4311" spans="1:8" ht="16.5" customHeight="1" x14ac:dyDescent="0.3">
      <c r="A4311" s="24" t="s">
        <v>130</v>
      </c>
      <c r="B4311" s="26"/>
      <c r="C4311" s="26"/>
      <c r="D4311" s="26"/>
      <c r="E4311" s="26"/>
      <c r="F4311" s="26"/>
    </row>
    <row r="4312" spans="1:8" x14ac:dyDescent="0.3">
      <c r="A4312" s="25" t="s">
        <v>131</v>
      </c>
      <c r="B4312" s="27" t="s">
        <v>46</v>
      </c>
      <c r="C4312" s="27" t="s">
        <v>132</v>
      </c>
      <c r="D4312" s="3" t="s">
        <v>133</v>
      </c>
      <c r="E4312" s="27" t="s">
        <v>135</v>
      </c>
      <c r="F4312" s="27"/>
    </row>
    <row r="4313" spans="1:8" x14ac:dyDescent="0.3">
      <c r="A4313" s="25"/>
      <c r="B4313" s="27"/>
      <c r="C4313" s="27"/>
      <c r="D4313" s="3" t="s">
        <v>134</v>
      </c>
      <c r="E4313" s="27"/>
      <c r="F4313" s="27"/>
    </row>
    <row r="4314" spans="1:8" ht="17.25" thickBot="1" x14ac:dyDescent="0.35">
      <c r="A4314" s="13" t="s">
        <v>66</v>
      </c>
      <c r="B4314" s="2">
        <v>926</v>
      </c>
      <c r="C4314" s="2">
        <v>8.7450550000000007</v>
      </c>
      <c r="D4314" s="2">
        <v>2.5777000000000001E-2</v>
      </c>
      <c r="E4314" s="2">
        <v>8.6941410999999995</v>
      </c>
      <c r="F4314" s="2">
        <v>8.7959680999999996</v>
      </c>
      <c r="H4314" s="8" t="str">
        <f t="shared" ref="H4314:H4317" si="179">TEXT(C4314,"0.00")&amp;" ("&amp;TEXT(E4314,"0.00")&amp;" to "&amp;TEXT(F4314,"0.00")&amp;")"</f>
        <v>8.75 (8.69 to 8.80)</v>
      </c>
    </row>
    <row r="4315" spans="1:8" ht="17.25" thickBot="1" x14ac:dyDescent="0.35">
      <c r="A4315" s="13" t="s">
        <v>67</v>
      </c>
      <c r="B4315" s="2">
        <v>926</v>
      </c>
      <c r="C4315" s="2">
        <v>0.68530500000000005</v>
      </c>
      <c r="D4315" s="2">
        <v>3.0709999999999999E-3</v>
      </c>
      <c r="E4315" s="2">
        <v>0.67923960000000005</v>
      </c>
      <c r="F4315" s="2">
        <v>0.69137130000000002</v>
      </c>
      <c r="H4315" s="8" t="str">
        <f t="shared" si="179"/>
        <v>0.69 (0.68 to 0.69)</v>
      </c>
    </row>
    <row r="4316" spans="1:8" ht="17.25" thickBot="1" x14ac:dyDescent="0.35">
      <c r="A4316" s="13" t="s">
        <v>68</v>
      </c>
      <c r="B4316" s="2">
        <v>926</v>
      </c>
      <c r="C4316" s="2">
        <v>0.33186599999999999</v>
      </c>
      <c r="D4316" s="2">
        <v>1.2997999999999999E-2</v>
      </c>
      <c r="E4316" s="2">
        <v>0.30619269999999998</v>
      </c>
      <c r="F4316" s="2">
        <v>0.35753849999999998</v>
      </c>
      <c r="H4316" s="8" t="str">
        <f t="shared" si="179"/>
        <v>0.33 (0.31 to 0.36)</v>
      </c>
    </row>
    <row r="4317" spans="1:8" x14ac:dyDescent="0.3">
      <c r="A4317" s="14" t="s">
        <v>69</v>
      </c>
      <c r="B4317" s="2">
        <v>926</v>
      </c>
      <c r="C4317" s="2">
        <v>35.730226000000002</v>
      </c>
      <c r="D4317" s="2">
        <v>0.30559700000000001</v>
      </c>
      <c r="E4317" s="2">
        <v>35.126614600000003</v>
      </c>
      <c r="F4317" s="2">
        <v>36.333838299999996</v>
      </c>
      <c r="H4317" s="8" t="str">
        <f t="shared" si="179"/>
        <v>35.73 (35.13 to 36.33)</v>
      </c>
    </row>
    <row r="4321" spans="1:6" x14ac:dyDescent="0.3">
      <c r="A4321" s="1" t="s">
        <v>129</v>
      </c>
    </row>
    <row r="4323" spans="1:6" x14ac:dyDescent="0.3">
      <c r="A4323" s="1" t="s">
        <v>322</v>
      </c>
    </row>
    <row r="4324" spans="1:6" ht="17.25" thickBot="1" x14ac:dyDescent="0.35"/>
    <row r="4325" spans="1:6" ht="16.5" customHeight="1" x14ac:dyDescent="0.3">
      <c r="A4325" s="24" t="s">
        <v>75</v>
      </c>
      <c r="B4325" s="26"/>
    </row>
    <row r="4326" spans="1:6" ht="26.25" thickBot="1" x14ac:dyDescent="0.35">
      <c r="A4326" s="13" t="s">
        <v>76</v>
      </c>
      <c r="B4326" s="2">
        <v>25</v>
      </c>
    </row>
    <row r="4327" spans="1:6" ht="26.25" thickBot="1" x14ac:dyDescent="0.35">
      <c r="A4327" s="13" t="s">
        <v>77</v>
      </c>
      <c r="B4327" s="2">
        <v>500</v>
      </c>
    </row>
    <row r="4328" spans="1:6" ht="39" thickBot="1" x14ac:dyDescent="0.35">
      <c r="A4328" s="13" t="s">
        <v>78</v>
      </c>
      <c r="B4328" s="2">
        <v>6591</v>
      </c>
    </row>
    <row r="4329" spans="1:6" ht="25.5" x14ac:dyDescent="0.3">
      <c r="A4329" s="14" t="s">
        <v>79</v>
      </c>
      <c r="B4329" s="2">
        <v>2217917.4300000002</v>
      </c>
    </row>
    <row r="4330" spans="1:6" ht="17.25" thickBot="1" x14ac:dyDescent="0.35"/>
    <row r="4331" spans="1:6" ht="33" customHeight="1" x14ac:dyDescent="0.3">
      <c r="A4331" s="24" t="s">
        <v>80</v>
      </c>
      <c r="B4331" s="26"/>
    </row>
    <row r="4332" spans="1:6" ht="33.75" thickBot="1" x14ac:dyDescent="0.35">
      <c r="A4332" s="13" t="s">
        <v>81</v>
      </c>
      <c r="B4332" s="2" t="s">
        <v>82</v>
      </c>
    </row>
    <row r="4333" spans="1:6" ht="25.5" x14ac:dyDescent="0.3">
      <c r="A4333" s="14" t="s">
        <v>83</v>
      </c>
      <c r="B4333" s="2" t="s">
        <v>84</v>
      </c>
    </row>
    <row r="4334" spans="1:6" ht="17.25" thickBot="1" x14ac:dyDescent="0.35"/>
    <row r="4335" spans="1:6" ht="16.5" customHeight="1" x14ac:dyDescent="0.3">
      <c r="A4335" s="24" t="s">
        <v>130</v>
      </c>
      <c r="B4335" s="26"/>
      <c r="C4335" s="26"/>
      <c r="D4335" s="26"/>
      <c r="E4335" s="26"/>
      <c r="F4335" s="26"/>
    </row>
    <row r="4336" spans="1:6" x14ac:dyDescent="0.3">
      <c r="A4336" s="25" t="s">
        <v>131</v>
      </c>
      <c r="B4336" s="27" t="s">
        <v>46</v>
      </c>
      <c r="C4336" s="27" t="s">
        <v>132</v>
      </c>
      <c r="D4336" s="3" t="s">
        <v>133</v>
      </c>
      <c r="E4336" s="27" t="s">
        <v>135</v>
      </c>
      <c r="F4336" s="27"/>
    </row>
    <row r="4337" spans="1:8" x14ac:dyDescent="0.3">
      <c r="A4337" s="25"/>
      <c r="B4337" s="27"/>
      <c r="C4337" s="27"/>
      <c r="D4337" s="3" t="s">
        <v>134</v>
      </c>
      <c r="E4337" s="27"/>
      <c r="F4337" s="27"/>
    </row>
    <row r="4338" spans="1:8" ht="17.25" thickBot="1" x14ac:dyDescent="0.35">
      <c r="A4338" s="13" t="s">
        <v>66</v>
      </c>
      <c r="B4338" s="2">
        <v>6591</v>
      </c>
      <c r="C4338" s="2">
        <v>8.383267</v>
      </c>
      <c r="D4338" s="2">
        <v>1.0018000000000001E-2</v>
      </c>
      <c r="E4338" s="2">
        <v>8.3635819999999992</v>
      </c>
      <c r="F4338" s="2">
        <v>8.4029518000000003</v>
      </c>
      <c r="H4338" s="8" t="str">
        <f t="shared" ref="H4338:H4341" si="180">TEXT(C4338,"0.00")&amp;" ("&amp;TEXT(E4338,"0.00")&amp;" to "&amp;TEXT(F4338,"0.00")&amp;")"</f>
        <v>8.38 (8.36 to 8.40)</v>
      </c>
    </row>
    <row r="4339" spans="1:8" ht="17.25" thickBot="1" x14ac:dyDescent="0.35">
      <c r="A4339" s="13" t="s">
        <v>67</v>
      </c>
      <c r="B4339" s="2">
        <v>6591</v>
      </c>
      <c r="C4339" s="2">
        <v>0.64250499999999999</v>
      </c>
      <c r="D4339" s="2">
        <v>1.462E-3</v>
      </c>
      <c r="E4339" s="2">
        <v>0.63963309999999995</v>
      </c>
      <c r="F4339" s="2">
        <v>0.6453776</v>
      </c>
      <c r="H4339" s="8" t="str">
        <f t="shared" si="180"/>
        <v>0.64 (0.64 to 0.65)</v>
      </c>
    </row>
    <row r="4340" spans="1:8" ht="17.25" thickBot="1" x14ac:dyDescent="0.35">
      <c r="A4340" s="13" t="s">
        <v>68</v>
      </c>
      <c r="B4340" s="2">
        <v>6591</v>
      </c>
      <c r="C4340" s="2">
        <v>0.28193699999999999</v>
      </c>
      <c r="D4340" s="2">
        <v>4.7879999999999997E-3</v>
      </c>
      <c r="E4340" s="2">
        <v>0.27252799999999999</v>
      </c>
      <c r="F4340" s="2">
        <v>0.29134529999999997</v>
      </c>
      <c r="H4340" s="8" t="str">
        <f t="shared" si="180"/>
        <v>0.28 (0.27 to 0.29)</v>
      </c>
    </row>
    <row r="4341" spans="1:8" x14ac:dyDescent="0.3">
      <c r="A4341" s="14" t="s">
        <v>69</v>
      </c>
      <c r="B4341" s="2">
        <v>6591</v>
      </c>
      <c r="C4341" s="2">
        <v>34.298544999999997</v>
      </c>
      <c r="D4341" s="2">
        <v>0.109725</v>
      </c>
      <c r="E4341" s="2">
        <v>34.082937399999999</v>
      </c>
      <c r="F4341" s="2">
        <v>34.514152099999997</v>
      </c>
      <c r="H4341" s="8" t="str">
        <f t="shared" si="180"/>
        <v>34.30 (34.08 to 34.51)</v>
      </c>
    </row>
    <row r="4345" spans="1:8" x14ac:dyDescent="0.3">
      <c r="A4345" s="1" t="s">
        <v>129</v>
      </c>
    </row>
    <row r="4347" spans="1:8" x14ac:dyDescent="0.3">
      <c r="A4347" s="1" t="s">
        <v>323</v>
      </c>
    </row>
    <row r="4348" spans="1:8" ht="17.25" thickBot="1" x14ac:dyDescent="0.35"/>
    <row r="4349" spans="1:8" ht="16.5" customHeight="1" x14ac:dyDescent="0.3">
      <c r="A4349" s="24" t="s">
        <v>75</v>
      </c>
      <c r="B4349" s="26"/>
    </row>
    <row r="4350" spans="1:8" ht="26.25" thickBot="1" x14ac:dyDescent="0.35">
      <c r="A4350" s="13" t="s">
        <v>76</v>
      </c>
      <c r="B4350" s="2">
        <v>25</v>
      </c>
    </row>
    <row r="4351" spans="1:8" ht="26.25" thickBot="1" x14ac:dyDescent="0.35">
      <c r="A4351" s="13" t="s">
        <v>77</v>
      </c>
      <c r="B4351" s="2">
        <v>500</v>
      </c>
    </row>
    <row r="4352" spans="1:8" ht="39" thickBot="1" x14ac:dyDescent="0.35">
      <c r="A4352" s="13" t="s">
        <v>78</v>
      </c>
      <c r="B4352" s="2">
        <v>5324</v>
      </c>
    </row>
    <row r="4353" spans="1:8" ht="25.5" x14ac:dyDescent="0.3">
      <c r="A4353" s="14" t="s">
        <v>79</v>
      </c>
      <c r="B4353" s="2">
        <v>2152251.29</v>
      </c>
    </row>
    <row r="4354" spans="1:8" ht="17.25" thickBot="1" x14ac:dyDescent="0.35"/>
    <row r="4355" spans="1:8" ht="33" customHeight="1" x14ac:dyDescent="0.3">
      <c r="A4355" s="24" t="s">
        <v>80</v>
      </c>
      <c r="B4355" s="26"/>
    </row>
    <row r="4356" spans="1:8" ht="33.75" thickBot="1" x14ac:dyDescent="0.35">
      <c r="A4356" s="13" t="s">
        <v>81</v>
      </c>
      <c r="B4356" s="2" t="s">
        <v>82</v>
      </c>
    </row>
    <row r="4357" spans="1:8" ht="25.5" x14ac:dyDescent="0.3">
      <c r="A4357" s="14" t="s">
        <v>83</v>
      </c>
      <c r="B4357" s="2" t="s">
        <v>84</v>
      </c>
    </row>
    <row r="4358" spans="1:8" ht="17.25" thickBot="1" x14ac:dyDescent="0.35"/>
    <row r="4359" spans="1:8" ht="16.5" customHeight="1" x14ac:dyDescent="0.3">
      <c r="A4359" s="24" t="s">
        <v>130</v>
      </c>
      <c r="B4359" s="26"/>
      <c r="C4359" s="26"/>
      <c r="D4359" s="26"/>
      <c r="E4359" s="26"/>
      <c r="F4359" s="26"/>
    </row>
    <row r="4360" spans="1:8" x14ac:dyDescent="0.3">
      <c r="A4360" s="25" t="s">
        <v>131</v>
      </c>
      <c r="B4360" s="27" t="s">
        <v>46</v>
      </c>
      <c r="C4360" s="27" t="s">
        <v>132</v>
      </c>
      <c r="D4360" s="3" t="s">
        <v>133</v>
      </c>
      <c r="E4360" s="27" t="s">
        <v>135</v>
      </c>
      <c r="F4360" s="27"/>
    </row>
    <row r="4361" spans="1:8" x14ac:dyDescent="0.3">
      <c r="A4361" s="25"/>
      <c r="B4361" s="27"/>
      <c r="C4361" s="27"/>
      <c r="D4361" s="3" t="s">
        <v>134</v>
      </c>
      <c r="E4361" s="27"/>
      <c r="F4361" s="27"/>
    </row>
    <row r="4362" spans="1:8" ht="17.25" thickBot="1" x14ac:dyDescent="0.35">
      <c r="A4362" s="13" t="s">
        <v>66</v>
      </c>
      <c r="B4362" s="2">
        <v>5324</v>
      </c>
      <c r="C4362" s="2">
        <v>8.7319940000000003</v>
      </c>
      <c r="D4362" s="2">
        <v>1.1010000000000001E-2</v>
      </c>
      <c r="E4362" s="2">
        <v>8.7103599000000003</v>
      </c>
      <c r="F4362" s="2">
        <v>8.7536281999999996</v>
      </c>
      <c r="H4362" s="8" t="str">
        <f t="shared" ref="H4362:H4365" si="181">TEXT(C4362,"0.00")&amp;" ("&amp;TEXT(E4362,"0.00")&amp;" to "&amp;TEXT(F4362,"0.00")&amp;")"</f>
        <v>8.73 (8.71 to 8.75)</v>
      </c>
    </row>
    <row r="4363" spans="1:8" ht="17.25" thickBot="1" x14ac:dyDescent="0.35">
      <c r="A4363" s="13" t="s">
        <v>67</v>
      </c>
      <c r="B4363" s="2">
        <v>5324</v>
      </c>
      <c r="C4363" s="2">
        <v>0.67896599999999996</v>
      </c>
      <c r="D4363" s="2">
        <v>1.3489999999999999E-3</v>
      </c>
      <c r="E4363" s="2">
        <v>0.67631600000000003</v>
      </c>
      <c r="F4363" s="2">
        <v>0.681616</v>
      </c>
      <c r="H4363" s="8" t="str">
        <f t="shared" si="181"/>
        <v>0.68 (0.68 to 0.68)</v>
      </c>
    </row>
    <row r="4364" spans="1:8" ht="17.25" thickBot="1" x14ac:dyDescent="0.35">
      <c r="A4364" s="13" t="s">
        <v>68</v>
      </c>
      <c r="B4364" s="2">
        <v>5324</v>
      </c>
      <c r="C4364" s="2">
        <v>0.456484</v>
      </c>
      <c r="D4364" s="2">
        <v>5.0299999999999997E-3</v>
      </c>
      <c r="E4364" s="2">
        <v>0.44659979999999999</v>
      </c>
      <c r="F4364" s="2">
        <v>0.4663678</v>
      </c>
      <c r="H4364" s="8" t="str">
        <f t="shared" si="181"/>
        <v>0.46 (0.45 to 0.47)</v>
      </c>
    </row>
    <row r="4365" spans="1:8" x14ac:dyDescent="0.3">
      <c r="A4365" s="14" t="s">
        <v>69</v>
      </c>
      <c r="B4365" s="2">
        <v>5324</v>
      </c>
      <c r="C4365" s="2">
        <v>36.894140999999998</v>
      </c>
      <c r="D4365" s="2">
        <v>0.11563</v>
      </c>
      <c r="E4365" s="2">
        <v>36.666931699999999</v>
      </c>
      <c r="F4365" s="2">
        <v>37.121351199999999</v>
      </c>
      <c r="H4365" s="8" t="str">
        <f t="shared" si="181"/>
        <v>36.89 (36.67 to 37.12)</v>
      </c>
    </row>
    <row r="4369" spans="1:6" x14ac:dyDescent="0.3">
      <c r="A4369" s="1" t="s">
        <v>129</v>
      </c>
    </row>
    <row r="4371" spans="1:6" x14ac:dyDescent="0.3">
      <c r="A4371" s="1" t="s">
        <v>324</v>
      </c>
    </row>
    <row r="4372" spans="1:6" ht="17.25" thickBot="1" x14ac:dyDescent="0.35"/>
    <row r="4373" spans="1:6" ht="16.5" customHeight="1" x14ac:dyDescent="0.3">
      <c r="A4373" s="24" t="s">
        <v>75</v>
      </c>
      <c r="B4373" s="26"/>
    </row>
    <row r="4374" spans="1:6" ht="26.25" thickBot="1" x14ac:dyDescent="0.35">
      <c r="A4374" s="13" t="s">
        <v>76</v>
      </c>
      <c r="B4374" s="2">
        <v>25</v>
      </c>
    </row>
    <row r="4375" spans="1:6" ht="26.25" thickBot="1" x14ac:dyDescent="0.35">
      <c r="A4375" s="13" t="s">
        <v>77</v>
      </c>
      <c r="B4375" s="2">
        <v>576</v>
      </c>
    </row>
    <row r="4376" spans="1:6" ht="39" thickBot="1" x14ac:dyDescent="0.35">
      <c r="A4376" s="13" t="s">
        <v>78</v>
      </c>
      <c r="B4376" s="2">
        <v>10072</v>
      </c>
    </row>
    <row r="4377" spans="1:6" ht="25.5" x14ac:dyDescent="0.3">
      <c r="A4377" s="14" t="s">
        <v>79</v>
      </c>
      <c r="B4377" s="2">
        <v>3869831.73</v>
      </c>
    </row>
    <row r="4378" spans="1:6" ht="17.25" thickBot="1" x14ac:dyDescent="0.35"/>
    <row r="4379" spans="1:6" ht="33" customHeight="1" x14ac:dyDescent="0.3">
      <c r="A4379" s="24" t="s">
        <v>80</v>
      </c>
      <c r="B4379" s="26"/>
    </row>
    <row r="4380" spans="1:6" ht="33.75" thickBot="1" x14ac:dyDescent="0.35">
      <c r="A4380" s="13" t="s">
        <v>81</v>
      </c>
      <c r="B4380" s="2" t="s">
        <v>82</v>
      </c>
    </row>
    <row r="4381" spans="1:6" ht="25.5" x14ac:dyDescent="0.3">
      <c r="A4381" s="14" t="s">
        <v>83</v>
      </c>
      <c r="B4381" s="2" t="s">
        <v>84</v>
      </c>
    </row>
    <row r="4382" spans="1:6" ht="17.25" thickBot="1" x14ac:dyDescent="0.35"/>
    <row r="4383" spans="1:6" ht="16.5" customHeight="1" x14ac:dyDescent="0.3">
      <c r="A4383" s="24" t="s">
        <v>130</v>
      </c>
      <c r="B4383" s="26"/>
      <c r="C4383" s="26"/>
      <c r="D4383" s="26"/>
      <c r="E4383" s="26"/>
      <c r="F4383" s="26"/>
    </row>
    <row r="4384" spans="1:6" x14ac:dyDescent="0.3">
      <c r="A4384" s="25" t="s">
        <v>131</v>
      </c>
      <c r="B4384" s="27" t="s">
        <v>46</v>
      </c>
      <c r="C4384" s="27" t="s">
        <v>132</v>
      </c>
      <c r="D4384" s="3" t="s">
        <v>133</v>
      </c>
      <c r="E4384" s="27" t="s">
        <v>135</v>
      </c>
      <c r="F4384" s="27"/>
    </row>
    <row r="4385" spans="1:8" x14ac:dyDescent="0.3">
      <c r="A4385" s="25"/>
      <c r="B4385" s="27"/>
      <c r="C4385" s="27"/>
      <c r="D4385" s="3" t="s">
        <v>134</v>
      </c>
      <c r="E4385" s="27"/>
      <c r="F4385" s="27"/>
    </row>
    <row r="4386" spans="1:8" ht="17.25" thickBot="1" x14ac:dyDescent="0.35">
      <c r="A4386" s="13" t="s">
        <v>66</v>
      </c>
      <c r="B4386" s="2">
        <v>10072</v>
      </c>
      <c r="C4386" s="2">
        <v>8.4779739999999997</v>
      </c>
      <c r="D4386" s="2">
        <v>8.3149999999999995E-3</v>
      </c>
      <c r="E4386" s="2">
        <v>8.4616421000000006</v>
      </c>
      <c r="F4386" s="2">
        <v>8.4943062000000005</v>
      </c>
      <c r="H4386" s="8" t="str">
        <f t="shared" ref="H4386:H4389" si="182">TEXT(C4386,"0.00")&amp;" ("&amp;TEXT(E4386,"0.00")&amp;" to "&amp;TEXT(F4386,"0.00")&amp;")"</f>
        <v>8.48 (8.46 to 8.49)</v>
      </c>
    </row>
    <row r="4387" spans="1:8" ht="17.25" thickBot="1" x14ac:dyDescent="0.35">
      <c r="A4387" s="13" t="s">
        <v>67</v>
      </c>
      <c r="B4387" s="2">
        <v>10072</v>
      </c>
      <c r="C4387" s="2">
        <v>0.65053300000000003</v>
      </c>
      <c r="D4387" s="2">
        <v>1.0870000000000001E-3</v>
      </c>
      <c r="E4387" s="2">
        <v>0.64839780000000002</v>
      </c>
      <c r="F4387" s="2">
        <v>0.65266900000000005</v>
      </c>
      <c r="H4387" s="8" t="str">
        <f t="shared" si="182"/>
        <v>0.65 (0.65 to 0.65)</v>
      </c>
    </row>
    <row r="4388" spans="1:8" ht="17.25" thickBot="1" x14ac:dyDescent="0.35">
      <c r="A4388" s="13" t="s">
        <v>68</v>
      </c>
      <c r="B4388" s="2">
        <v>10072</v>
      </c>
      <c r="C4388" s="2">
        <v>0.31334000000000001</v>
      </c>
      <c r="D4388" s="2">
        <v>3.9020000000000001E-3</v>
      </c>
      <c r="E4388" s="2">
        <v>0.30567490000000003</v>
      </c>
      <c r="F4388" s="2">
        <v>0.3210055</v>
      </c>
      <c r="H4388" s="8" t="str">
        <f t="shared" si="182"/>
        <v>0.31 (0.31 to 0.32)</v>
      </c>
    </row>
    <row r="4389" spans="1:8" x14ac:dyDescent="0.3">
      <c r="A4389" s="14" t="s">
        <v>69</v>
      </c>
      <c r="B4389" s="2">
        <v>10072</v>
      </c>
      <c r="C4389" s="2">
        <v>34.972420999999997</v>
      </c>
      <c r="D4389" s="2">
        <v>9.7395999999999996E-2</v>
      </c>
      <c r="E4389" s="2">
        <v>34.781109100000002</v>
      </c>
      <c r="F4389" s="2">
        <v>35.163733200000003</v>
      </c>
      <c r="H4389" s="8" t="str">
        <f t="shared" si="182"/>
        <v>34.97 (34.78 to 35.16)</v>
      </c>
    </row>
    <row r="4393" spans="1:8" x14ac:dyDescent="0.3">
      <c r="A4393" s="1" t="s">
        <v>129</v>
      </c>
    </row>
    <row r="4395" spans="1:8" x14ac:dyDescent="0.3">
      <c r="A4395" s="1" t="s">
        <v>325</v>
      </c>
    </row>
    <row r="4396" spans="1:8" ht="17.25" thickBot="1" x14ac:dyDescent="0.35"/>
    <row r="4397" spans="1:8" ht="16.5" customHeight="1" x14ac:dyDescent="0.3">
      <c r="A4397" s="24" t="s">
        <v>75</v>
      </c>
      <c r="B4397" s="26"/>
    </row>
    <row r="4398" spans="1:8" ht="26.25" thickBot="1" x14ac:dyDescent="0.35">
      <c r="A4398" s="13" t="s">
        <v>76</v>
      </c>
      <c r="B4398" s="2">
        <v>25</v>
      </c>
    </row>
    <row r="4399" spans="1:8" ht="26.25" thickBot="1" x14ac:dyDescent="0.35">
      <c r="A4399" s="13" t="s">
        <v>77</v>
      </c>
      <c r="B4399" s="2">
        <v>570</v>
      </c>
    </row>
    <row r="4400" spans="1:8" ht="39" thickBot="1" x14ac:dyDescent="0.35">
      <c r="A4400" s="13" t="s">
        <v>78</v>
      </c>
      <c r="B4400" s="2">
        <v>3044</v>
      </c>
    </row>
    <row r="4401" spans="1:8" ht="25.5" x14ac:dyDescent="0.3">
      <c r="A4401" s="14" t="s">
        <v>79</v>
      </c>
      <c r="B4401" s="2">
        <v>1590833.21</v>
      </c>
    </row>
    <row r="4402" spans="1:8" ht="17.25" thickBot="1" x14ac:dyDescent="0.35"/>
    <row r="4403" spans="1:8" ht="33" customHeight="1" x14ac:dyDescent="0.3">
      <c r="A4403" s="24" t="s">
        <v>80</v>
      </c>
      <c r="B4403" s="26"/>
    </row>
    <row r="4404" spans="1:8" ht="33.75" thickBot="1" x14ac:dyDescent="0.35">
      <c r="A4404" s="13" t="s">
        <v>81</v>
      </c>
      <c r="B4404" s="2" t="s">
        <v>82</v>
      </c>
    </row>
    <row r="4405" spans="1:8" ht="25.5" x14ac:dyDescent="0.3">
      <c r="A4405" s="14" t="s">
        <v>83</v>
      </c>
      <c r="B4405" s="2" t="s">
        <v>84</v>
      </c>
    </row>
    <row r="4406" spans="1:8" ht="17.25" thickBot="1" x14ac:dyDescent="0.35"/>
    <row r="4407" spans="1:8" ht="16.5" customHeight="1" x14ac:dyDescent="0.3">
      <c r="A4407" s="24" t="s">
        <v>130</v>
      </c>
      <c r="B4407" s="26"/>
      <c r="C4407" s="26"/>
      <c r="D4407" s="26"/>
      <c r="E4407" s="26"/>
      <c r="F4407" s="26"/>
    </row>
    <row r="4408" spans="1:8" x14ac:dyDescent="0.3">
      <c r="A4408" s="25" t="s">
        <v>131</v>
      </c>
      <c r="B4408" s="27" t="s">
        <v>46</v>
      </c>
      <c r="C4408" s="27" t="s">
        <v>132</v>
      </c>
      <c r="D4408" s="3" t="s">
        <v>133</v>
      </c>
      <c r="E4408" s="27" t="s">
        <v>135</v>
      </c>
      <c r="F4408" s="27"/>
    </row>
    <row r="4409" spans="1:8" x14ac:dyDescent="0.3">
      <c r="A4409" s="25"/>
      <c r="B4409" s="27"/>
      <c r="C4409" s="27"/>
      <c r="D4409" s="3" t="s">
        <v>134</v>
      </c>
      <c r="E4409" s="27"/>
      <c r="F4409" s="27"/>
    </row>
    <row r="4410" spans="1:8" ht="17.25" thickBot="1" x14ac:dyDescent="0.35">
      <c r="A4410" s="13" t="s">
        <v>66</v>
      </c>
      <c r="B4410" s="2">
        <v>3044</v>
      </c>
      <c r="C4410" s="2">
        <v>8.7579370000000001</v>
      </c>
      <c r="D4410" s="2">
        <v>1.5546000000000001E-2</v>
      </c>
      <c r="E4410" s="2">
        <v>8.7274004000000005</v>
      </c>
      <c r="F4410" s="2">
        <v>8.7884737000000008</v>
      </c>
      <c r="H4410" s="8" t="str">
        <f t="shared" ref="H4410:H4413" si="183">TEXT(C4410,"0.00")&amp;" ("&amp;TEXT(E4410,"0.00")&amp;" to "&amp;TEXT(F4410,"0.00")&amp;")"</f>
        <v>8.76 (8.73 to 8.79)</v>
      </c>
    </row>
    <row r="4411" spans="1:8" ht="17.25" thickBot="1" x14ac:dyDescent="0.35">
      <c r="A4411" s="13" t="s">
        <v>67</v>
      </c>
      <c r="B4411" s="2">
        <v>3044</v>
      </c>
      <c r="C4411" s="2">
        <v>0.67500300000000002</v>
      </c>
      <c r="D4411" s="2">
        <v>1.6509999999999999E-3</v>
      </c>
      <c r="E4411" s="2">
        <v>0.67176040000000004</v>
      </c>
      <c r="F4411" s="2">
        <v>0.67824569999999995</v>
      </c>
      <c r="H4411" s="8" t="str">
        <f t="shared" si="183"/>
        <v>0.68 (0.67 to 0.68)</v>
      </c>
    </row>
    <row r="4412" spans="1:8" ht="17.25" thickBot="1" x14ac:dyDescent="0.35">
      <c r="A4412" s="13" t="s">
        <v>68</v>
      </c>
      <c r="B4412" s="2">
        <v>3044</v>
      </c>
      <c r="C4412" s="2">
        <v>0.46228999999999998</v>
      </c>
      <c r="D4412" s="2">
        <v>7.1770000000000002E-3</v>
      </c>
      <c r="E4412" s="2">
        <v>0.44819179999999997</v>
      </c>
      <c r="F4412" s="2">
        <v>0.47638839999999999</v>
      </c>
      <c r="H4412" s="8" t="str">
        <f t="shared" si="183"/>
        <v>0.46 (0.45 to 0.48)</v>
      </c>
    </row>
    <row r="4413" spans="1:8" x14ac:dyDescent="0.3">
      <c r="A4413" s="14" t="s">
        <v>69</v>
      </c>
      <c r="B4413" s="2">
        <v>3044</v>
      </c>
      <c r="C4413" s="2">
        <v>36.947595</v>
      </c>
      <c r="D4413" s="2">
        <v>0.17660200000000001</v>
      </c>
      <c r="E4413" s="2">
        <v>36.600691599999998</v>
      </c>
      <c r="F4413" s="2">
        <v>37.294497900000003</v>
      </c>
      <c r="H4413" s="8" t="str">
        <f t="shared" si="183"/>
        <v>36.95 (36.60 to 37.29)</v>
      </c>
    </row>
    <row r="4417" spans="1:6" x14ac:dyDescent="0.3">
      <c r="A4417" s="1" t="s">
        <v>129</v>
      </c>
    </row>
    <row r="4419" spans="1:6" x14ac:dyDescent="0.3">
      <c r="A4419" s="1" t="s">
        <v>326</v>
      </c>
    </row>
    <row r="4420" spans="1:6" ht="17.25" thickBot="1" x14ac:dyDescent="0.35"/>
    <row r="4421" spans="1:6" ht="16.5" customHeight="1" x14ac:dyDescent="0.3">
      <c r="A4421" s="24" t="s">
        <v>75</v>
      </c>
      <c r="B4421" s="26"/>
    </row>
    <row r="4422" spans="1:6" ht="26.25" thickBot="1" x14ac:dyDescent="0.35">
      <c r="A4422" s="13" t="s">
        <v>76</v>
      </c>
      <c r="B4422" s="2">
        <v>25</v>
      </c>
    </row>
    <row r="4423" spans="1:6" ht="26.25" thickBot="1" x14ac:dyDescent="0.35">
      <c r="A4423" s="13" t="s">
        <v>77</v>
      </c>
      <c r="B4423" s="2">
        <v>576</v>
      </c>
    </row>
    <row r="4424" spans="1:6" ht="39" thickBot="1" x14ac:dyDescent="0.35">
      <c r="A4424" s="13" t="s">
        <v>78</v>
      </c>
      <c r="B4424" s="2">
        <v>9105</v>
      </c>
    </row>
    <row r="4425" spans="1:6" ht="25.5" x14ac:dyDescent="0.3">
      <c r="A4425" s="14" t="s">
        <v>79</v>
      </c>
      <c r="B4425" s="2">
        <v>4074121.34</v>
      </c>
    </row>
    <row r="4426" spans="1:6" ht="17.25" thickBot="1" x14ac:dyDescent="0.35"/>
    <row r="4427" spans="1:6" ht="33" customHeight="1" x14ac:dyDescent="0.3">
      <c r="A4427" s="24" t="s">
        <v>80</v>
      </c>
      <c r="B4427" s="26"/>
    </row>
    <row r="4428" spans="1:6" ht="33.75" thickBot="1" x14ac:dyDescent="0.35">
      <c r="A4428" s="13" t="s">
        <v>81</v>
      </c>
      <c r="B4428" s="2" t="s">
        <v>82</v>
      </c>
    </row>
    <row r="4429" spans="1:6" ht="25.5" x14ac:dyDescent="0.3">
      <c r="A4429" s="14" t="s">
        <v>83</v>
      </c>
      <c r="B4429" s="2" t="s">
        <v>84</v>
      </c>
    </row>
    <row r="4430" spans="1:6" ht="17.25" thickBot="1" x14ac:dyDescent="0.35"/>
    <row r="4431" spans="1:6" ht="16.5" customHeight="1" x14ac:dyDescent="0.3">
      <c r="A4431" s="24" t="s">
        <v>130</v>
      </c>
      <c r="B4431" s="26"/>
      <c r="C4431" s="26"/>
      <c r="D4431" s="26"/>
      <c r="E4431" s="26"/>
      <c r="F4431" s="26"/>
    </row>
    <row r="4432" spans="1:6" x14ac:dyDescent="0.3">
      <c r="A4432" s="25" t="s">
        <v>131</v>
      </c>
      <c r="B4432" s="27" t="s">
        <v>46</v>
      </c>
      <c r="C4432" s="27" t="s">
        <v>132</v>
      </c>
      <c r="D4432" s="3" t="s">
        <v>133</v>
      </c>
      <c r="E4432" s="27" t="s">
        <v>135</v>
      </c>
      <c r="F4432" s="27"/>
    </row>
    <row r="4433" spans="1:8" x14ac:dyDescent="0.3">
      <c r="A4433" s="25"/>
      <c r="B4433" s="27"/>
      <c r="C4433" s="27"/>
      <c r="D4433" s="3" t="s">
        <v>134</v>
      </c>
      <c r="E4433" s="27"/>
      <c r="F4433" s="27"/>
    </row>
    <row r="4434" spans="1:8" ht="17.25" thickBot="1" x14ac:dyDescent="0.35">
      <c r="A4434" s="13" t="s">
        <v>66</v>
      </c>
      <c r="B4434" s="2">
        <v>9105</v>
      </c>
      <c r="C4434" s="2">
        <v>8.4998989999999992</v>
      </c>
      <c r="D4434" s="2">
        <v>9.0589999999999993E-3</v>
      </c>
      <c r="E4434" s="2">
        <v>8.4821054999999994</v>
      </c>
      <c r="F4434" s="2">
        <v>8.5176926000000002</v>
      </c>
      <c r="H4434" s="8" t="str">
        <f t="shared" ref="H4434:H4437" si="184">TEXT(C4434,"0.00")&amp;" ("&amp;TEXT(E4434,"0.00")&amp;" to "&amp;TEXT(F4434,"0.00")&amp;")"</f>
        <v>8.50 (8.48 to 8.52)</v>
      </c>
    </row>
    <row r="4435" spans="1:8" ht="17.25" thickBot="1" x14ac:dyDescent="0.35">
      <c r="A4435" s="13" t="s">
        <v>67</v>
      </c>
      <c r="B4435" s="2">
        <v>9105</v>
      </c>
      <c r="C4435" s="2">
        <v>0.65082899999999999</v>
      </c>
      <c r="D4435" s="2">
        <v>1.1640000000000001E-3</v>
      </c>
      <c r="E4435" s="2">
        <v>0.64854270000000003</v>
      </c>
      <c r="F4435" s="2">
        <v>0.65311450000000004</v>
      </c>
      <c r="H4435" s="8" t="str">
        <f t="shared" si="184"/>
        <v>0.65 (0.65 to 0.65)</v>
      </c>
    </row>
    <row r="4436" spans="1:8" ht="17.25" thickBot="1" x14ac:dyDescent="0.35">
      <c r="A4436" s="13" t="s">
        <v>68</v>
      </c>
      <c r="B4436" s="2">
        <v>9105</v>
      </c>
      <c r="C4436" s="2">
        <v>0.30327100000000001</v>
      </c>
      <c r="D4436" s="2">
        <v>4.1840000000000002E-3</v>
      </c>
      <c r="E4436" s="2">
        <v>0.29505209999999998</v>
      </c>
      <c r="F4436" s="2">
        <v>0.31148930000000002</v>
      </c>
      <c r="H4436" s="8" t="str">
        <f t="shared" si="184"/>
        <v>0.30 (0.30 to 0.31)</v>
      </c>
    </row>
    <row r="4437" spans="1:8" x14ac:dyDescent="0.3">
      <c r="A4437" s="14" t="s">
        <v>69</v>
      </c>
      <c r="B4437" s="2">
        <v>9105</v>
      </c>
      <c r="C4437" s="2">
        <v>34.722391999999999</v>
      </c>
      <c r="D4437" s="2">
        <v>9.7838999999999995E-2</v>
      </c>
      <c r="E4437" s="2">
        <v>34.530209900000003</v>
      </c>
      <c r="F4437" s="2">
        <v>34.914574899999998</v>
      </c>
      <c r="H4437" s="8" t="str">
        <f t="shared" si="184"/>
        <v>34.72 (34.53 to 34.91)</v>
      </c>
    </row>
    <row r="4441" spans="1:8" x14ac:dyDescent="0.3">
      <c r="A4441" s="1" t="s">
        <v>129</v>
      </c>
    </row>
    <row r="4443" spans="1:8" x14ac:dyDescent="0.3">
      <c r="A4443" s="1" t="s">
        <v>327</v>
      </c>
    </row>
    <row r="4444" spans="1:8" ht="17.25" thickBot="1" x14ac:dyDescent="0.35"/>
    <row r="4445" spans="1:8" ht="16.5" customHeight="1" x14ac:dyDescent="0.3">
      <c r="A4445" s="24" t="s">
        <v>75</v>
      </c>
      <c r="B4445" s="26"/>
    </row>
    <row r="4446" spans="1:8" ht="26.25" thickBot="1" x14ac:dyDescent="0.35">
      <c r="A4446" s="13" t="s">
        <v>76</v>
      </c>
      <c r="B4446" s="2">
        <v>25</v>
      </c>
    </row>
    <row r="4447" spans="1:8" ht="26.25" thickBot="1" x14ac:dyDescent="0.35">
      <c r="A4447" s="13" t="s">
        <v>77</v>
      </c>
      <c r="B4447" s="2">
        <v>564</v>
      </c>
    </row>
    <row r="4448" spans="1:8" ht="39" thickBot="1" x14ac:dyDescent="0.35">
      <c r="A4448" s="13" t="s">
        <v>78</v>
      </c>
      <c r="B4448" s="2">
        <v>2370</v>
      </c>
    </row>
    <row r="4449" spans="1:8" ht="25.5" x14ac:dyDescent="0.3">
      <c r="A4449" s="14" t="s">
        <v>79</v>
      </c>
      <c r="B4449" s="2">
        <v>1320407.68</v>
      </c>
    </row>
    <row r="4450" spans="1:8" ht="17.25" thickBot="1" x14ac:dyDescent="0.35"/>
    <row r="4451" spans="1:8" ht="33" customHeight="1" x14ac:dyDescent="0.3">
      <c r="A4451" s="24" t="s">
        <v>80</v>
      </c>
      <c r="B4451" s="26"/>
    </row>
    <row r="4452" spans="1:8" ht="33.75" thickBot="1" x14ac:dyDescent="0.35">
      <c r="A4452" s="13" t="s">
        <v>81</v>
      </c>
      <c r="B4452" s="2" t="s">
        <v>82</v>
      </c>
    </row>
    <row r="4453" spans="1:8" ht="25.5" x14ac:dyDescent="0.3">
      <c r="A4453" s="14" t="s">
        <v>83</v>
      </c>
      <c r="B4453" s="2" t="s">
        <v>84</v>
      </c>
    </row>
    <row r="4454" spans="1:8" ht="17.25" thickBot="1" x14ac:dyDescent="0.35"/>
    <row r="4455" spans="1:8" ht="16.5" customHeight="1" x14ac:dyDescent="0.3">
      <c r="A4455" s="24" t="s">
        <v>130</v>
      </c>
      <c r="B4455" s="26"/>
      <c r="C4455" s="26"/>
      <c r="D4455" s="26"/>
      <c r="E4455" s="26"/>
      <c r="F4455" s="26"/>
    </row>
    <row r="4456" spans="1:8" x14ac:dyDescent="0.3">
      <c r="A4456" s="25" t="s">
        <v>131</v>
      </c>
      <c r="B4456" s="27" t="s">
        <v>46</v>
      </c>
      <c r="C4456" s="27" t="s">
        <v>132</v>
      </c>
      <c r="D4456" s="3" t="s">
        <v>133</v>
      </c>
      <c r="E4456" s="27" t="s">
        <v>135</v>
      </c>
      <c r="F4456" s="27"/>
    </row>
    <row r="4457" spans="1:8" x14ac:dyDescent="0.3">
      <c r="A4457" s="25"/>
      <c r="B4457" s="27"/>
      <c r="C4457" s="27"/>
      <c r="D4457" s="3" t="s">
        <v>134</v>
      </c>
      <c r="E4457" s="27"/>
      <c r="F4457" s="27"/>
    </row>
    <row r="4458" spans="1:8" ht="17.25" thickBot="1" x14ac:dyDescent="0.35">
      <c r="A4458" s="13" t="s">
        <v>66</v>
      </c>
      <c r="B4458" s="2">
        <v>2370</v>
      </c>
      <c r="C4458" s="2">
        <v>8.8641349999999992</v>
      </c>
      <c r="D4458" s="2">
        <v>1.6559000000000001E-2</v>
      </c>
      <c r="E4458" s="2">
        <v>8.8316072999999999</v>
      </c>
      <c r="F4458" s="2">
        <v>8.8966629000000008</v>
      </c>
      <c r="H4458" s="8" t="str">
        <f t="shared" ref="H4458:H4461" si="185">TEXT(C4458,"0.00")&amp;" ("&amp;TEXT(E4458,"0.00")&amp;" to "&amp;TEXT(F4458,"0.00")&amp;")"</f>
        <v>8.86 (8.83 to 8.90)</v>
      </c>
    </row>
    <row r="4459" spans="1:8" ht="17.25" thickBot="1" x14ac:dyDescent="0.35">
      <c r="A4459" s="13" t="s">
        <v>67</v>
      </c>
      <c r="B4459" s="2">
        <v>2370</v>
      </c>
      <c r="C4459" s="2">
        <v>0.68397399999999997</v>
      </c>
      <c r="D4459" s="2">
        <v>1.8439999999999999E-3</v>
      </c>
      <c r="E4459" s="2">
        <v>0.68035140000000005</v>
      </c>
      <c r="F4459" s="2">
        <v>0.68759579999999998</v>
      </c>
      <c r="H4459" s="8" t="str">
        <f t="shared" si="185"/>
        <v>0.68 (0.68 to 0.69)</v>
      </c>
    </row>
    <row r="4460" spans="1:8" ht="17.25" thickBot="1" x14ac:dyDescent="0.35">
      <c r="A4460" s="13" t="s">
        <v>68</v>
      </c>
      <c r="B4460" s="2">
        <v>2370</v>
      </c>
      <c r="C4460" s="2">
        <v>0.48768600000000001</v>
      </c>
      <c r="D4460" s="2">
        <v>7.8279999999999999E-3</v>
      </c>
      <c r="E4460" s="2">
        <v>0.47230830000000001</v>
      </c>
      <c r="F4460" s="2">
        <v>0.50306329999999999</v>
      </c>
      <c r="H4460" s="8" t="str">
        <f t="shared" si="185"/>
        <v>0.49 (0.47 to 0.50)</v>
      </c>
    </row>
    <row r="4461" spans="1:8" x14ac:dyDescent="0.3">
      <c r="A4461" s="14" t="s">
        <v>69</v>
      </c>
      <c r="B4461" s="2">
        <v>2370</v>
      </c>
      <c r="C4461" s="2">
        <v>37.447977999999999</v>
      </c>
      <c r="D4461" s="2">
        <v>0.17976600000000001</v>
      </c>
      <c r="E4461" s="2">
        <v>37.094850299999997</v>
      </c>
      <c r="F4461" s="2">
        <v>37.801106599999997</v>
      </c>
      <c r="H4461" s="8" t="str">
        <f t="shared" si="185"/>
        <v>37.45 (37.09 to 37.80)</v>
      </c>
    </row>
    <row r="4465" spans="1:6" x14ac:dyDescent="0.3">
      <c r="A4465" s="1" t="s">
        <v>129</v>
      </c>
    </row>
    <row r="4467" spans="1:6" x14ac:dyDescent="0.3">
      <c r="A4467" s="1" t="s">
        <v>328</v>
      </c>
    </row>
    <row r="4468" spans="1:6" ht="17.25" thickBot="1" x14ac:dyDescent="0.35"/>
    <row r="4469" spans="1:6" ht="16.5" customHeight="1" x14ac:dyDescent="0.3">
      <c r="A4469" s="24" t="s">
        <v>75</v>
      </c>
      <c r="B4469" s="26"/>
    </row>
    <row r="4470" spans="1:6" ht="26.25" thickBot="1" x14ac:dyDescent="0.35">
      <c r="A4470" s="13" t="s">
        <v>76</v>
      </c>
      <c r="B4470" s="2">
        <v>54</v>
      </c>
    </row>
    <row r="4471" spans="1:6" ht="26.25" thickBot="1" x14ac:dyDescent="0.35">
      <c r="A4471" s="13" t="s">
        <v>77</v>
      </c>
      <c r="B4471" s="2">
        <v>576</v>
      </c>
    </row>
    <row r="4472" spans="1:6" ht="39" thickBot="1" x14ac:dyDescent="0.35">
      <c r="A4472" s="13" t="s">
        <v>78</v>
      </c>
      <c r="B4472" s="2">
        <v>11360</v>
      </c>
    </row>
    <row r="4473" spans="1:6" ht="25.5" x14ac:dyDescent="0.3">
      <c r="A4473" s="14" t="s">
        <v>79</v>
      </c>
      <c r="B4473" s="2">
        <v>4869832.01</v>
      </c>
    </row>
    <row r="4474" spans="1:6" ht="17.25" thickBot="1" x14ac:dyDescent="0.35"/>
    <row r="4475" spans="1:6" ht="33" customHeight="1" x14ac:dyDescent="0.3">
      <c r="A4475" s="24" t="s">
        <v>80</v>
      </c>
      <c r="B4475" s="26"/>
    </row>
    <row r="4476" spans="1:6" ht="33.75" thickBot="1" x14ac:dyDescent="0.35">
      <c r="A4476" s="13" t="s">
        <v>81</v>
      </c>
      <c r="B4476" s="2" t="s">
        <v>82</v>
      </c>
    </row>
    <row r="4477" spans="1:6" ht="25.5" x14ac:dyDescent="0.3">
      <c r="A4477" s="14" t="s">
        <v>83</v>
      </c>
      <c r="B4477" s="2" t="s">
        <v>84</v>
      </c>
    </row>
    <row r="4478" spans="1:6" ht="17.25" thickBot="1" x14ac:dyDescent="0.35"/>
    <row r="4479" spans="1:6" ht="16.5" customHeight="1" x14ac:dyDescent="0.3">
      <c r="A4479" s="24" t="s">
        <v>130</v>
      </c>
      <c r="B4479" s="26"/>
      <c r="C4479" s="26"/>
      <c r="D4479" s="26"/>
      <c r="E4479" s="26"/>
      <c r="F4479" s="26"/>
    </row>
    <row r="4480" spans="1:6" x14ac:dyDescent="0.3">
      <c r="A4480" s="25" t="s">
        <v>131</v>
      </c>
      <c r="B4480" s="27" t="s">
        <v>46</v>
      </c>
      <c r="C4480" s="27" t="s">
        <v>132</v>
      </c>
      <c r="D4480" s="3" t="s">
        <v>133</v>
      </c>
      <c r="E4480" s="27" t="s">
        <v>135</v>
      </c>
      <c r="F4480" s="27"/>
    </row>
    <row r="4481" spans="1:8" x14ac:dyDescent="0.3">
      <c r="A4481" s="25"/>
      <c r="B4481" s="27"/>
      <c r="C4481" s="27"/>
      <c r="D4481" s="3" t="s">
        <v>134</v>
      </c>
      <c r="E4481" s="27"/>
      <c r="F4481" s="27"/>
    </row>
    <row r="4482" spans="1:8" ht="17.25" thickBot="1" x14ac:dyDescent="0.35">
      <c r="A4482" s="13" t="s">
        <v>66</v>
      </c>
      <c r="B4482" s="2">
        <v>11360</v>
      </c>
      <c r="C4482" s="2">
        <v>8.5310500000000005</v>
      </c>
      <c r="D4482" s="2">
        <v>8.0800000000000004E-3</v>
      </c>
      <c r="E4482" s="2">
        <v>8.5151760999999997</v>
      </c>
      <c r="F4482" s="2">
        <v>8.5469238000000001</v>
      </c>
      <c r="H4482" s="8" t="str">
        <f t="shared" ref="H4482:H4485" si="186">TEXT(C4482,"0.00")&amp;" ("&amp;TEXT(E4482,"0.00")&amp;" to "&amp;TEXT(F4482,"0.00")&amp;")"</f>
        <v>8.53 (8.52 to 8.55)</v>
      </c>
    </row>
    <row r="4483" spans="1:8" ht="17.25" thickBot="1" x14ac:dyDescent="0.35">
      <c r="A4483" s="13" t="s">
        <v>67</v>
      </c>
      <c r="B4483" s="2">
        <v>11360</v>
      </c>
      <c r="C4483" s="2">
        <v>0.65698299999999998</v>
      </c>
      <c r="D4483" s="2">
        <v>1.044E-3</v>
      </c>
      <c r="E4483" s="2">
        <v>0.65493140000000005</v>
      </c>
      <c r="F4483" s="2">
        <v>0.65903429999999996</v>
      </c>
      <c r="H4483" s="8" t="str">
        <f t="shared" si="186"/>
        <v>0.66 (0.65 to 0.66)</v>
      </c>
    </row>
    <row r="4484" spans="1:8" ht="17.25" thickBot="1" x14ac:dyDescent="0.35">
      <c r="A4484" s="13" t="s">
        <v>68</v>
      </c>
      <c r="B4484" s="2">
        <v>11360</v>
      </c>
      <c r="C4484" s="2">
        <v>0.31151499999999999</v>
      </c>
      <c r="D4484" s="2">
        <v>3.9490000000000003E-3</v>
      </c>
      <c r="E4484" s="2">
        <v>0.30375600000000003</v>
      </c>
      <c r="F4484" s="2">
        <v>0.31927339999999998</v>
      </c>
      <c r="H4484" s="8" t="str">
        <f t="shared" si="186"/>
        <v>0.31 (0.30 to 0.32)</v>
      </c>
    </row>
    <row r="4485" spans="1:8" x14ac:dyDescent="0.3">
      <c r="A4485" s="14" t="s">
        <v>69</v>
      </c>
      <c r="B4485" s="2">
        <v>11360</v>
      </c>
      <c r="C4485" s="2">
        <v>35.149638000000003</v>
      </c>
      <c r="D4485" s="2">
        <v>9.4742000000000007E-2</v>
      </c>
      <c r="E4485" s="2">
        <v>34.963516200000001</v>
      </c>
      <c r="F4485" s="2">
        <v>35.335759899999999</v>
      </c>
      <c r="H4485" s="8" t="str">
        <f t="shared" si="186"/>
        <v>35.15 (34.96 to 35.34)</v>
      </c>
    </row>
    <row r="4489" spans="1:8" x14ac:dyDescent="0.3">
      <c r="A4489" s="1" t="s">
        <v>129</v>
      </c>
    </row>
    <row r="4491" spans="1:8" x14ac:dyDescent="0.3">
      <c r="A4491" s="1" t="s">
        <v>329</v>
      </c>
    </row>
    <row r="4492" spans="1:8" ht="17.25" thickBot="1" x14ac:dyDescent="0.35"/>
    <row r="4493" spans="1:8" ht="16.5" customHeight="1" x14ac:dyDescent="0.3">
      <c r="A4493" s="24" t="s">
        <v>75</v>
      </c>
      <c r="B4493" s="26"/>
    </row>
    <row r="4494" spans="1:8" ht="26.25" thickBot="1" x14ac:dyDescent="0.35">
      <c r="A4494" s="13" t="s">
        <v>76</v>
      </c>
      <c r="B4494" s="2">
        <v>54</v>
      </c>
    </row>
    <row r="4495" spans="1:8" ht="26.25" thickBot="1" x14ac:dyDescent="0.35">
      <c r="A4495" s="13" t="s">
        <v>77</v>
      </c>
      <c r="B4495" s="2">
        <v>568</v>
      </c>
    </row>
    <row r="4496" spans="1:8" ht="39" thickBot="1" x14ac:dyDescent="0.35">
      <c r="A4496" s="13" t="s">
        <v>78</v>
      </c>
      <c r="B4496" s="2">
        <v>2798</v>
      </c>
    </row>
    <row r="4497" spans="1:8" ht="25.5" x14ac:dyDescent="0.3">
      <c r="A4497" s="14" t="s">
        <v>79</v>
      </c>
      <c r="B4497" s="2">
        <v>1451128.5</v>
      </c>
    </row>
    <row r="4498" spans="1:8" ht="17.25" thickBot="1" x14ac:dyDescent="0.35"/>
    <row r="4499" spans="1:8" ht="33" customHeight="1" x14ac:dyDescent="0.3">
      <c r="A4499" s="24" t="s">
        <v>80</v>
      </c>
      <c r="B4499" s="26"/>
    </row>
    <row r="4500" spans="1:8" ht="33.75" thickBot="1" x14ac:dyDescent="0.35">
      <c r="A4500" s="13" t="s">
        <v>81</v>
      </c>
      <c r="B4500" s="2" t="s">
        <v>82</v>
      </c>
    </row>
    <row r="4501" spans="1:8" ht="25.5" x14ac:dyDescent="0.3">
      <c r="A4501" s="14" t="s">
        <v>83</v>
      </c>
      <c r="B4501" s="2" t="s">
        <v>84</v>
      </c>
    </row>
    <row r="4502" spans="1:8" ht="17.25" thickBot="1" x14ac:dyDescent="0.35"/>
    <row r="4503" spans="1:8" ht="16.5" customHeight="1" x14ac:dyDescent="0.3">
      <c r="A4503" s="24" t="s">
        <v>130</v>
      </c>
      <c r="B4503" s="26"/>
      <c r="C4503" s="26"/>
      <c r="D4503" s="26"/>
      <c r="E4503" s="26"/>
      <c r="F4503" s="26"/>
    </row>
    <row r="4504" spans="1:8" x14ac:dyDescent="0.3">
      <c r="A4504" s="25" t="s">
        <v>131</v>
      </c>
      <c r="B4504" s="27" t="s">
        <v>46</v>
      </c>
      <c r="C4504" s="27" t="s">
        <v>132</v>
      </c>
      <c r="D4504" s="3" t="s">
        <v>133</v>
      </c>
      <c r="E4504" s="27" t="s">
        <v>135</v>
      </c>
      <c r="F4504" s="27"/>
    </row>
    <row r="4505" spans="1:8" x14ac:dyDescent="0.3">
      <c r="A4505" s="25"/>
      <c r="B4505" s="27"/>
      <c r="C4505" s="27"/>
      <c r="D4505" s="3" t="s">
        <v>134</v>
      </c>
      <c r="E4505" s="27"/>
      <c r="F4505" s="27"/>
    </row>
    <row r="4506" spans="1:8" ht="17.25" thickBot="1" x14ac:dyDescent="0.35">
      <c r="A4506" s="13" t="s">
        <v>66</v>
      </c>
      <c r="B4506" s="2">
        <v>2798</v>
      </c>
      <c r="C4506" s="2">
        <v>8.8736180000000004</v>
      </c>
      <c r="D4506" s="2">
        <v>1.5062000000000001E-2</v>
      </c>
      <c r="E4506" s="2">
        <v>8.8440273999999999</v>
      </c>
      <c r="F4506" s="2">
        <v>8.9032076999999994</v>
      </c>
      <c r="H4506" s="8" t="str">
        <f t="shared" ref="H4506:H4509" si="187">TEXT(C4506,"0.00")&amp;" ("&amp;TEXT(E4506,"0.00")&amp;" to "&amp;TEXT(F4506,"0.00")&amp;")"</f>
        <v>8.87 (8.84 to 8.90)</v>
      </c>
    </row>
    <row r="4507" spans="1:8" ht="17.25" thickBot="1" x14ac:dyDescent="0.35">
      <c r="A4507" s="13" t="s">
        <v>67</v>
      </c>
      <c r="B4507" s="2">
        <v>2798</v>
      </c>
      <c r="C4507" s="2">
        <v>0.68992500000000001</v>
      </c>
      <c r="D4507" s="2">
        <v>1.5950000000000001E-3</v>
      </c>
      <c r="E4507" s="2">
        <v>0.68679040000000002</v>
      </c>
      <c r="F4507" s="2">
        <v>0.69305890000000003</v>
      </c>
      <c r="H4507" s="8" t="str">
        <f t="shared" si="187"/>
        <v>0.69 (0.69 to 0.69)</v>
      </c>
    </row>
    <row r="4508" spans="1:8" ht="17.25" thickBot="1" x14ac:dyDescent="0.35">
      <c r="A4508" s="13" t="s">
        <v>68</v>
      </c>
      <c r="B4508" s="2">
        <v>2798</v>
      </c>
      <c r="C4508" s="2">
        <v>0.49210100000000001</v>
      </c>
      <c r="D4508" s="2">
        <v>7.2940000000000001E-3</v>
      </c>
      <c r="E4508" s="2">
        <v>0.4777709</v>
      </c>
      <c r="F4508" s="2">
        <v>0.50643179999999999</v>
      </c>
      <c r="H4508" s="8" t="str">
        <f t="shared" si="187"/>
        <v>0.49 (0.48 to 0.51)</v>
      </c>
    </row>
    <row r="4509" spans="1:8" x14ac:dyDescent="0.3">
      <c r="A4509" s="14" t="s">
        <v>69</v>
      </c>
      <c r="B4509" s="2">
        <v>2798</v>
      </c>
      <c r="C4509" s="2">
        <v>37.721910999999999</v>
      </c>
      <c r="D4509" s="2">
        <v>0.180505</v>
      </c>
      <c r="E4509" s="2">
        <v>37.367294100000002</v>
      </c>
      <c r="F4509" s="2">
        <v>38.076528799999998</v>
      </c>
      <c r="H4509" s="8" t="str">
        <f t="shared" si="187"/>
        <v>37.72 (37.37 to 38.08)</v>
      </c>
    </row>
    <row r="4513" spans="1:6" x14ac:dyDescent="0.3">
      <c r="A4513" s="1" t="s">
        <v>129</v>
      </c>
    </row>
    <row r="4515" spans="1:6" x14ac:dyDescent="0.3">
      <c r="A4515" s="1" t="s">
        <v>330</v>
      </c>
    </row>
    <row r="4516" spans="1:6" ht="17.25" thickBot="1" x14ac:dyDescent="0.35"/>
    <row r="4517" spans="1:6" ht="16.5" customHeight="1" x14ac:dyDescent="0.3">
      <c r="A4517" s="24" t="s">
        <v>75</v>
      </c>
      <c r="B4517" s="26"/>
    </row>
    <row r="4518" spans="1:6" ht="26.25" thickBot="1" x14ac:dyDescent="0.35">
      <c r="A4518" s="13" t="s">
        <v>76</v>
      </c>
      <c r="B4518" s="2">
        <v>27</v>
      </c>
    </row>
    <row r="4519" spans="1:6" ht="26.25" thickBot="1" x14ac:dyDescent="0.35">
      <c r="A4519" s="13" t="s">
        <v>77</v>
      </c>
      <c r="B4519" s="2">
        <v>564</v>
      </c>
    </row>
    <row r="4520" spans="1:6" ht="39" thickBot="1" x14ac:dyDescent="0.35">
      <c r="A4520" s="13" t="s">
        <v>78</v>
      </c>
      <c r="B4520" s="2">
        <v>11154</v>
      </c>
    </row>
    <row r="4521" spans="1:6" ht="25.5" x14ac:dyDescent="0.3">
      <c r="A4521" s="14" t="s">
        <v>79</v>
      </c>
      <c r="B4521" s="2">
        <v>5237939.2699999996</v>
      </c>
    </row>
    <row r="4522" spans="1:6" ht="17.25" thickBot="1" x14ac:dyDescent="0.35"/>
    <row r="4523" spans="1:6" ht="33" customHeight="1" x14ac:dyDescent="0.3">
      <c r="A4523" s="24" t="s">
        <v>80</v>
      </c>
      <c r="B4523" s="26"/>
    </row>
    <row r="4524" spans="1:6" ht="33.75" thickBot="1" x14ac:dyDescent="0.35">
      <c r="A4524" s="13" t="s">
        <v>81</v>
      </c>
      <c r="B4524" s="2" t="s">
        <v>82</v>
      </c>
    </row>
    <row r="4525" spans="1:6" ht="25.5" x14ac:dyDescent="0.3">
      <c r="A4525" s="14" t="s">
        <v>83</v>
      </c>
      <c r="B4525" s="2" t="s">
        <v>84</v>
      </c>
    </row>
    <row r="4526" spans="1:6" ht="17.25" thickBot="1" x14ac:dyDescent="0.35"/>
    <row r="4527" spans="1:6" ht="16.5" customHeight="1" x14ac:dyDescent="0.3">
      <c r="A4527" s="24" t="s">
        <v>130</v>
      </c>
      <c r="B4527" s="26"/>
      <c r="C4527" s="26"/>
      <c r="D4527" s="26"/>
      <c r="E4527" s="26"/>
      <c r="F4527" s="26"/>
    </row>
    <row r="4528" spans="1:6" x14ac:dyDescent="0.3">
      <c r="A4528" s="25" t="s">
        <v>131</v>
      </c>
      <c r="B4528" s="27" t="s">
        <v>46</v>
      </c>
      <c r="C4528" s="27" t="s">
        <v>132</v>
      </c>
      <c r="D4528" s="3" t="s">
        <v>133</v>
      </c>
      <c r="E4528" s="27" t="s">
        <v>135</v>
      </c>
      <c r="F4528" s="27"/>
    </row>
    <row r="4529" spans="1:8" x14ac:dyDescent="0.3">
      <c r="A4529" s="25"/>
      <c r="B4529" s="27"/>
      <c r="C4529" s="27"/>
      <c r="D4529" s="3" t="s">
        <v>134</v>
      </c>
      <c r="E4529" s="27"/>
      <c r="F4529" s="27"/>
    </row>
    <row r="4530" spans="1:8" ht="17.25" thickBot="1" x14ac:dyDescent="0.35">
      <c r="A4530" s="13" t="s">
        <v>66</v>
      </c>
      <c r="B4530" s="2">
        <v>11154</v>
      </c>
      <c r="C4530" s="2">
        <v>8.5251789999999996</v>
      </c>
      <c r="D4530" s="2">
        <v>8.3770000000000008E-3</v>
      </c>
      <c r="E4530" s="2">
        <v>8.5087235999999997</v>
      </c>
      <c r="F4530" s="2">
        <v>8.5416345000000007</v>
      </c>
      <c r="H4530" s="8" t="str">
        <f t="shared" ref="H4530:H4533" si="188">TEXT(C4530,"0.00")&amp;" ("&amp;TEXT(E4530,"0.00")&amp;" to "&amp;TEXT(F4530,"0.00")&amp;")"</f>
        <v>8.53 (8.51 to 8.54)</v>
      </c>
    </row>
    <row r="4531" spans="1:8" ht="17.25" thickBot="1" x14ac:dyDescent="0.35">
      <c r="A4531" s="13" t="s">
        <v>67</v>
      </c>
      <c r="B4531" s="2">
        <v>11154</v>
      </c>
      <c r="C4531" s="2">
        <v>0.666404</v>
      </c>
      <c r="D4531" s="2">
        <v>1.0280000000000001E-3</v>
      </c>
      <c r="E4531" s="2">
        <v>0.66438509999999995</v>
      </c>
      <c r="F4531" s="2">
        <v>0.66842219999999997</v>
      </c>
      <c r="H4531" s="8" t="str">
        <f t="shared" si="188"/>
        <v>0.67 (0.66 to 0.67)</v>
      </c>
    </row>
    <row r="4532" spans="1:8" ht="17.25" thickBot="1" x14ac:dyDescent="0.35">
      <c r="A4532" s="13" t="s">
        <v>68</v>
      </c>
      <c r="B4532" s="2">
        <v>11154</v>
      </c>
      <c r="C4532" s="2">
        <v>0.29699399999999998</v>
      </c>
      <c r="D4532" s="2">
        <v>4.0800000000000003E-3</v>
      </c>
      <c r="E4532" s="2">
        <v>0.28897899999999999</v>
      </c>
      <c r="F4532" s="2">
        <v>0.3050098</v>
      </c>
      <c r="H4532" s="8" t="str">
        <f t="shared" si="188"/>
        <v>0.30 (0.29 to 0.31)</v>
      </c>
    </row>
    <row r="4533" spans="1:8" x14ac:dyDescent="0.3">
      <c r="A4533" s="14" t="s">
        <v>69</v>
      </c>
      <c r="B4533" s="2">
        <v>11154</v>
      </c>
      <c r="C4533" s="2">
        <v>35.292310999999998</v>
      </c>
      <c r="D4533" s="2">
        <v>0.104086</v>
      </c>
      <c r="E4533" s="2">
        <v>35.087844799999999</v>
      </c>
      <c r="F4533" s="2">
        <v>35.496776799999999</v>
      </c>
      <c r="H4533" s="8" t="str">
        <f t="shared" si="188"/>
        <v>35.29 (35.09 to 35.50)</v>
      </c>
    </row>
    <row r="4537" spans="1:8" x14ac:dyDescent="0.3">
      <c r="A4537" s="1" t="s">
        <v>129</v>
      </c>
    </row>
    <row r="4539" spans="1:8" x14ac:dyDescent="0.3">
      <c r="A4539" s="1" t="s">
        <v>331</v>
      </c>
    </row>
    <row r="4540" spans="1:8" ht="17.25" thickBot="1" x14ac:dyDescent="0.35"/>
    <row r="4541" spans="1:8" ht="16.5" customHeight="1" x14ac:dyDescent="0.3">
      <c r="A4541" s="24" t="s">
        <v>75</v>
      </c>
      <c r="B4541" s="26"/>
    </row>
    <row r="4542" spans="1:8" ht="26.25" thickBot="1" x14ac:dyDescent="0.35">
      <c r="A4542" s="13" t="s">
        <v>76</v>
      </c>
      <c r="B4542" s="2">
        <v>27</v>
      </c>
    </row>
    <row r="4543" spans="1:8" ht="26.25" thickBot="1" x14ac:dyDescent="0.35">
      <c r="A4543" s="13" t="s">
        <v>77</v>
      </c>
      <c r="B4543" s="2">
        <v>549</v>
      </c>
    </row>
    <row r="4544" spans="1:8" ht="39" thickBot="1" x14ac:dyDescent="0.35">
      <c r="A4544" s="13" t="s">
        <v>78</v>
      </c>
      <c r="B4544" s="2">
        <v>2401</v>
      </c>
    </row>
    <row r="4545" spans="1:8" ht="25.5" x14ac:dyDescent="0.3">
      <c r="A4545" s="14" t="s">
        <v>79</v>
      </c>
      <c r="B4545" s="2">
        <v>1316759.54</v>
      </c>
    </row>
    <row r="4546" spans="1:8" ht="17.25" thickBot="1" x14ac:dyDescent="0.35"/>
    <row r="4547" spans="1:8" ht="33" customHeight="1" x14ac:dyDescent="0.3">
      <c r="A4547" s="24" t="s">
        <v>80</v>
      </c>
      <c r="B4547" s="26"/>
    </row>
    <row r="4548" spans="1:8" ht="33.75" thickBot="1" x14ac:dyDescent="0.35">
      <c r="A4548" s="13" t="s">
        <v>81</v>
      </c>
      <c r="B4548" s="2" t="s">
        <v>82</v>
      </c>
    </row>
    <row r="4549" spans="1:8" ht="25.5" x14ac:dyDescent="0.3">
      <c r="A4549" s="14" t="s">
        <v>83</v>
      </c>
      <c r="B4549" s="2" t="s">
        <v>84</v>
      </c>
    </row>
    <row r="4550" spans="1:8" ht="17.25" thickBot="1" x14ac:dyDescent="0.35"/>
    <row r="4551" spans="1:8" ht="16.5" customHeight="1" x14ac:dyDescent="0.3">
      <c r="A4551" s="24" t="s">
        <v>130</v>
      </c>
      <c r="B4551" s="26"/>
      <c r="C4551" s="26"/>
      <c r="D4551" s="26"/>
      <c r="E4551" s="26"/>
      <c r="F4551" s="26"/>
    </row>
    <row r="4552" spans="1:8" x14ac:dyDescent="0.3">
      <c r="A4552" s="25" t="s">
        <v>131</v>
      </c>
      <c r="B4552" s="27" t="s">
        <v>46</v>
      </c>
      <c r="C4552" s="27" t="s">
        <v>132</v>
      </c>
      <c r="D4552" s="3" t="s">
        <v>133</v>
      </c>
      <c r="E4552" s="27" t="s">
        <v>135</v>
      </c>
      <c r="F4552" s="27"/>
    </row>
    <row r="4553" spans="1:8" x14ac:dyDescent="0.3">
      <c r="A4553" s="25"/>
      <c r="B4553" s="27"/>
      <c r="C4553" s="27"/>
      <c r="D4553" s="3" t="s">
        <v>134</v>
      </c>
      <c r="E4553" s="27"/>
      <c r="F4553" s="27"/>
    </row>
    <row r="4554" spans="1:8" ht="17.25" thickBot="1" x14ac:dyDescent="0.35">
      <c r="A4554" s="13" t="s">
        <v>66</v>
      </c>
      <c r="B4554" s="2">
        <v>2401</v>
      </c>
      <c r="C4554" s="2">
        <v>8.8274869999999996</v>
      </c>
      <c r="D4554" s="2">
        <v>1.6721E-2</v>
      </c>
      <c r="E4554" s="2">
        <v>8.7946370999999992</v>
      </c>
      <c r="F4554" s="2">
        <v>8.8603363000000002</v>
      </c>
      <c r="H4554" s="8" t="str">
        <f t="shared" ref="H4554:H4557" si="189">TEXT(C4554,"0.00")&amp;" ("&amp;TEXT(E4554,"0.00")&amp;" to "&amp;TEXT(F4554,"0.00")&amp;")"</f>
        <v>8.83 (8.79 to 8.86)</v>
      </c>
    </row>
    <row r="4555" spans="1:8" ht="17.25" thickBot="1" x14ac:dyDescent="0.35">
      <c r="A4555" s="13" t="s">
        <v>67</v>
      </c>
      <c r="B4555" s="2">
        <v>2401</v>
      </c>
      <c r="C4555" s="2">
        <v>0.69583200000000001</v>
      </c>
      <c r="D4555" s="2">
        <v>1.8519999999999999E-3</v>
      </c>
      <c r="E4555" s="2">
        <v>0.69219410000000003</v>
      </c>
      <c r="F4555" s="2">
        <v>0.69946960000000002</v>
      </c>
      <c r="H4555" s="8" t="str">
        <f t="shared" si="189"/>
        <v>0.70 (0.69 to 0.70)</v>
      </c>
    </row>
    <row r="4556" spans="1:8" ht="17.25" thickBot="1" x14ac:dyDescent="0.35">
      <c r="A4556" s="13" t="s">
        <v>68</v>
      </c>
      <c r="B4556" s="2">
        <v>2401</v>
      </c>
      <c r="C4556" s="2">
        <v>0.452961</v>
      </c>
      <c r="D4556" s="2">
        <v>7.9710000000000007E-3</v>
      </c>
      <c r="E4556" s="2">
        <v>0.43730239999999998</v>
      </c>
      <c r="F4556" s="2">
        <v>0.4686205</v>
      </c>
      <c r="H4556" s="8" t="str">
        <f t="shared" si="189"/>
        <v>0.45 (0.44 to 0.47)</v>
      </c>
    </row>
    <row r="4557" spans="1:8" x14ac:dyDescent="0.3">
      <c r="A4557" s="14" t="s">
        <v>69</v>
      </c>
      <c r="B4557" s="2">
        <v>2401</v>
      </c>
      <c r="C4557" s="2">
        <v>37.847453999999999</v>
      </c>
      <c r="D4557" s="2">
        <v>0.188108</v>
      </c>
      <c r="E4557" s="2">
        <v>37.477912199999999</v>
      </c>
      <c r="F4557" s="2">
        <v>38.216995599999997</v>
      </c>
      <c r="H4557" s="8" t="str">
        <f t="shared" si="189"/>
        <v>37.85 (37.48 to 38.22)</v>
      </c>
    </row>
    <row r="4561" spans="1:6" x14ac:dyDescent="0.3">
      <c r="A4561" s="1" t="s">
        <v>129</v>
      </c>
    </row>
    <row r="4563" spans="1:6" x14ac:dyDescent="0.3">
      <c r="A4563" s="1" t="s">
        <v>332</v>
      </c>
    </row>
    <row r="4564" spans="1:6" ht="17.25" thickBot="1" x14ac:dyDescent="0.35"/>
    <row r="4565" spans="1:6" ht="16.5" customHeight="1" x14ac:dyDescent="0.3">
      <c r="A4565" s="24" t="s">
        <v>75</v>
      </c>
      <c r="B4565" s="26"/>
    </row>
    <row r="4566" spans="1:6" ht="26.25" thickBot="1" x14ac:dyDescent="0.35">
      <c r="A4566" s="13" t="s">
        <v>76</v>
      </c>
      <c r="B4566" s="2">
        <v>27</v>
      </c>
    </row>
    <row r="4567" spans="1:6" ht="26.25" thickBot="1" x14ac:dyDescent="0.35">
      <c r="A4567" s="13" t="s">
        <v>77</v>
      </c>
      <c r="B4567" s="2">
        <v>190</v>
      </c>
    </row>
    <row r="4568" spans="1:6" ht="39" thickBot="1" x14ac:dyDescent="0.35">
      <c r="A4568" s="13" t="s">
        <v>78</v>
      </c>
      <c r="B4568" s="2">
        <v>3782</v>
      </c>
    </row>
    <row r="4569" spans="1:6" ht="25.5" x14ac:dyDescent="0.3">
      <c r="A4569" s="14" t="s">
        <v>79</v>
      </c>
      <c r="B4569" s="2">
        <v>1798520.8</v>
      </c>
    </row>
    <row r="4570" spans="1:6" ht="17.25" thickBot="1" x14ac:dyDescent="0.35"/>
    <row r="4571" spans="1:6" ht="33" customHeight="1" x14ac:dyDescent="0.3">
      <c r="A4571" s="24" t="s">
        <v>80</v>
      </c>
      <c r="B4571" s="26"/>
    </row>
    <row r="4572" spans="1:6" ht="33.75" thickBot="1" x14ac:dyDescent="0.35">
      <c r="A4572" s="13" t="s">
        <v>81</v>
      </c>
      <c r="B4572" s="2" t="s">
        <v>82</v>
      </c>
    </row>
    <row r="4573" spans="1:6" ht="25.5" x14ac:dyDescent="0.3">
      <c r="A4573" s="14" t="s">
        <v>83</v>
      </c>
      <c r="B4573" s="2" t="s">
        <v>84</v>
      </c>
    </row>
    <row r="4574" spans="1:6" ht="17.25" thickBot="1" x14ac:dyDescent="0.35"/>
    <row r="4575" spans="1:6" ht="16.5" customHeight="1" x14ac:dyDescent="0.3">
      <c r="A4575" s="24" t="s">
        <v>130</v>
      </c>
      <c r="B4575" s="26"/>
      <c r="C4575" s="26"/>
      <c r="D4575" s="26"/>
      <c r="E4575" s="26"/>
      <c r="F4575" s="26"/>
    </row>
    <row r="4576" spans="1:6" x14ac:dyDescent="0.3">
      <c r="A4576" s="25" t="s">
        <v>131</v>
      </c>
      <c r="B4576" s="27" t="s">
        <v>46</v>
      </c>
      <c r="C4576" s="27" t="s">
        <v>132</v>
      </c>
      <c r="D4576" s="3" t="s">
        <v>133</v>
      </c>
      <c r="E4576" s="27" t="s">
        <v>135</v>
      </c>
      <c r="F4576" s="27"/>
    </row>
    <row r="4577" spans="1:8" x14ac:dyDescent="0.3">
      <c r="A4577" s="25"/>
      <c r="B4577" s="27"/>
      <c r="C4577" s="27"/>
      <c r="D4577" s="3" t="s">
        <v>134</v>
      </c>
      <c r="E4577" s="27"/>
      <c r="F4577" s="27"/>
    </row>
    <row r="4578" spans="1:8" ht="17.25" thickBot="1" x14ac:dyDescent="0.35">
      <c r="A4578" s="13" t="s">
        <v>66</v>
      </c>
      <c r="B4578" s="2">
        <v>3782</v>
      </c>
      <c r="C4578" s="2">
        <v>8.5392170000000007</v>
      </c>
      <c r="D4578" s="2">
        <v>1.2245000000000001E-2</v>
      </c>
      <c r="E4578" s="2">
        <v>8.5150374000000006</v>
      </c>
      <c r="F4578" s="2">
        <v>8.5633973999999995</v>
      </c>
      <c r="H4578" s="8" t="str">
        <f t="shared" ref="H4578:H4581" si="190">TEXT(C4578,"0.00")&amp;" ("&amp;TEXT(E4578,"0.00")&amp;" to "&amp;TEXT(F4578,"0.00")&amp;")"</f>
        <v>8.54 (8.52 to 8.56)</v>
      </c>
    </row>
    <row r="4579" spans="1:8" ht="17.25" thickBot="1" x14ac:dyDescent="0.35">
      <c r="A4579" s="13" t="s">
        <v>67</v>
      </c>
      <c r="B4579" s="2">
        <v>3782</v>
      </c>
      <c r="C4579" s="2">
        <v>0.66313800000000001</v>
      </c>
      <c r="D4579" s="2">
        <v>1.6540000000000001E-3</v>
      </c>
      <c r="E4579" s="2">
        <v>0.65987169999999995</v>
      </c>
      <c r="F4579" s="2">
        <v>0.66640440000000001</v>
      </c>
      <c r="H4579" s="8" t="str">
        <f t="shared" si="190"/>
        <v>0.66 (0.66 to 0.67)</v>
      </c>
    </row>
    <row r="4580" spans="1:8" ht="17.25" thickBot="1" x14ac:dyDescent="0.35">
      <c r="A4580" s="13" t="s">
        <v>68</v>
      </c>
      <c r="B4580" s="2">
        <v>3782</v>
      </c>
      <c r="C4580" s="2">
        <v>0.26235000000000003</v>
      </c>
      <c r="D4580" s="2">
        <v>6.4320000000000002E-3</v>
      </c>
      <c r="E4580" s="2">
        <v>0.24964980000000001</v>
      </c>
      <c r="F4580" s="2">
        <v>0.27505030000000003</v>
      </c>
      <c r="H4580" s="8" t="str">
        <f t="shared" si="190"/>
        <v>0.26 (0.25 to 0.28)</v>
      </c>
    </row>
    <row r="4581" spans="1:8" x14ac:dyDescent="0.3">
      <c r="A4581" s="14" t="s">
        <v>69</v>
      </c>
      <c r="B4581" s="2">
        <v>3782</v>
      </c>
      <c r="C4581" s="2">
        <v>34.832664000000001</v>
      </c>
      <c r="D4581" s="2">
        <v>0.182895</v>
      </c>
      <c r="E4581" s="2">
        <v>34.471515500000002</v>
      </c>
      <c r="F4581" s="2">
        <v>35.193812800000003</v>
      </c>
      <c r="H4581" s="8" t="str">
        <f t="shared" si="190"/>
        <v>34.83 (34.47 to 35.19)</v>
      </c>
    </row>
    <row r="4585" spans="1:8" x14ac:dyDescent="0.3">
      <c r="A4585" s="1" t="s">
        <v>129</v>
      </c>
    </row>
    <row r="4587" spans="1:8" x14ac:dyDescent="0.3">
      <c r="A4587" s="1" t="s">
        <v>333</v>
      </c>
    </row>
    <row r="4588" spans="1:8" ht="17.25" thickBot="1" x14ac:dyDescent="0.35"/>
    <row r="4589" spans="1:8" ht="16.5" customHeight="1" x14ac:dyDescent="0.3">
      <c r="A4589" s="24" t="s">
        <v>75</v>
      </c>
      <c r="B4589" s="26"/>
    </row>
    <row r="4590" spans="1:8" ht="26.25" thickBot="1" x14ac:dyDescent="0.35">
      <c r="A4590" s="13" t="s">
        <v>76</v>
      </c>
      <c r="B4590" s="2">
        <v>27</v>
      </c>
    </row>
    <row r="4591" spans="1:8" ht="26.25" thickBot="1" x14ac:dyDescent="0.35">
      <c r="A4591" s="13" t="s">
        <v>77</v>
      </c>
      <c r="B4591" s="2">
        <v>178</v>
      </c>
    </row>
    <row r="4592" spans="1:8" ht="39" thickBot="1" x14ac:dyDescent="0.35">
      <c r="A4592" s="13" t="s">
        <v>78</v>
      </c>
      <c r="B4592" s="2">
        <v>634</v>
      </c>
    </row>
    <row r="4593" spans="1:8" ht="25.5" x14ac:dyDescent="0.3">
      <c r="A4593" s="14" t="s">
        <v>79</v>
      </c>
      <c r="B4593" s="2">
        <v>352392.87599999999</v>
      </c>
    </row>
    <row r="4594" spans="1:8" ht="17.25" thickBot="1" x14ac:dyDescent="0.35"/>
    <row r="4595" spans="1:8" ht="33" customHeight="1" x14ac:dyDescent="0.3">
      <c r="A4595" s="24" t="s">
        <v>80</v>
      </c>
      <c r="B4595" s="26"/>
    </row>
    <row r="4596" spans="1:8" ht="33.75" thickBot="1" x14ac:dyDescent="0.35">
      <c r="A4596" s="13" t="s">
        <v>81</v>
      </c>
      <c r="B4596" s="2" t="s">
        <v>82</v>
      </c>
    </row>
    <row r="4597" spans="1:8" ht="25.5" x14ac:dyDescent="0.3">
      <c r="A4597" s="14" t="s">
        <v>83</v>
      </c>
      <c r="B4597" s="2" t="s">
        <v>84</v>
      </c>
    </row>
    <row r="4598" spans="1:8" ht="17.25" thickBot="1" x14ac:dyDescent="0.35"/>
    <row r="4599" spans="1:8" ht="16.5" customHeight="1" x14ac:dyDescent="0.3">
      <c r="A4599" s="24" t="s">
        <v>130</v>
      </c>
      <c r="B4599" s="26"/>
      <c r="C4599" s="26"/>
      <c r="D4599" s="26"/>
      <c r="E4599" s="26"/>
      <c r="F4599" s="26"/>
    </row>
    <row r="4600" spans="1:8" x14ac:dyDescent="0.3">
      <c r="A4600" s="25" t="s">
        <v>131</v>
      </c>
      <c r="B4600" s="27" t="s">
        <v>46</v>
      </c>
      <c r="C4600" s="27" t="s">
        <v>132</v>
      </c>
      <c r="D4600" s="3" t="s">
        <v>133</v>
      </c>
      <c r="E4600" s="27" t="s">
        <v>135</v>
      </c>
      <c r="F4600" s="27"/>
    </row>
    <row r="4601" spans="1:8" x14ac:dyDescent="0.3">
      <c r="A4601" s="25"/>
      <c r="B4601" s="27"/>
      <c r="C4601" s="27"/>
      <c r="D4601" s="3" t="s">
        <v>134</v>
      </c>
      <c r="E4601" s="27"/>
      <c r="F4601" s="27"/>
    </row>
    <row r="4602" spans="1:8" ht="17.25" thickBot="1" x14ac:dyDescent="0.35">
      <c r="A4602" s="13" t="s">
        <v>66</v>
      </c>
      <c r="B4602" s="2">
        <v>634</v>
      </c>
      <c r="C4602" s="2">
        <v>8.8707069999999995</v>
      </c>
      <c r="D4602" s="2">
        <v>3.0483E-2</v>
      </c>
      <c r="E4602" s="2">
        <v>8.8104794000000002</v>
      </c>
      <c r="F4602" s="2">
        <v>8.9309341</v>
      </c>
      <c r="H4602" s="8" t="str">
        <f t="shared" ref="H4602:H4605" si="191">TEXT(C4602,"0.00")&amp;" ("&amp;TEXT(E4602,"0.00")&amp;" to "&amp;TEXT(F4602,"0.00")&amp;")"</f>
        <v>8.87 (8.81 to 8.93)</v>
      </c>
    </row>
    <row r="4603" spans="1:8" ht="17.25" thickBot="1" x14ac:dyDescent="0.35">
      <c r="A4603" s="13" t="s">
        <v>67</v>
      </c>
      <c r="B4603" s="2">
        <v>634</v>
      </c>
      <c r="C4603" s="2">
        <v>0.69846799999999998</v>
      </c>
      <c r="D4603" s="2">
        <v>3.4619999999999998E-3</v>
      </c>
      <c r="E4603" s="2">
        <v>0.69162769999999996</v>
      </c>
      <c r="F4603" s="2">
        <v>0.70530870000000001</v>
      </c>
      <c r="H4603" s="8" t="str">
        <f t="shared" si="191"/>
        <v>0.70 (0.69 to 0.71)</v>
      </c>
    </row>
    <row r="4604" spans="1:8" ht="17.25" thickBot="1" x14ac:dyDescent="0.35">
      <c r="A4604" s="13" t="s">
        <v>68</v>
      </c>
      <c r="B4604" s="2">
        <v>634</v>
      </c>
      <c r="C4604" s="2">
        <v>0.43624200000000002</v>
      </c>
      <c r="D4604" s="2">
        <v>1.5923E-2</v>
      </c>
      <c r="E4604" s="2">
        <v>0.40478049999999999</v>
      </c>
      <c r="F4604" s="2">
        <v>0.46770319999999999</v>
      </c>
      <c r="H4604" s="8" t="str">
        <f t="shared" si="191"/>
        <v>0.44 (0.40 to 0.47)</v>
      </c>
    </row>
    <row r="4605" spans="1:8" x14ac:dyDescent="0.3">
      <c r="A4605" s="14" t="s">
        <v>69</v>
      </c>
      <c r="B4605" s="2">
        <v>634</v>
      </c>
      <c r="C4605" s="2">
        <v>37.589267</v>
      </c>
      <c r="D4605" s="2">
        <v>0.359462</v>
      </c>
      <c r="E4605" s="2">
        <v>36.879042599999998</v>
      </c>
      <c r="F4605" s="2">
        <v>38.299492399999998</v>
      </c>
      <c r="H4605" s="8" t="str">
        <f t="shared" si="191"/>
        <v>37.59 (36.88 to 38.30)</v>
      </c>
    </row>
    <row r="4609" spans="1:6" x14ac:dyDescent="0.3">
      <c r="A4609" s="1" t="s">
        <v>129</v>
      </c>
    </row>
    <row r="4611" spans="1:6" x14ac:dyDescent="0.3">
      <c r="A4611" s="1" t="s">
        <v>334</v>
      </c>
    </row>
    <row r="4612" spans="1:6" ht="17.25" thickBot="1" x14ac:dyDescent="0.35"/>
    <row r="4613" spans="1:6" ht="16.5" customHeight="1" x14ac:dyDescent="0.3">
      <c r="A4613" s="24" t="s">
        <v>75</v>
      </c>
      <c r="B4613" s="26"/>
    </row>
    <row r="4614" spans="1:6" ht="26.25" thickBot="1" x14ac:dyDescent="0.35">
      <c r="A4614" s="13" t="s">
        <v>76</v>
      </c>
      <c r="B4614" s="2">
        <v>25</v>
      </c>
    </row>
    <row r="4615" spans="1:6" ht="26.25" thickBot="1" x14ac:dyDescent="0.35">
      <c r="A4615" s="13" t="s">
        <v>77</v>
      </c>
      <c r="B4615" s="2">
        <v>500</v>
      </c>
    </row>
    <row r="4616" spans="1:6" ht="39" thickBot="1" x14ac:dyDescent="0.35">
      <c r="A4616" s="13" t="s">
        <v>78</v>
      </c>
      <c r="B4616" s="2">
        <v>9740</v>
      </c>
    </row>
    <row r="4617" spans="1:6" ht="25.5" x14ac:dyDescent="0.3">
      <c r="A4617" s="14" t="s">
        <v>79</v>
      </c>
      <c r="B4617" s="2">
        <v>3733690.74</v>
      </c>
    </row>
    <row r="4618" spans="1:6" ht="17.25" thickBot="1" x14ac:dyDescent="0.35"/>
    <row r="4619" spans="1:6" ht="33" customHeight="1" x14ac:dyDescent="0.3">
      <c r="A4619" s="24" t="s">
        <v>80</v>
      </c>
      <c r="B4619" s="26"/>
    </row>
    <row r="4620" spans="1:6" ht="33.75" thickBot="1" x14ac:dyDescent="0.35">
      <c r="A4620" s="13" t="s">
        <v>81</v>
      </c>
      <c r="B4620" s="2" t="s">
        <v>82</v>
      </c>
    </row>
    <row r="4621" spans="1:6" ht="25.5" x14ac:dyDescent="0.3">
      <c r="A4621" s="14" t="s">
        <v>83</v>
      </c>
      <c r="B4621" s="2" t="s">
        <v>84</v>
      </c>
    </row>
    <row r="4622" spans="1:6" ht="17.25" thickBot="1" x14ac:dyDescent="0.35"/>
    <row r="4623" spans="1:6" ht="16.5" customHeight="1" x14ac:dyDescent="0.3">
      <c r="A4623" s="24" t="s">
        <v>130</v>
      </c>
      <c r="B4623" s="26"/>
      <c r="C4623" s="26"/>
      <c r="D4623" s="26"/>
      <c r="E4623" s="26"/>
      <c r="F4623" s="26"/>
    </row>
    <row r="4624" spans="1:6" x14ac:dyDescent="0.3">
      <c r="A4624" s="25" t="s">
        <v>131</v>
      </c>
      <c r="B4624" s="27" t="s">
        <v>46</v>
      </c>
      <c r="C4624" s="27" t="s">
        <v>132</v>
      </c>
      <c r="D4624" s="3" t="s">
        <v>133</v>
      </c>
      <c r="E4624" s="27" t="s">
        <v>135</v>
      </c>
      <c r="F4624" s="27"/>
    </row>
    <row r="4625" spans="1:8" x14ac:dyDescent="0.3">
      <c r="A4625" s="25"/>
      <c r="B4625" s="27"/>
      <c r="C4625" s="27"/>
      <c r="D4625" s="3" t="s">
        <v>134</v>
      </c>
      <c r="E4625" s="27"/>
      <c r="F4625" s="27"/>
    </row>
    <row r="4626" spans="1:8" ht="17.25" thickBot="1" x14ac:dyDescent="0.35">
      <c r="A4626" s="13" t="s">
        <v>66</v>
      </c>
      <c r="B4626" s="2">
        <v>9740</v>
      </c>
      <c r="C4626" s="2">
        <v>8.4970219999999994</v>
      </c>
      <c r="D4626" s="2">
        <v>8.659E-3</v>
      </c>
      <c r="E4626" s="2">
        <v>8.4800073000000005</v>
      </c>
      <c r="F4626" s="2">
        <v>8.5140376999999994</v>
      </c>
      <c r="H4626" s="8" t="str">
        <f t="shared" ref="H4626:H4629" si="192">TEXT(C4626,"0.00")&amp;" ("&amp;TEXT(E4626,"0.00")&amp;" to "&amp;TEXT(F4626,"0.00")&amp;")"</f>
        <v>8.50 (8.48 to 8.51)</v>
      </c>
    </row>
    <row r="4627" spans="1:8" ht="17.25" thickBot="1" x14ac:dyDescent="0.35">
      <c r="A4627" s="13" t="s">
        <v>67</v>
      </c>
      <c r="B4627" s="2">
        <v>9740</v>
      </c>
      <c r="C4627" s="2">
        <v>0.651895</v>
      </c>
      <c r="D4627" s="2">
        <v>1.1919999999999999E-3</v>
      </c>
      <c r="E4627" s="2">
        <v>0.64955220000000002</v>
      </c>
      <c r="F4627" s="2">
        <v>0.65423790000000004</v>
      </c>
      <c r="H4627" s="8" t="str">
        <f t="shared" si="192"/>
        <v>0.65 (0.65 to 0.65)</v>
      </c>
    </row>
    <row r="4628" spans="1:8" ht="17.25" thickBot="1" x14ac:dyDescent="0.35">
      <c r="A4628" s="13" t="s">
        <v>68</v>
      </c>
      <c r="B4628" s="2">
        <v>9740</v>
      </c>
      <c r="C4628" s="2">
        <v>0.34549000000000002</v>
      </c>
      <c r="D4628" s="2">
        <v>4.1219999999999998E-3</v>
      </c>
      <c r="E4628" s="2">
        <v>0.33739049999999998</v>
      </c>
      <c r="F4628" s="2">
        <v>0.35358909999999999</v>
      </c>
      <c r="H4628" s="8" t="str">
        <f t="shared" si="192"/>
        <v>0.35 (0.34 to 0.35)</v>
      </c>
    </row>
    <row r="4629" spans="1:8" x14ac:dyDescent="0.3">
      <c r="A4629" s="14" t="s">
        <v>69</v>
      </c>
      <c r="B4629" s="2">
        <v>9740</v>
      </c>
      <c r="C4629" s="2">
        <v>34.908704</v>
      </c>
      <c r="D4629" s="2">
        <v>8.8696999999999998E-2</v>
      </c>
      <c r="E4629" s="2">
        <v>34.734417000000001</v>
      </c>
      <c r="F4629" s="2">
        <v>35.082991100000001</v>
      </c>
      <c r="H4629" s="8" t="str">
        <f t="shared" si="192"/>
        <v>34.91 (34.73 to 35.08)</v>
      </c>
    </row>
    <row r="4633" spans="1:8" x14ac:dyDescent="0.3">
      <c r="A4633" s="1" t="s">
        <v>129</v>
      </c>
    </row>
    <row r="4635" spans="1:8" x14ac:dyDescent="0.3">
      <c r="A4635" s="1" t="s">
        <v>335</v>
      </c>
    </row>
    <row r="4636" spans="1:8" ht="17.25" thickBot="1" x14ac:dyDescent="0.35"/>
    <row r="4637" spans="1:8" ht="16.5" customHeight="1" x14ac:dyDescent="0.3">
      <c r="A4637" s="24" t="s">
        <v>75</v>
      </c>
      <c r="B4637" s="26"/>
    </row>
    <row r="4638" spans="1:8" ht="26.25" thickBot="1" x14ac:dyDescent="0.35">
      <c r="A4638" s="13" t="s">
        <v>76</v>
      </c>
      <c r="B4638" s="2">
        <v>25</v>
      </c>
    </row>
    <row r="4639" spans="1:8" ht="26.25" thickBot="1" x14ac:dyDescent="0.35">
      <c r="A4639" s="13" t="s">
        <v>77</v>
      </c>
      <c r="B4639" s="2">
        <v>475</v>
      </c>
    </row>
    <row r="4640" spans="1:8" ht="39" thickBot="1" x14ac:dyDescent="0.35">
      <c r="A4640" s="13" t="s">
        <v>78</v>
      </c>
      <c r="B4640" s="2">
        <v>2175</v>
      </c>
    </row>
    <row r="4641" spans="1:8" ht="25.5" x14ac:dyDescent="0.3">
      <c r="A4641" s="14" t="s">
        <v>79</v>
      </c>
      <c r="B4641" s="2">
        <v>636477.97199999995</v>
      </c>
    </row>
    <row r="4642" spans="1:8" ht="17.25" thickBot="1" x14ac:dyDescent="0.35"/>
    <row r="4643" spans="1:8" ht="33" customHeight="1" x14ac:dyDescent="0.3">
      <c r="A4643" s="24" t="s">
        <v>80</v>
      </c>
      <c r="B4643" s="26"/>
    </row>
    <row r="4644" spans="1:8" ht="33.75" thickBot="1" x14ac:dyDescent="0.35">
      <c r="A4644" s="13" t="s">
        <v>81</v>
      </c>
      <c r="B4644" s="2" t="s">
        <v>82</v>
      </c>
    </row>
    <row r="4645" spans="1:8" ht="25.5" x14ac:dyDescent="0.3">
      <c r="A4645" s="14" t="s">
        <v>83</v>
      </c>
      <c r="B4645" s="2" t="s">
        <v>84</v>
      </c>
    </row>
    <row r="4646" spans="1:8" ht="17.25" thickBot="1" x14ac:dyDescent="0.35"/>
    <row r="4647" spans="1:8" ht="16.5" customHeight="1" x14ac:dyDescent="0.3">
      <c r="A4647" s="24" t="s">
        <v>130</v>
      </c>
      <c r="B4647" s="26"/>
      <c r="C4647" s="26"/>
      <c r="D4647" s="26"/>
      <c r="E4647" s="26"/>
      <c r="F4647" s="26"/>
    </row>
    <row r="4648" spans="1:8" x14ac:dyDescent="0.3">
      <c r="A4648" s="25" t="s">
        <v>131</v>
      </c>
      <c r="B4648" s="27" t="s">
        <v>46</v>
      </c>
      <c r="C4648" s="27" t="s">
        <v>132</v>
      </c>
      <c r="D4648" s="3" t="s">
        <v>133</v>
      </c>
      <c r="E4648" s="27" t="s">
        <v>135</v>
      </c>
      <c r="F4648" s="27"/>
    </row>
    <row r="4649" spans="1:8" x14ac:dyDescent="0.3">
      <c r="A4649" s="25"/>
      <c r="B4649" s="27"/>
      <c r="C4649" s="27"/>
      <c r="D4649" s="3" t="s">
        <v>134</v>
      </c>
      <c r="E4649" s="27"/>
      <c r="F4649" s="27"/>
    </row>
    <row r="4650" spans="1:8" ht="17.25" thickBot="1" x14ac:dyDescent="0.35">
      <c r="A4650" s="13" t="s">
        <v>66</v>
      </c>
      <c r="B4650" s="2">
        <v>2175</v>
      </c>
      <c r="C4650" s="2">
        <v>8.8951779999999996</v>
      </c>
      <c r="D4650" s="2">
        <v>1.8766000000000001E-2</v>
      </c>
      <c r="E4650" s="2">
        <v>8.8582976999999996</v>
      </c>
      <c r="F4650" s="2">
        <v>8.9320591</v>
      </c>
      <c r="H4650" s="8" t="str">
        <f t="shared" ref="H4650:H4653" si="193">TEXT(C4650,"0.00")&amp;" ("&amp;TEXT(E4650,"0.00")&amp;" to "&amp;TEXT(F4650,"0.00")&amp;")"</f>
        <v>8.90 (8.86 to 8.93)</v>
      </c>
    </row>
    <row r="4651" spans="1:8" ht="17.25" thickBot="1" x14ac:dyDescent="0.35">
      <c r="A4651" s="13" t="s">
        <v>67</v>
      </c>
      <c r="B4651" s="2">
        <v>2175</v>
      </c>
      <c r="C4651" s="2">
        <v>0.71071600000000001</v>
      </c>
      <c r="D4651" s="2">
        <v>2.117E-3</v>
      </c>
      <c r="E4651" s="2">
        <v>0.70655520000000005</v>
      </c>
      <c r="F4651" s="2">
        <v>0.71487579999999995</v>
      </c>
      <c r="H4651" s="8" t="str">
        <f t="shared" si="193"/>
        <v>0.71 (0.71 to 0.71)</v>
      </c>
    </row>
    <row r="4652" spans="1:8" ht="17.25" thickBot="1" x14ac:dyDescent="0.35">
      <c r="A4652" s="13" t="s">
        <v>68</v>
      </c>
      <c r="B4652" s="2">
        <v>2175</v>
      </c>
      <c r="C4652" s="2">
        <v>0.49935499999999999</v>
      </c>
      <c r="D4652" s="2">
        <v>8.6750000000000004E-3</v>
      </c>
      <c r="E4652" s="2">
        <v>0.48230699999999999</v>
      </c>
      <c r="F4652" s="2">
        <v>0.51640209999999998</v>
      </c>
      <c r="H4652" s="8" t="str">
        <f t="shared" si="193"/>
        <v>0.50 (0.48 to 0.52)</v>
      </c>
    </row>
    <row r="4653" spans="1:8" x14ac:dyDescent="0.3">
      <c r="A4653" s="14" t="s">
        <v>69</v>
      </c>
      <c r="B4653" s="2">
        <v>2175</v>
      </c>
      <c r="C4653" s="2">
        <v>39.496259000000002</v>
      </c>
      <c r="D4653" s="2">
        <v>0.197245</v>
      </c>
      <c r="E4653" s="2">
        <v>39.108621999999997</v>
      </c>
      <c r="F4653" s="2">
        <v>39.883895099999997</v>
      </c>
      <c r="H4653" s="8" t="str">
        <f t="shared" si="193"/>
        <v>39.50 (39.11 to 39.88)</v>
      </c>
    </row>
    <row r="4657" spans="1:6" x14ac:dyDescent="0.3">
      <c r="A4657" s="1" t="s">
        <v>129</v>
      </c>
    </row>
    <row r="4659" spans="1:6" x14ac:dyDescent="0.3">
      <c r="A4659" s="1" t="s">
        <v>336</v>
      </c>
    </row>
    <row r="4660" spans="1:6" ht="17.25" thickBot="1" x14ac:dyDescent="0.35"/>
    <row r="4661" spans="1:6" ht="16.5" customHeight="1" x14ac:dyDescent="0.3">
      <c r="A4661" s="24" t="s">
        <v>75</v>
      </c>
      <c r="B4661" s="26"/>
    </row>
    <row r="4662" spans="1:6" ht="26.25" thickBot="1" x14ac:dyDescent="0.35">
      <c r="A4662" s="13" t="s">
        <v>76</v>
      </c>
      <c r="B4662" s="2">
        <v>25</v>
      </c>
    </row>
    <row r="4663" spans="1:6" ht="26.25" thickBot="1" x14ac:dyDescent="0.35">
      <c r="A4663" s="13" t="s">
        <v>77</v>
      </c>
      <c r="B4663" s="2">
        <v>576</v>
      </c>
    </row>
    <row r="4664" spans="1:6" ht="39" thickBot="1" x14ac:dyDescent="0.35">
      <c r="A4664" s="13" t="s">
        <v>78</v>
      </c>
      <c r="B4664" s="2">
        <v>10393</v>
      </c>
    </row>
    <row r="4665" spans="1:6" ht="25.5" x14ac:dyDescent="0.3">
      <c r="A4665" s="14" t="s">
        <v>79</v>
      </c>
      <c r="B4665" s="2">
        <v>4626087.78</v>
      </c>
    </row>
    <row r="4666" spans="1:6" ht="17.25" thickBot="1" x14ac:dyDescent="0.35"/>
    <row r="4667" spans="1:6" ht="33" customHeight="1" x14ac:dyDescent="0.3">
      <c r="A4667" s="24" t="s">
        <v>80</v>
      </c>
      <c r="B4667" s="26"/>
    </row>
    <row r="4668" spans="1:6" ht="33.75" thickBot="1" x14ac:dyDescent="0.35">
      <c r="A4668" s="13" t="s">
        <v>81</v>
      </c>
      <c r="B4668" s="2" t="s">
        <v>82</v>
      </c>
    </row>
    <row r="4669" spans="1:6" ht="25.5" x14ac:dyDescent="0.3">
      <c r="A4669" s="14" t="s">
        <v>83</v>
      </c>
      <c r="B4669" s="2" t="s">
        <v>84</v>
      </c>
    </row>
    <row r="4670" spans="1:6" ht="17.25" thickBot="1" x14ac:dyDescent="0.35"/>
    <row r="4671" spans="1:6" ht="16.5" customHeight="1" x14ac:dyDescent="0.3">
      <c r="A4671" s="24" t="s">
        <v>130</v>
      </c>
      <c r="B4671" s="26"/>
      <c r="C4671" s="26"/>
      <c r="D4671" s="26"/>
      <c r="E4671" s="26"/>
      <c r="F4671" s="26"/>
    </row>
    <row r="4672" spans="1:6" x14ac:dyDescent="0.3">
      <c r="A4672" s="25" t="s">
        <v>131</v>
      </c>
      <c r="B4672" s="27" t="s">
        <v>46</v>
      </c>
      <c r="C4672" s="27" t="s">
        <v>132</v>
      </c>
      <c r="D4672" s="3" t="s">
        <v>133</v>
      </c>
      <c r="E4672" s="27" t="s">
        <v>135</v>
      </c>
      <c r="F4672" s="27"/>
    </row>
    <row r="4673" spans="1:8" x14ac:dyDescent="0.3">
      <c r="A4673" s="25"/>
      <c r="B4673" s="27"/>
      <c r="C4673" s="27"/>
      <c r="D4673" s="3" t="s">
        <v>134</v>
      </c>
      <c r="E4673" s="27"/>
      <c r="F4673" s="27"/>
    </row>
    <row r="4674" spans="1:8" ht="17.25" thickBot="1" x14ac:dyDescent="0.35">
      <c r="A4674" s="13" t="s">
        <v>66</v>
      </c>
      <c r="B4674" s="2">
        <v>10393</v>
      </c>
      <c r="C4674" s="2">
        <v>8.5059780000000007</v>
      </c>
      <c r="D4674" s="2">
        <v>8.5339999999999999E-3</v>
      </c>
      <c r="E4674" s="2">
        <v>8.4892152999999997</v>
      </c>
      <c r="F4674" s="2">
        <v>8.5227397000000007</v>
      </c>
      <c r="H4674" s="8" t="str">
        <f t="shared" ref="H4674:H4677" si="194">TEXT(C4674,"0.00")&amp;" ("&amp;TEXT(E4674,"0.00")&amp;" to "&amp;TEXT(F4674,"0.00")&amp;")"</f>
        <v>8.51 (8.49 to 8.52)</v>
      </c>
    </row>
    <row r="4675" spans="1:8" ht="17.25" thickBot="1" x14ac:dyDescent="0.35">
      <c r="A4675" s="13" t="s">
        <v>67</v>
      </c>
      <c r="B4675" s="2">
        <v>10393</v>
      </c>
      <c r="C4675" s="2">
        <v>0.64887600000000001</v>
      </c>
      <c r="D4675" s="2">
        <v>1.0269999999999999E-3</v>
      </c>
      <c r="E4675" s="2">
        <v>0.64685910000000002</v>
      </c>
      <c r="F4675" s="2">
        <v>0.65089379999999997</v>
      </c>
      <c r="H4675" s="8" t="str">
        <f t="shared" si="194"/>
        <v>0.65 (0.65 to 0.65)</v>
      </c>
    </row>
    <row r="4676" spans="1:8" ht="17.25" thickBot="1" x14ac:dyDescent="0.35">
      <c r="A4676" s="13" t="s">
        <v>68</v>
      </c>
      <c r="B4676" s="2">
        <v>10393</v>
      </c>
      <c r="C4676" s="2">
        <v>0.33606999999999998</v>
      </c>
      <c r="D4676" s="2">
        <v>4.0489999999999996E-3</v>
      </c>
      <c r="E4676" s="2">
        <v>0.32811649999999998</v>
      </c>
      <c r="F4676" s="2">
        <v>0.34402310000000003</v>
      </c>
      <c r="H4676" s="8" t="str">
        <f t="shared" si="194"/>
        <v>0.34 (0.33 to 0.34)</v>
      </c>
    </row>
    <row r="4677" spans="1:8" x14ac:dyDescent="0.3">
      <c r="A4677" s="14" t="s">
        <v>69</v>
      </c>
      <c r="B4677" s="2">
        <v>10393</v>
      </c>
      <c r="C4677" s="2">
        <v>34.941156999999997</v>
      </c>
      <c r="D4677" s="2">
        <v>9.9099000000000007E-2</v>
      </c>
      <c r="E4677" s="2">
        <v>34.746499700000001</v>
      </c>
      <c r="F4677" s="2">
        <v>35.135814799999999</v>
      </c>
      <c r="H4677" s="8" t="str">
        <f t="shared" si="194"/>
        <v>34.94 (34.75 to 35.14)</v>
      </c>
    </row>
    <row r="4681" spans="1:8" x14ac:dyDescent="0.3">
      <c r="A4681" s="1" t="s">
        <v>129</v>
      </c>
    </row>
    <row r="4683" spans="1:8" x14ac:dyDescent="0.3">
      <c r="A4683" s="1" t="s">
        <v>337</v>
      </c>
    </row>
    <row r="4684" spans="1:8" ht="17.25" thickBot="1" x14ac:dyDescent="0.35"/>
    <row r="4685" spans="1:8" ht="16.5" customHeight="1" x14ac:dyDescent="0.3">
      <c r="A4685" s="24" t="s">
        <v>75</v>
      </c>
      <c r="B4685" s="26"/>
    </row>
    <row r="4686" spans="1:8" ht="26.25" thickBot="1" x14ac:dyDescent="0.35">
      <c r="A4686" s="13" t="s">
        <v>76</v>
      </c>
      <c r="B4686" s="2">
        <v>25</v>
      </c>
    </row>
    <row r="4687" spans="1:8" ht="26.25" thickBot="1" x14ac:dyDescent="0.35">
      <c r="A4687" s="13" t="s">
        <v>77</v>
      </c>
      <c r="B4687" s="2">
        <v>561</v>
      </c>
    </row>
    <row r="4688" spans="1:8" ht="39" thickBot="1" x14ac:dyDescent="0.35">
      <c r="A4688" s="13" t="s">
        <v>78</v>
      </c>
      <c r="B4688" s="2">
        <v>2723</v>
      </c>
    </row>
    <row r="4689" spans="1:8" ht="25.5" x14ac:dyDescent="0.3">
      <c r="A4689" s="14" t="s">
        <v>79</v>
      </c>
      <c r="B4689" s="2">
        <v>834577.16799999995</v>
      </c>
    </row>
    <row r="4690" spans="1:8" ht="17.25" thickBot="1" x14ac:dyDescent="0.35"/>
    <row r="4691" spans="1:8" ht="33" customHeight="1" x14ac:dyDescent="0.3">
      <c r="A4691" s="24" t="s">
        <v>80</v>
      </c>
      <c r="B4691" s="26"/>
    </row>
    <row r="4692" spans="1:8" ht="33.75" thickBot="1" x14ac:dyDescent="0.35">
      <c r="A4692" s="13" t="s">
        <v>81</v>
      </c>
      <c r="B4692" s="2" t="s">
        <v>82</v>
      </c>
    </row>
    <row r="4693" spans="1:8" ht="25.5" x14ac:dyDescent="0.3">
      <c r="A4693" s="14" t="s">
        <v>83</v>
      </c>
      <c r="B4693" s="2" t="s">
        <v>84</v>
      </c>
    </row>
    <row r="4694" spans="1:8" ht="17.25" thickBot="1" x14ac:dyDescent="0.35"/>
    <row r="4695" spans="1:8" ht="16.5" customHeight="1" x14ac:dyDescent="0.3">
      <c r="A4695" s="24" t="s">
        <v>130</v>
      </c>
      <c r="B4695" s="26"/>
      <c r="C4695" s="26"/>
      <c r="D4695" s="26"/>
      <c r="E4695" s="26"/>
      <c r="F4695" s="26"/>
    </row>
    <row r="4696" spans="1:8" x14ac:dyDescent="0.3">
      <c r="A4696" s="25" t="s">
        <v>131</v>
      </c>
      <c r="B4696" s="27" t="s">
        <v>46</v>
      </c>
      <c r="C4696" s="27" t="s">
        <v>132</v>
      </c>
      <c r="D4696" s="3" t="s">
        <v>133</v>
      </c>
      <c r="E4696" s="27" t="s">
        <v>135</v>
      </c>
      <c r="F4696" s="27"/>
    </row>
    <row r="4697" spans="1:8" x14ac:dyDescent="0.3">
      <c r="A4697" s="25"/>
      <c r="B4697" s="27"/>
      <c r="C4697" s="27"/>
      <c r="D4697" s="3" t="s">
        <v>134</v>
      </c>
      <c r="E4697" s="27"/>
      <c r="F4697" s="27"/>
    </row>
    <row r="4698" spans="1:8" ht="17.25" thickBot="1" x14ac:dyDescent="0.35">
      <c r="A4698" s="13" t="s">
        <v>66</v>
      </c>
      <c r="B4698" s="2">
        <v>2723</v>
      </c>
      <c r="C4698" s="2">
        <v>8.8564030000000002</v>
      </c>
      <c r="D4698" s="2">
        <v>1.7179E-2</v>
      </c>
      <c r="E4698" s="2">
        <v>8.8226577000000006</v>
      </c>
      <c r="F4698" s="2">
        <v>8.8901489999999992</v>
      </c>
      <c r="H4698" s="8" t="str">
        <f t="shared" ref="H4698:H4701" si="195">TEXT(C4698,"0.00")&amp;" ("&amp;TEXT(E4698,"0.00")&amp;" to "&amp;TEXT(F4698,"0.00")&amp;")"</f>
        <v>8.86 (8.82 to 8.89)</v>
      </c>
    </row>
    <row r="4699" spans="1:8" ht="17.25" thickBot="1" x14ac:dyDescent="0.35">
      <c r="A4699" s="13" t="s">
        <v>67</v>
      </c>
      <c r="B4699" s="2">
        <v>2723</v>
      </c>
      <c r="C4699" s="2">
        <v>0.70636100000000002</v>
      </c>
      <c r="D4699" s="2">
        <v>1.8929999999999999E-3</v>
      </c>
      <c r="E4699" s="2">
        <v>0.70264210000000005</v>
      </c>
      <c r="F4699" s="2">
        <v>0.71007980000000004</v>
      </c>
      <c r="H4699" s="8" t="str">
        <f t="shared" si="195"/>
        <v>0.71 (0.70 to 0.71)</v>
      </c>
    </row>
    <row r="4700" spans="1:8" ht="17.25" thickBot="1" x14ac:dyDescent="0.35">
      <c r="A4700" s="13" t="s">
        <v>68</v>
      </c>
      <c r="B4700" s="2">
        <v>2723</v>
      </c>
      <c r="C4700" s="2">
        <v>0.471271</v>
      </c>
      <c r="D4700" s="2">
        <v>7.6449999999999999E-3</v>
      </c>
      <c r="E4700" s="2">
        <v>0.45625349999999998</v>
      </c>
      <c r="F4700" s="2">
        <v>0.4862881</v>
      </c>
      <c r="H4700" s="8" t="str">
        <f t="shared" si="195"/>
        <v>0.47 (0.46 to 0.49)</v>
      </c>
    </row>
    <row r="4701" spans="1:8" x14ac:dyDescent="0.3">
      <c r="A4701" s="14" t="s">
        <v>69</v>
      </c>
      <c r="B4701" s="2">
        <v>2723</v>
      </c>
      <c r="C4701" s="2">
        <v>38.910705</v>
      </c>
      <c r="D4701" s="2">
        <v>0.178013</v>
      </c>
      <c r="E4701" s="2">
        <v>38.561016000000002</v>
      </c>
      <c r="F4701" s="2">
        <v>39.260393000000001</v>
      </c>
      <c r="H4701" s="8" t="str">
        <f t="shared" si="195"/>
        <v>38.91 (38.56 to 39.26)</v>
      </c>
    </row>
    <row r="4705" spans="1:6" x14ac:dyDescent="0.3">
      <c r="A4705" s="1" t="s">
        <v>129</v>
      </c>
    </row>
    <row r="4707" spans="1:6" x14ac:dyDescent="0.3">
      <c r="A4707" s="1" t="s">
        <v>338</v>
      </c>
    </row>
    <row r="4708" spans="1:6" ht="17.25" thickBot="1" x14ac:dyDescent="0.35"/>
    <row r="4709" spans="1:6" ht="16.5" customHeight="1" x14ac:dyDescent="0.3">
      <c r="A4709" s="24" t="s">
        <v>75</v>
      </c>
      <c r="B4709" s="26"/>
    </row>
    <row r="4710" spans="1:6" ht="26.25" thickBot="1" x14ac:dyDescent="0.35">
      <c r="A4710" s="13" t="s">
        <v>76</v>
      </c>
      <c r="B4710" s="2">
        <v>25</v>
      </c>
    </row>
    <row r="4711" spans="1:6" ht="26.25" thickBot="1" x14ac:dyDescent="0.35">
      <c r="A4711" s="13" t="s">
        <v>77</v>
      </c>
      <c r="B4711" s="2">
        <v>576</v>
      </c>
    </row>
    <row r="4712" spans="1:6" ht="39" thickBot="1" x14ac:dyDescent="0.35">
      <c r="A4712" s="13" t="s">
        <v>78</v>
      </c>
      <c r="B4712" s="2">
        <v>9166</v>
      </c>
    </row>
    <row r="4713" spans="1:6" ht="25.5" x14ac:dyDescent="0.3">
      <c r="A4713" s="14" t="s">
        <v>79</v>
      </c>
      <c r="B4713" s="2">
        <v>4579347.8899999997</v>
      </c>
    </row>
    <row r="4714" spans="1:6" ht="17.25" thickBot="1" x14ac:dyDescent="0.35"/>
    <row r="4715" spans="1:6" ht="33" customHeight="1" x14ac:dyDescent="0.3">
      <c r="A4715" s="24" t="s">
        <v>80</v>
      </c>
      <c r="B4715" s="26"/>
    </row>
    <row r="4716" spans="1:6" ht="33.75" thickBot="1" x14ac:dyDescent="0.35">
      <c r="A4716" s="13" t="s">
        <v>81</v>
      </c>
      <c r="B4716" s="2" t="s">
        <v>82</v>
      </c>
    </row>
    <row r="4717" spans="1:6" ht="25.5" x14ac:dyDescent="0.3">
      <c r="A4717" s="14" t="s">
        <v>83</v>
      </c>
      <c r="B4717" s="2" t="s">
        <v>84</v>
      </c>
    </row>
    <row r="4718" spans="1:6" ht="17.25" thickBot="1" x14ac:dyDescent="0.35"/>
    <row r="4719" spans="1:6" ht="16.5" customHeight="1" x14ac:dyDescent="0.3">
      <c r="A4719" s="24" t="s">
        <v>130</v>
      </c>
      <c r="B4719" s="26"/>
      <c r="C4719" s="26"/>
      <c r="D4719" s="26"/>
      <c r="E4719" s="26"/>
      <c r="F4719" s="26"/>
    </row>
    <row r="4720" spans="1:6" x14ac:dyDescent="0.3">
      <c r="A4720" s="25" t="s">
        <v>131</v>
      </c>
      <c r="B4720" s="27" t="s">
        <v>46</v>
      </c>
      <c r="C4720" s="27" t="s">
        <v>132</v>
      </c>
      <c r="D4720" s="3" t="s">
        <v>133</v>
      </c>
      <c r="E4720" s="27" t="s">
        <v>135</v>
      </c>
      <c r="F4720" s="27"/>
    </row>
    <row r="4721" spans="1:8" x14ac:dyDescent="0.3">
      <c r="A4721" s="25"/>
      <c r="B4721" s="27"/>
      <c r="C4721" s="27"/>
      <c r="D4721" s="3" t="s">
        <v>134</v>
      </c>
      <c r="E4721" s="27"/>
      <c r="F4721" s="27"/>
    </row>
    <row r="4722" spans="1:8" ht="17.25" thickBot="1" x14ac:dyDescent="0.35">
      <c r="A4722" s="13" t="s">
        <v>66</v>
      </c>
      <c r="B4722" s="2">
        <v>9166</v>
      </c>
      <c r="C4722" s="2">
        <v>8.5345929999999992</v>
      </c>
      <c r="D4722" s="2">
        <v>8.6379999999999998E-3</v>
      </c>
      <c r="E4722" s="2">
        <v>8.5176257999999994</v>
      </c>
      <c r="F4722" s="2">
        <v>8.5515597999999997</v>
      </c>
      <c r="H4722" s="8" t="str">
        <f t="shared" ref="H4722:H4725" si="196">TEXT(C4722,"0.00")&amp;" ("&amp;TEXT(E4722,"0.00")&amp;" to "&amp;TEXT(F4722,"0.00")&amp;")"</f>
        <v>8.53 (8.52 to 8.55)</v>
      </c>
    </row>
    <row r="4723" spans="1:8" ht="17.25" thickBot="1" x14ac:dyDescent="0.35">
      <c r="A4723" s="13" t="s">
        <v>67</v>
      </c>
      <c r="B4723" s="2">
        <v>9166</v>
      </c>
      <c r="C4723" s="2">
        <v>0.65063700000000002</v>
      </c>
      <c r="D4723" s="2">
        <v>1.0740000000000001E-3</v>
      </c>
      <c r="E4723" s="2">
        <v>0.64852710000000002</v>
      </c>
      <c r="F4723" s="2">
        <v>0.65274670000000001</v>
      </c>
      <c r="H4723" s="8" t="str">
        <f t="shared" si="196"/>
        <v>0.65 (0.65 to 0.65)</v>
      </c>
    </row>
    <row r="4724" spans="1:8" ht="17.25" thickBot="1" x14ac:dyDescent="0.35">
      <c r="A4724" s="13" t="s">
        <v>68</v>
      </c>
      <c r="B4724" s="2">
        <v>9166</v>
      </c>
      <c r="C4724" s="2">
        <v>0.32708100000000001</v>
      </c>
      <c r="D4724" s="2">
        <v>4.104E-3</v>
      </c>
      <c r="E4724" s="2">
        <v>0.3190192</v>
      </c>
      <c r="F4724" s="2">
        <v>0.33514290000000002</v>
      </c>
      <c r="H4724" s="8" t="str">
        <f t="shared" si="196"/>
        <v>0.33 (0.32 to 0.34)</v>
      </c>
    </row>
    <row r="4725" spans="1:8" x14ac:dyDescent="0.3">
      <c r="A4725" s="14" t="s">
        <v>69</v>
      </c>
      <c r="B4725" s="2">
        <v>9166</v>
      </c>
      <c r="C4725" s="2">
        <v>34.715420000000002</v>
      </c>
      <c r="D4725" s="2">
        <v>8.9932999999999999E-2</v>
      </c>
      <c r="E4725" s="2">
        <v>34.5387658</v>
      </c>
      <c r="F4725" s="2">
        <v>34.892074100000002</v>
      </c>
      <c r="H4725" s="8" t="str">
        <f t="shared" si="196"/>
        <v>34.72 (34.54 to 34.89)</v>
      </c>
    </row>
    <row r="4729" spans="1:8" x14ac:dyDescent="0.3">
      <c r="A4729" s="1" t="s">
        <v>129</v>
      </c>
    </row>
    <row r="4731" spans="1:8" x14ac:dyDescent="0.3">
      <c r="A4731" s="1" t="s">
        <v>339</v>
      </c>
    </row>
    <row r="4732" spans="1:8" ht="17.25" thickBot="1" x14ac:dyDescent="0.35"/>
    <row r="4733" spans="1:8" ht="16.5" customHeight="1" x14ac:dyDescent="0.3">
      <c r="A4733" s="24" t="s">
        <v>75</v>
      </c>
      <c r="B4733" s="26"/>
    </row>
    <row r="4734" spans="1:8" ht="26.25" thickBot="1" x14ac:dyDescent="0.35">
      <c r="A4734" s="13" t="s">
        <v>76</v>
      </c>
      <c r="B4734" s="2">
        <v>25</v>
      </c>
    </row>
    <row r="4735" spans="1:8" ht="26.25" thickBot="1" x14ac:dyDescent="0.35">
      <c r="A4735" s="13" t="s">
        <v>77</v>
      </c>
      <c r="B4735" s="2">
        <v>542</v>
      </c>
    </row>
    <row r="4736" spans="1:8" ht="39" thickBot="1" x14ac:dyDescent="0.35">
      <c r="A4736" s="13" t="s">
        <v>78</v>
      </c>
      <c r="B4736" s="2">
        <v>2309</v>
      </c>
    </row>
    <row r="4737" spans="1:8" ht="25.5" x14ac:dyDescent="0.3">
      <c r="A4737" s="14" t="s">
        <v>79</v>
      </c>
      <c r="B4737" s="2">
        <v>815181.13300000003</v>
      </c>
    </row>
    <row r="4738" spans="1:8" ht="17.25" thickBot="1" x14ac:dyDescent="0.35"/>
    <row r="4739" spans="1:8" ht="33" customHeight="1" x14ac:dyDescent="0.3">
      <c r="A4739" s="24" t="s">
        <v>80</v>
      </c>
      <c r="B4739" s="26"/>
    </row>
    <row r="4740" spans="1:8" ht="33.75" thickBot="1" x14ac:dyDescent="0.35">
      <c r="A4740" s="13" t="s">
        <v>81</v>
      </c>
      <c r="B4740" s="2" t="s">
        <v>82</v>
      </c>
    </row>
    <row r="4741" spans="1:8" ht="25.5" x14ac:dyDescent="0.3">
      <c r="A4741" s="14" t="s">
        <v>83</v>
      </c>
      <c r="B4741" s="2" t="s">
        <v>84</v>
      </c>
    </row>
    <row r="4742" spans="1:8" ht="17.25" thickBot="1" x14ac:dyDescent="0.35"/>
    <row r="4743" spans="1:8" ht="16.5" customHeight="1" x14ac:dyDescent="0.3">
      <c r="A4743" s="24" t="s">
        <v>130</v>
      </c>
      <c r="B4743" s="26"/>
      <c r="C4743" s="26"/>
      <c r="D4743" s="26"/>
      <c r="E4743" s="26"/>
      <c r="F4743" s="26"/>
    </row>
    <row r="4744" spans="1:8" x14ac:dyDescent="0.3">
      <c r="A4744" s="25" t="s">
        <v>131</v>
      </c>
      <c r="B4744" s="27" t="s">
        <v>46</v>
      </c>
      <c r="C4744" s="27" t="s">
        <v>132</v>
      </c>
      <c r="D4744" s="3" t="s">
        <v>133</v>
      </c>
      <c r="E4744" s="27" t="s">
        <v>135</v>
      </c>
      <c r="F4744" s="27"/>
    </row>
    <row r="4745" spans="1:8" x14ac:dyDescent="0.3">
      <c r="A4745" s="25"/>
      <c r="B4745" s="27"/>
      <c r="C4745" s="27"/>
      <c r="D4745" s="3" t="s">
        <v>134</v>
      </c>
      <c r="E4745" s="27"/>
      <c r="F4745" s="27"/>
    </row>
    <row r="4746" spans="1:8" ht="17.25" thickBot="1" x14ac:dyDescent="0.35">
      <c r="A4746" s="13" t="s">
        <v>66</v>
      </c>
      <c r="B4746" s="2">
        <v>2309</v>
      </c>
      <c r="C4746" s="2">
        <v>8.8949829999999999</v>
      </c>
      <c r="D4746" s="2">
        <v>1.6681999999999999E-2</v>
      </c>
      <c r="E4746" s="2">
        <v>8.8622101999999998</v>
      </c>
      <c r="F4746" s="2">
        <v>8.9277563999999998</v>
      </c>
      <c r="H4746" s="8" t="str">
        <f t="shared" ref="H4746:H4749" si="197">TEXT(C4746,"0.00")&amp;" ("&amp;TEXT(E4746,"0.00")&amp;" to "&amp;TEXT(F4746,"0.00")&amp;")"</f>
        <v>8.89 (8.86 to 8.93)</v>
      </c>
    </row>
    <row r="4747" spans="1:8" ht="17.25" thickBot="1" x14ac:dyDescent="0.35">
      <c r="A4747" s="13" t="s">
        <v>67</v>
      </c>
      <c r="B4747" s="2">
        <v>2309</v>
      </c>
      <c r="C4747" s="2">
        <v>0.70559300000000003</v>
      </c>
      <c r="D4747" s="2">
        <v>1.8450000000000001E-3</v>
      </c>
      <c r="E4747" s="2">
        <v>0.70196780000000003</v>
      </c>
      <c r="F4747" s="2">
        <v>0.70921809999999996</v>
      </c>
      <c r="H4747" s="8" t="str">
        <f t="shared" si="197"/>
        <v>0.71 (0.70 to 0.71)</v>
      </c>
    </row>
    <row r="4748" spans="1:8" ht="17.25" thickBot="1" x14ac:dyDescent="0.35">
      <c r="A4748" s="13" t="s">
        <v>68</v>
      </c>
      <c r="B4748" s="2">
        <v>2309</v>
      </c>
      <c r="C4748" s="2">
        <v>0.468225</v>
      </c>
      <c r="D4748" s="2">
        <v>8.0140000000000003E-3</v>
      </c>
      <c r="E4748" s="2">
        <v>0.45248119999999997</v>
      </c>
      <c r="F4748" s="2">
        <v>0.48396800000000001</v>
      </c>
      <c r="H4748" s="8" t="str">
        <f t="shared" si="197"/>
        <v>0.47 (0.45 to 0.48)</v>
      </c>
    </row>
    <row r="4749" spans="1:8" x14ac:dyDescent="0.3">
      <c r="A4749" s="14" t="s">
        <v>69</v>
      </c>
      <c r="B4749" s="2">
        <v>2309</v>
      </c>
      <c r="C4749" s="2">
        <v>39.176389</v>
      </c>
      <c r="D4749" s="2">
        <v>0.184527</v>
      </c>
      <c r="E4749" s="2">
        <v>38.813874400000003</v>
      </c>
      <c r="F4749" s="2">
        <v>39.538903500000004</v>
      </c>
      <c r="H4749" s="8" t="str">
        <f t="shared" si="197"/>
        <v>39.18 (38.81 to 39.54)</v>
      </c>
    </row>
    <row r="4753" spans="1:6" x14ac:dyDescent="0.3">
      <c r="A4753" s="1" t="s">
        <v>129</v>
      </c>
    </row>
    <row r="4755" spans="1:6" x14ac:dyDescent="0.3">
      <c r="A4755" s="1" t="s">
        <v>340</v>
      </c>
    </row>
    <row r="4756" spans="1:6" ht="17.25" thickBot="1" x14ac:dyDescent="0.35"/>
    <row r="4757" spans="1:6" ht="16.5" customHeight="1" x14ac:dyDescent="0.3">
      <c r="A4757" s="24" t="s">
        <v>75</v>
      </c>
      <c r="B4757" s="26"/>
    </row>
    <row r="4758" spans="1:6" ht="26.25" thickBot="1" x14ac:dyDescent="0.35">
      <c r="A4758" s="13" t="s">
        <v>76</v>
      </c>
      <c r="B4758" s="2">
        <v>54</v>
      </c>
    </row>
    <row r="4759" spans="1:6" ht="26.25" thickBot="1" x14ac:dyDescent="0.35">
      <c r="A4759" s="13" t="s">
        <v>77</v>
      </c>
      <c r="B4759" s="2">
        <v>576</v>
      </c>
    </row>
    <row r="4760" spans="1:6" ht="39" thickBot="1" x14ac:dyDescent="0.35">
      <c r="A4760" s="13" t="s">
        <v>78</v>
      </c>
      <c r="B4760" s="2">
        <v>11001</v>
      </c>
    </row>
    <row r="4761" spans="1:6" ht="25.5" x14ac:dyDescent="0.3">
      <c r="A4761" s="14" t="s">
        <v>79</v>
      </c>
      <c r="B4761" s="2">
        <v>5197514.88</v>
      </c>
    </row>
    <row r="4762" spans="1:6" ht="17.25" thickBot="1" x14ac:dyDescent="0.35"/>
    <row r="4763" spans="1:6" ht="33" customHeight="1" x14ac:dyDescent="0.3">
      <c r="A4763" s="24" t="s">
        <v>80</v>
      </c>
      <c r="B4763" s="26"/>
    </row>
    <row r="4764" spans="1:6" ht="33.75" thickBot="1" x14ac:dyDescent="0.35">
      <c r="A4764" s="13" t="s">
        <v>81</v>
      </c>
      <c r="B4764" s="2" t="s">
        <v>82</v>
      </c>
    </row>
    <row r="4765" spans="1:6" ht="25.5" x14ac:dyDescent="0.3">
      <c r="A4765" s="14" t="s">
        <v>83</v>
      </c>
      <c r="B4765" s="2" t="s">
        <v>84</v>
      </c>
    </row>
    <row r="4766" spans="1:6" ht="17.25" thickBot="1" x14ac:dyDescent="0.35"/>
    <row r="4767" spans="1:6" ht="16.5" customHeight="1" x14ac:dyDescent="0.3">
      <c r="A4767" s="24" t="s">
        <v>130</v>
      </c>
      <c r="B4767" s="26"/>
      <c r="C4767" s="26"/>
      <c r="D4767" s="26"/>
      <c r="E4767" s="26"/>
      <c r="F4767" s="26"/>
    </row>
    <row r="4768" spans="1:6" x14ac:dyDescent="0.3">
      <c r="A4768" s="25" t="s">
        <v>131</v>
      </c>
      <c r="B4768" s="27" t="s">
        <v>46</v>
      </c>
      <c r="C4768" s="27" t="s">
        <v>132</v>
      </c>
      <c r="D4768" s="3" t="s">
        <v>133</v>
      </c>
      <c r="E4768" s="27" t="s">
        <v>135</v>
      </c>
      <c r="F4768" s="27"/>
    </row>
    <row r="4769" spans="1:8" x14ac:dyDescent="0.3">
      <c r="A4769" s="25"/>
      <c r="B4769" s="27"/>
      <c r="C4769" s="27"/>
      <c r="D4769" s="3" t="s">
        <v>134</v>
      </c>
      <c r="E4769" s="27"/>
      <c r="F4769" s="27"/>
    </row>
    <row r="4770" spans="1:8" ht="17.25" thickBot="1" x14ac:dyDescent="0.35">
      <c r="A4770" s="13" t="s">
        <v>66</v>
      </c>
      <c r="B4770" s="2">
        <v>11001</v>
      </c>
      <c r="C4770" s="2">
        <v>8.5513429999999993</v>
      </c>
      <c r="D4770" s="2">
        <v>7.8460000000000005E-3</v>
      </c>
      <c r="E4770" s="2">
        <v>8.5359283999999995</v>
      </c>
      <c r="F4770" s="2">
        <v>8.5667568000000003</v>
      </c>
      <c r="H4770" s="8" t="str">
        <f t="shared" ref="H4770:H4773" si="198">TEXT(C4770,"0.00")&amp;" ("&amp;TEXT(E4770,"0.00")&amp;" to "&amp;TEXT(F4770,"0.00")&amp;")"</f>
        <v>8.55 (8.54 to 8.57)</v>
      </c>
    </row>
    <row r="4771" spans="1:8" ht="17.25" thickBot="1" x14ac:dyDescent="0.35">
      <c r="A4771" s="13" t="s">
        <v>67</v>
      </c>
      <c r="B4771" s="2">
        <v>11001</v>
      </c>
      <c r="C4771" s="2">
        <v>0.654698</v>
      </c>
      <c r="D4771" s="2">
        <v>9.6500000000000004E-4</v>
      </c>
      <c r="E4771" s="2">
        <v>0.6528022</v>
      </c>
      <c r="F4771" s="2">
        <v>0.65659330000000005</v>
      </c>
      <c r="H4771" s="8" t="str">
        <f t="shared" si="198"/>
        <v>0.65 (0.65 to 0.66)</v>
      </c>
    </row>
    <row r="4772" spans="1:8" ht="17.25" thickBot="1" x14ac:dyDescent="0.35">
      <c r="A4772" s="13" t="s">
        <v>68</v>
      </c>
      <c r="B4772" s="2">
        <v>11001</v>
      </c>
      <c r="C4772" s="2">
        <v>0.331206</v>
      </c>
      <c r="D4772" s="2">
        <v>3.9179999999999996E-3</v>
      </c>
      <c r="E4772" s="2">
        <v>0.32350909999999999</v>
      </c>
      <c r="F4772" s="2">
        <v>0.33890199999999998</v>
      </c>
      <c r="H4772" s="8" t="str">
        <f t="shared" si="198"/>
        <v>0.33 (0.32 to 0.34)</v>
      </c>
    </row>
    <row r="4773" spans="1:8" x14ac:dyDescent="0.3">
      <c r="A4773" s="14" t="s">
        <v>69</v>
      </c>
      <c r="B4773" s="2">
        <v>11001</v>
      </c>
      <c r="C4773" s="2">
        <v>34.983581999999998</v>
      </c>
      <c r="D4773" s="2">
        <v>8.9268E-2</v>
      </c>
      <c r="E4773" s="2">
        <v>34.808212500000003</v>
      </c>
      <c r="F4773" s="2">
        <v>35.158951100000003</v>
      </c>
      <c r="H4773" s="8" t="str">
        <f t="shared" si="198"/>
        <v>34.98 (34.81 to 35.16)</v>
      </c>
    </row>
    <row r="4777" spans="1:8" x14ac:dyDescent="0.3">
      <c r="A4777" s="1" t="s">
        <v>129</v>
      </c>
    </row>
    <row r="4779" spans="1:8" x14ac:dyDescent="0.3">
      <c r="A4779" s="1" t="s">
        <v>341</v>
      </c>
    </row>
    <row r="4780" spans="1:8" ht="17.25" thickBot="1" x14ac:dyDescent="0.35"/>
    <row r="4781" spans="1:8" ht="16.5" customHeight="1" x14ac:dyDescent="0.3">
      <c r="A4781" s="24" t="s">
        <v>75</v>
      </c>
      <c r="B4781" s="26"/>
    </row>
    <row r="4782" spans="1:8" ht="26.25" thickBot="1" x14ac:dyDescent="0.35">
      <c r="A4782" s="13" t="s">
        <v>76</v>
      </c>
      <c r="B4782" s="2">
        <v>54</v>
      </c>
    </row>
    <row r="4783" spans="1:8" ht="26.25" thickBot="1" x14ac:dyDescent="0.35">
      <c r="A4783" s="13" t="s">
        <v>77</v>
      </c>
      <c r="B4783" s="2">
        <v>567</v>
      </c>
    </row>
    <row r="4784" spans="1:8" ht="39" thickBot="1" x14ac:dyDescent="0.35">
      <c r="A4784" s="13" t="s">
        <v>78</v>
      </c>
      <c r="B4784" s="2">
        <v>3157</v>
      </c>
    </row>
    <row r="4785" spans="1:8" ht="25.5" x14ac:dyDescent="0.3">
      <c r="A4785" s="14" t="s">
        <v>79</v>
      </c>
      <c r="B4785" s="2">
        <v>1123445.6299999999</v>
      </c>
    </row>
    <row r="4786" spans="1:8" ht="17.25" thickBot="1" x14ac:dyDescent="0.35"/>
    <row r="4787" spans="1:8" ht="33" customHeight="1" x14ac:dyDescent="0.3">
      <c r="A4787" s="24" t="s">
        <v>80</v>
      </c>
      <c r="B4787" s="26"/>
    </row>
    <row r="4788" spans="1:8" ht="33.75" thickBot="1" x14ac:dyDescent="0.35">
      <c r="A4788" s="13" t="s">
        <v>81</v>
      </c>
      <c r="B4788" s="2" t="s">
        <v>82</v>
      </c>
    </row>
    <row r="4789" spans="1:8" ht="25.5" x14ac:dyDescent="0.3">
      <c r="A4789" s="14" t="s">
        <v>83</v>
      </c>
      <c r="B4789" s="2" t="s">
        <v>84</v>
      </c>
    </row>
    <row r="4790" spans="1:8" ht="17.25" thickBot="1" x14ac:dyDescent="0.35"/>
    <row r="4791" spans="1:8" ht="16.5" customHeight="1" x14ac:dyDescent="0.3">
      <c r="A4791" s="24" t="s">
        <v>130</v>
      </c>
      <c r="B4791" s="26"/>
      <c r="C4791" s="26"/>
      <c r="D4791" s="26"/>
      <c r="E4791" s="26"/>
      <c r="F4791" s="26"/>
    </row>
    <row r="4792" spans="1:8" x14ac:dyDescent="0.3">
      <c r="A4792" s="25" t="s">
        <v>131</v>
      </c>
      <c r="B4792" s="27" t="s">
        <v>46</v>
      </c>
      <c r="C4792" s="27" t="s">
        <v>132</v>
      </c>
      <c r="D4792" s="3" t="s">
        <v>133</v>
      </c>
      <c r="E4792" s="27" t="s">
        <v>135</v>
      </c>
      <c r="F4792" s="27"/>
    </row>
    <row r="4793" spans="1:8" x14ac:dyDescent="0.3">
      <c r="A4793" s="25"/>
      <c r="B4793" s="27"/>
      <c r="C4793" s="27"/>
      <c r="D4793" s="3" t="s">
        <v>134</v>
      </c>
      <c r="E4793" s="27"/>
      <c r="F4793" s="27"/>
    </row>
    <row r="4794" spans="1:8" ht="17.25" thickBot="1" x14ac:dyDescent="0.35">
      <c r="A4794" s="13" t="s">
        <v>66</v>
      </c>
      <c r="B4794" s="2">
        <v>3157</v>
      </c>
      <c r="C4794" s="2">
        <v>8.8796540000000004</v>
      </c>
      <c r="D4794" s="2">
        <v>1.5559E-2</v>
      </c>
      <c r="E4794" s="2">
        <v>8.8490877999999995</v>
      </c>
      <c r="F4794" s="2">
        <v>8.9102209000000006</v>
      </c>
      <c r="H4794" s="8" t="str">
        <f t="shared" ref="H4794:H4797" si="199">TEXT(C4794,"0.00")&amp;" ("&amp;TEXT(E4794,"0.00")&amp;" to "&amp;TEXT(F4794,"0.00")&amp;")"</f>
        <v>8.88 (8.85 to 8.91)</v>
      </c>
    </row>
    <row r="4795" spans="1:8" ht="17.25" thickBot="1" x14ac:dyDescent="0.35">
      <c r="A4795" s="13" t="s">
        <v>67</v>
      </c>
      <c r="B4795" s="2">
        <v>3157</v>
      </c>
      <c r="C4795" s="2">
        <v>0.71010499999999999</v>
      </c>
      <c r="D4795" s="2">
        <v>1.6230000000000001E-3</v>
      </c>
      <c r="E4795" s="2">
        <v>0.70691590000000004</v>
      </c>
      <c r="F4795" s="2">
        <v>0.71329410000000004</v>
      </c>
      <c r="H4795" s="8" t="str">
        <f t="shared" si="199"/>
        <v>0.71 (0.71 to 0.71)</v>
      </c>
    </row>
    <row r="4796" spans="1:8" ht="17.25" thickBot="1" x14ac:dyDescent="0.35">
      <c r="A4796" s="13" t="s">
        <v>68</v>
      </c>
      <c r="B4796" s="2">
        <v>3157</v>
      </c>
      <c r="C4796" s="2">
        <v>0.45367600000000002</v>
      </c>
      <c r="D4796" s="2">
        <v>7.1570000000000002E-3</v>
      </c>
      <c r="E4796" s="2">
        <v>0.43961539999999999</v>
      </c>
      <c r="F4796" s="2">
        <v>0.46773749999999997</v>
      </c>
      <c r="H4796" s="8" t="str">
        <f t="shared" si="199"/>
        <v>0.45 (0.44 to 0.47)</v>
      </c>
    </row>
    <row r="4797" spans="1:8" x14ac:dyDescent="0.3">
      <c r="A4797" s="14" t="s">
        <v>69</v>
      </c>
      <c r="B4797" s="2">
        <v>3157</v>
      </c>
      <c r="C4797" s="2">
        <v>39.240426999999997</v>
      </c>
      <c r="D4797" s="2">
        <v>0.16600500000000001</v>
      </c>
      <c r="E4797" s="2">
        <v>38.914293499999999</v>
      </c>
      <c r="F4797" s="2">
        <v>39.566561</v>
      </c>
      <c r="H4797" s="8" t="str">
        <f t="shared" si="199"/>
        <v>39.24 (38.91 to 39.57)</v>
      </c>
    </row>
    <row r="4801" spans="1:6" x14ac:dyDescent="0.3">
      <c r="A4801" s="1" t="s">
        <v>129</v>
      </c>
    </row>
    <row r="4803" spans="1:6" x14ac:dyDescent="0.3">
      <c r="A4803" s="1" t="s">
        <v>342</v>
      </c>
    </row>
    <row r="4804" spans="1:6" ht="17.25" thickBot="1" x14ac:dyDescent="0.35"/>
    <row r="4805" spans="1:6" ht="16.5" customHeight="1" x14ac:dyDescent="0.3">
      <c r="A4805" s="24" t="s">
        <v>75</v>
      </c>
      <c r="B4805" s="26"/>
    </row>
    <row r="4806" spans="1:6" ht="26.25" thickBot="1" x14ac:dyDescent="0.35">
      <c r="A4806" s="13" t="s">
        <v>76</v>
      </c>
      <c r="B4806" s="2">
        <v>27</v>
      </c>
    </row>
    <row r="4807" spans="1:6" ht="26.25" thickBot="1" x14ac:dyDescent="0.35">
      <c r="A4807" s="13" t="s">
        <v>77</v>
      </c>
      <c r="B4807" s="2">
        <v>564</v>
      </c>
    </row>
    <row r="4808" spans="1:6" ht="39" thickBot="1" x14ac:dyDescent="0.35">
      <c r="A4808" s="13" t="s">
        <v>78</v>
      </c>
      <c r="B4808" s="2">
        <v>10383</v>
      </c>
    </row>
    <row r="4809" spans="1:6" ht="25.5" x14ac:dyDescent="0.3">
      <c r="A4809" s="14" t="s">
        <v>79</v>
      </c>
      <c r="B4809" s="2">
        <v>5316072.2</v>
      </c>
    </row>
    <row r="4810" spans="1:6" ht="17.25" thickBot="1" x14ac:dyDescent="0.35"/>
    <row r="4811" spans="1:6" ht="33" customHeight="1" x14ac:dyDescent="0.3">
      <c r="A4811" s="24" t="s">
        <v>80</v>
      </c>
      <c r="B4811" s="26"/>
    </row>
    <row r="4812" spans="1:6" ht="33.75" thickBot="1" x14ac:dyDescent="0.35">
      <c r="A4812" s="13" t="s">
        <v>81</v>
      </c>
      <c r="B4812" s="2" t="s">
        <v>82</v>
      </c>
    </row>
    <row r="4813" spans="1:6" ht="25.5" x14ac:dyDescent="0.3">
      <c r="A4813" s="14" t="s">
        <v>83</v>
      </c>
      <c r="B4813" s="2" t="s">
        <v>84</v>
      </c>
    </row>
    <row r="4814" spans="1:6" ht="17.25" thickBot="1" x14ac:dyDescent="0.35"/>
    <row r="4815" spans="1:6" ht="16.5" customHeight="1" x14ac:dyDescent="0.3">
      <c r="A4815" s="24" t="s">
        <v>130</v>
      </c>
      <c r="B4815" s="26"/>
      <c r="C4815" s="26"/>
      <c r="D4815" s="26"/>
      <c r="E4815" s="26"/>
      <c r="F4815" s="26"/>
    </row>
    <row r="4816" spans="1:6" x14ac:dyDescent="0.3">
      <c r="A4816" s="25" t="s">
        <v>131</v>
      </c>
      <c r="B4816" s="27" t="s">
        <v>46</v>
      </c>
      <c r="C4816" s="27" t="s">
        <v>132</v>
      </c>
      <c r="D4816" s="3" t="s">
        <v>133</v>
      </c>
      <c r="E4816" s="27" t="s">
        <v>135</v>
      </c>
      <c r="F4816" s="27"/>
    </row>
    <row r="4817" spans="1:8" x14ac:dyDescent="0.3">
      <c r="A4817" s="25"/>
      <c r="B4817" s="27"/>
      <c r="C4817" s="27"/>
      <c r="D4817" s="3" t="s">
        <v>134</v>
      </c>
      <c r="E4817" s="27"/>
      <c r="F4817" s="27"/>
    </row>
    <row r="4818" spans="1:8" ht="17.25" thickBot="1" x14ac:dyDescent="0.35">
      <c r="A4818" s="13" t="s">
        <v>66</v>
      </c>
      <c r="B4818" s="2">
        <v>10383</v>
      </c>
      <c r="C4818" s="2">
        <v>8.5278320000000001</v>
      </c>
      <c r="D4818" s="2">
        <v>8.012E-3</v>
      </c>
      <c r="E4818" s="2">
        <v>8.5120935000000006</v>
      </c>
      <c r="F4818" s="2">
        <v>8.5435704000000001</v>
      </c>
      <c r="H4818" s="8" t="str">
        <f t="shared" ref="H4818:H4821" si="200">TEXT(C4818,"0.00")&amp;" ("&amp;TEXT(E4818,"0.00")&amp;" to "&amp;TEXT(F4818,"0.00")&amp;")"</f>
        <v>8.53 (8.51 to 8.54)</v>
      </c>
    </row>
    <row r="4819" spans="1:8" ht="17.25" thickBot="1" x14ac:dyDescent="0.35">
      <c r="A4819" s="13" t="s">
        <v>67</v>
      </c>
      <c r="B4819" s="2">
        <v>10383</v>
      </c>
      <c r="C4819" s="2">
        <v>0.661497</v>
      </c>
      <c r="D4819" s="2">
        <v>9.1600000000000004E-4</v>
      </c>
      <c r="E4819" s="2">
        <v>0.65969739999999999</v>
      </c>
      <c r="F4819" s="2">
        <v>0.66329649999999996</v>
      </c>
      <c r="H4819" s="8" t="str">
        <f t="shared" si="200"/>
        <v>0.66 (0.66 to 0.66)</v>
      </c>
    </row>
    <row r="4820" spans="1:8" ht="17.25" thickBot="1" x14ac:dyDescent="0.35">
      <c r="A4820" s="13" t="s">
        <v>68</v>
      </c>
      <c r="B4820" s="2">
        <v>10383</v>
      </c>
      <c r="C4820" s="2">
        <v>0.305865</v>
      </c>
      <c r="D4820" s="2">
        <v>4.078E-3</v>
      </c>
      <c r="E4820" s="2">
        <v>0.29785509999999998</v>
      </c>
      <c r="F4820" s="2">
        <v>0.31387569999999998</v>
      </c>
      <c r="H4820" s="8" t="str">
        <f t="shared" si="200"/>
        <v>0.31 (0.30 to 0.31)</v>
      </c>
    </row>
    <row r="4821" spans="1:8" x14ac:dyDescent="0.3">
      <c r="A4821" s="14" t="s">
        <v>69</v>
      </c>
      <c r="B4821" s="2">
        <v>10383</v>
      </c>
      <c r="C4821" s="2">
        <v>34.972366999999998</v>
      </c>
      <c r="D4821" s="2">
        <v>9.8112000000000005E-2</v>
      </c>
      <c r="E4821" s="2">
        <v>34.779636199999999</v>
      </c>
      <c r="F4821" s="2">
        <v>35.165097400000001</v>
      </c>
      <c r="H4821" s="8" t="str">
        <f t="shared" si="200"/>
        <v>34.97 (34.78 to 35.17)</v>
      </c>
    </row>
    <row r="4825" spans="1:8" x14ac:dyDescent="0.3">
      <c r="A4825" s="1" t="s">
        <v>129</v>
      </c>
    </row>
    <row r="4827" spans="1:8" x14ac:dyDescent="0.3">
      <c r="A4827" s="1" t="s">
        <v>343</v>
      </c>
    </row>
    <row r="4828" spans="1:8" ht="17.25" thickBot="1" x14ac:dyDescent="0.35"/>
    <row r="4829" spans="1:8" ht="16.5" customHeight="1" x14ac:dyDescent="0.3">
      <c r="A4829" s="24" t="s">
        <v>75</v>
      </c>
      <c r="B4829" s="26"/>
    </row>
    <row r="4830" spans="1:8" ht="26.25" thickBot="1" x14ac:dyDescent="0.35">
      <c r="A4830" s="13" t="s">
        <v>76</v>
      </c>
      <c r="B4830" s="2">
        <v>27</v>
      </c>
    </row>
    <row r="4831" spans="1:8" ht="26.25" thickBot="1" x14ac:dyDescent="0.35">
      <c r="A4831" s="13" t="s">
        <v>77</v>
      </c>
      <c r="B4831" s="2">
        <v>551</v>
      </c>
    </row>
    <row r="4832" spans="1:8" ht="39" thickBot="1" x14ac:dyDescent="0.35">
      <c r="A4832" s="13" t="s">
        <v>78</v>
      </c>
      <c r="B4832" s="2">
        <v>3172</v>
      </c>
    </row>
    <row r="4833" spans="1:8" ht="25.5" x14ac:dyDescent="0.3">
      <c r="A4833" s="14" t="s">
        <v>79</v>
      </c>
      <c r="B4833" s="2">
        <v>1238626.6100000001</v>
      </c>
    </row>
    <row r="4834" spans="1:8" ht="17.25" thickBot="1" x14ac:dyDescent="0.35"/>
    <row r="4835" spans="1:8" ht="33" customHeight="1" x14ac:dyDescent="0.3">
      <c r="A4835" s="24" t="s">
        <v>80</v>
      </c>
      <c r="B4835" s="26"/>
    </row>
    <row r="4836" spans="1:8" ht="33.75" thickBot="1" x14ac:dyDescent="0.35">
      <c r="A4836" s="13" t="s">
        <v>81</v>
      </c>
      <c r="B4836" s="2" t="s">
        <v>82</v>
      </c>
    </row>
    <row r="4837" spans="1:8" ht="25.5" x14ac:dyDescent="0.3">
      <c r="A4837" s="14" t="s">
        <v>83</v>
      </c>
      <c r="B4837" s="2" t="s">
        <v>84</v>
      </c>
    </row>
    <row r="4838" spans="1:8" ht="17.25" thickBot="1" x14ac:dyDescent="0.35"/>
    <row r="4839" spans="1:8" ht="16.5" customHeight="1" x14ac:dyDescent="0.3">
      <c r="A4839" s="24" t="s">
        <v>130</v>
      </c>
      <c r="B4839" s="26"/>
      <c r="C4839" s="26"/>
      <c r="D4839" s="26"/>
      <c r="E4839" s="26"/>
      <c r="F4839" s="26"/>
    </row>
    <row r="4840" spans="1:8" x14ac:dyDescent="0.3">
      <c r="A4840" s="25" t="s">
        <v>131</v>
      </c>
      <c r="B4840" s="27" t="s">
        <v>46</v>
      </c>
      <c r="C4840" s="27" t="s">
        <v>132</v>
      </c>
      <c r="D4840" s="3" t="s">
        <v>133</v>
      </c>
      <c r="E4840" s="27" t="s">
        <v>135</v>
      </c>
      <c r="F4840" s="27"/>
    </row>
    <row r="4841" spans="1:8" x14ac:dyDescent="0.3">
      <c r="A4841" s="25"/>
      <c r="B4841" s="27"/>
      <c r="C4841" s="27"/>
      <c r="D4841" s="3" t="s">
        <v>134</v>
      </c>
      <c r="E4841" s="27"/>
      <c r="F4841" s="27"/>
    </row>
    <row r="4842" spans="1:8" ht="17.25" thickBot="1" x14ac:dyDescent="0.35">
      <c r="A4842" s="13" t="s">
        <v>66</v>
      </c>
      <c r="B4842" s="2">
        <v>3172</v>
      </c>
      <c r="C4842" s="2">
        <v>8.8351699999999997</v>
      </c>
      <c r="D4842" s="2">
        <v>1.4943E-2</v>
      </c>
      <c r="E4842" s="2">
        <v>8.8058151999999996</v>
      </c>
      <c r="F4842" s="2">
        <v>8.8645256999999997</v>
      </c>
      <c r="H4842" s="8" t="str">
        <f t="shared" ref="H4842:H4845" si="201">TEXT(C4842,"0.00")&amp;" ("&amp;TEXT(E4842,"0.00")&amp;" to "&amp;TEXT(F4842,"0.00")&amp;")"</f>
        <v>8.84 (8.81 to 8.86)</v>
      </c>
    </row>
    <row r="4843" spans="1:8" ht="17.25" thickBot="1" x14ac:dyDescent="0.35">
      <c r="A4843" s="13" t="s">
        <v>67</v>
      </c>
      <c r="B4843" s="2">
        <v>3172</v>
      </c>
      <c r="C4843" s="2">
        <v>0.71874800000000005</v>
      </c>
      <c r="D4843" s="2">
        <v>1.5269999999999999E-3</v>
      </c>
      <c r="E4843" s="2">
        <v>0.71574800000000005</v>
      </c>
      <c r="F4843" s="2">
        <v>0.72174700000000003</v>
      </c>
      <c r="H4843" s="8" t="str">
        <f t="shared" si="201"/>
        <v>0.72 (0.72 to 0.72)</v>
      </c>
    </row>
    <row r="4844" spans="1:8" ht="17.25" thickBot="1" x14ac:dyDescent="0.35">
      <c r="A4844" s="13" t="s">
        <v>68</v>
      </c>
      <c r="B4844" s="2">
        <v>3172</v>
      </c>
      <c r="C4844" s="2">
        <v>0.42472599999999999</v>
      </c>
      <c r="D4844" s="2">
        <v>7.0219999999999996E-3</v>
      </c>
      <c r="E4844" s="2">
        <v>0.41093200000000002</v>
      </c>
      <c r="F4844" s="2">
        <v>0.43852089999999999</v>
      </c>
      <c r="H4844" s="8" t="str">
        <f t="shared" si="201"/>
        <v>0.42 (0.41 to 0.44)</v>
      </c>
    </row>
    <row r="4845" spans="1:8" x14ac:dyDescent="0.3">
      <c r="A4845" s="14" t="s">
        <v>69</v>
      </c>
      <c r="B4845" s="2">
        <v>3172</v>
      </c>
      <c r="C4845" s="2">
        <v>39.381804000000002</v>
      </c>
      <c r="D4845" s="2">
        <v>0.175625</v>
      </c>
      <c r="E4845" s="2">
        <v>39.036788000000001</v>
      </c>
      <c r="F4845" s="2">
        <v>39.726819399999997</v>
      </c>
      <c r="H4845" s="8" t="str">
        <f t="shared" si="201"/>
        <v>39.38 (39.04 to 39.73)</v>
      </c>
    </row>
    <row r="4849" spans="1:6" x14ac:dyDescent="0.3">
      <c r="A4849" s="1" t="s">
        <v>129</v>
      </c>
    </row>
    <row r="4851" spans="1:6" x14ac:dyDescent="0.3">
      <c r="A4851" s="1" t="s">
        <v>344</v>
      </c>
    </row>
    <row r="4852" spans="1:6" ht="17.25" thickBot="1" x14ac:dyDescent="0.35"/>
    <row r="4853" spans="1:6" ht="16.5" customHeight="1" x14ac:dyDescent="0.3">
      <c r="A4853" s="24" t="s">
        <v>75</v>
      </c>
      <c r="B4853" s="26"/>
    </row>
    <row r="4854" spans="1:6" ht="26.25" thickBot="1" x14ac:dyDescent="0.35">
      <c r="A4854" s="13" t="s">
        <v>76</v>
      </c>
      <c r="B4854" s="2">
        <v>27</v>
      </c>
    </row>
    <row r="4855" spans="1:6" ht="26.25" thickBot="1" x14ac:dyDescent="0.35">
      <c r="A4855" s="13" t="s">
        <v>77</v>
      </c>
      <c r="B4855" s="2">
        <v>190</v>
      </c>
    </row>
    <row r="4856" spans="1:6" ht="39" thickBot="1" x14ac:dyDescent="0.35">
      <c r="A4856" s="13" t="s">
        <v>78</v>
      </c>
      <c r="B4856" s="2">
        <v>3227</v>
      </c>
    </row>
    <row r="4857" spans="1:6" ht="25.5" x14ac:dyDescent="0.3">
      <c r="A4857" s="14" t="s">
        <v>79</v>
      </c>
      <c r="B4857" s="2">
        <v>1668034.01</v>
      </c>
    </row>
    <row r="4858" spans="1:6" ht="17.25" thickBot="1" x14ac:dyDescent="0.35"/>
    <row r="4859" spans="1:6" ht="33" customHeight="1" x14ac:dyDescent="0.3">
      <c r="A4859" s="24" t="s">
        <v>80</v>
      </c>
      <c r="B4859" s="26"/>
    </row>
    <row r="4860" spans="1:6" ht="33.75" thickBot="1" x14ac:dyDescent="0.35">
      <c r="A4860" s="13" t="s">
        <v>81</v>
      </c>
      <c r="B4860" s="2" t="s">
        <v>82</v>
      </c>
    </row>
    <row r="4861" spans="1:6" ht="25.5" x14ac:dyDescent="0.3">
      <c r="A4861" s="14" t="s">
        <v>83</v>
      </c>
      <c r="B4861" s="2" t="s">
        <v>84</v>
      </c>
    </row>
    <row r="4862" spans="1:6" ht="17.25" thickBot="1" x14ac:dyDescent="0.35"/>
    <row r="4863" spans="1:6" ht="16.5" customHeight="1" x14ac:dyDescent="0.3">
      <c r="A4863" s="24" t="s">
        <v>130</v>
      </c>
      <c r="B4863" s="26"/>
      <c r="C4863" s="26"/>
      <c r="D4863" s="26"/>
      <c r="E4863" s="26"/>
      <c r="F4863" s="26"/>
    </row>
    <row r="4864" spans="1:6" x14ac:dyDescent="0.3">
      <c r="A4864" s="25" t="s">
        <v>131</v>
      </c>
      <c r="B4864" s="27" t="s">
        <v>46</v>
      </c>
      <c r="C4864" s="27" t="s">
        <v>132</v>
      </c>
      <c r="D4864" s="3" t="s">
        <v>133</v>
      </c>
      <c r="E4864" s="27" t="s">
        <v>135</v>
      </c>
      <c r="F4864" s="27"/>
    </row>
    <row r="4865" spans="1:8" x14ac:dyDescent="0.3">
      <c r="A4865" s="25"/>
      <c r="B4865" s="27"/>
      <c r="C4865" s="27"/>
      <c r="D4865" s="3" t="s">
        <v>134</v>
      </c>
      <c r="E4865" s="27"/>
      <c r="F4865" s="27"/>
    </row>
    <row r="4866" spans="1:8" ht="17.25" thickBot="1" x14ac:dyDescent="0.35">
      <c r="A4866" s="13" t="s">
        <v>66</v>
      </c>
      <c r="B4866" s="2">
        <v>3227</v>
      </c>
      <c r="C4866" s="2">
        <v>8.5341699999999996</v>
      </c>
      <c r="D4866" s="2">
        <v>1.3216E-2</v>
      </c>
      <c r="E4866" s="2">
        <v>8.5080740000000006</v>
      </c>
      <c r="F4866" s="2">
        <v>8.5602668000000008</v>
      </c>
      <c r="H4866" s="8" t="str">
        <f t="shared" ref="H4866:H4869" si="202">TEXT(C4866,"0.00")&amp;" ("&amp;TEXT(E4866,"0.00")&amp;" to "&amp;TEXT(F4866,"0.00")&amp;")"</f>
        <v>8.53 (8.51 to 8.56)</v>
      </c>
    </row>
    <row r="4867" spans="1:8" ht="17.25" thickBot="1" x14ac:dyDescent="0.35">
      <c r="A4867" s="13" t="s">
        <v>67</v>
      </c>
      <c r="B4867" s="2">
        <v>3227</v>
      </c>
      <c r="C4867" s="2">
        <v>0.65709700000000004</v>
      </c>
      <c r="D4867" s="2">
        <v>1.6249999999999999E-3</v>
      </c>
      <c r="E4867" s="2">
        <v>0.65388880000000005</v>
      </c>
      <c r="F4867" s="2">
        <v>0.66030440000000001</v>
      </c>
      <c r="H4867" s="8" t="str">
        <f t="shared" si="202"/>
        <v>0.66 (0.65 to 0.66)</v>
      </c>
    </row>
    <row r="4868" spans="1:8" ht="17.25" thickBot="1" x14ac:dyDescent="0.35">
      <c r="A4868" s="13" t="s">
        <v>68</v>
      </c>
      <c r="B4868" s="2">
        <v>3227</v>
      </c>
      <c r="C4868" s="2">
        <v>0.26796700000000001</v>
      </c>
      <c r="D4868" s="2">
        <v>6.9170000000000004E-3</v>
      </c>
      <c r="E4868" s="2">
        <v>0.25430930000000002</v>
      </c>
      <c r="F4868" s="2">
        <v>0.2816244</v>
      </c>
      <c r="H4868" s="8" t="str">
        <f t="shared" si="202"/>
        <v>0.27 (0.25 to 0.28)</v>
      </c>
    </row>
    <row r="4869" spans="1:8" x14ac:dyDescent="0.3">
      <c r="A4869" s="14" t="s">
        <v>69</v>
      </c>
      <c r="B4869" s="2">
        <v>3227</v>
      </c>
      <c r="C4869" s="2">
        <v>34.341002000000003</v>
      </c>
      <c r="D4869" s="2">
        <v>0.188606</v>
      </c>
      <c r="E4869" s="2">
        <v>33.968575600000001</v>
      </c>
      <c r="F4869" s="2">
        <v>34.713428999999998</v>
      </c>
      <c r="H4869" s="8" t="str">
        <f t="shared" si="202"/>
        <v>34.34 (33.97 to 34.71)</v>
      </c>
    </row>
    <row r="4873" spans="1:8" x14ac:dyDescent="0.3">
      <c r="A4873" s="1" t="s">
        <v>129</v>
      </c>
    </row>
    <row r="4875" spans="1:8" x14ac:dyDescent="0.3">
      <c r="A4875" s="1" t="s">
        <v>345</v>
      </c>
    </row>
    <row r="4876" spans="1:8" ht="17.25" thickBot="1" x14ac:dyDescent="0.35"/>
    <row r="4877" spans="1:8" ht="16.5" customHeight="1" x14ac:dyDescent="0.3">
      <c r="A4877" s="24" t="s">
        <v>75</v>
      </c>
      <c r="B4877" s="26"/>
    </row>
    <row r="4878" spans="1:8" ht="26.25" thickBot="1" x14ac:dyDescent="0.35">
      <c r="A4878" s="13" t="s">
        <v>76</v>
      </c>
      <c r="B4878" s="2">
        <v>27</v>
      </c>
    </row>
    <row r="4879" spans="1:8" ht="26.25" thickBot="1" x14ac:dyDescent="0.35">
      <c r="A4879" s="13" t="s">
        <v>77</v>
      </c>
      <c r="B4879" s="2">
        <v>187</v>
      </c>
    </row>
    <row r="4880" spans="1:8" ht="39" thickBot="1" x14ac:dyDescent="0.35">
      <c r="A4880" s="13" t="s">
        <v>78</v>
      </c>
      <c r="B4880" s="2">
        <v>1189</v>
      </c>
    </row>
    <row r="4881" spans="1:8" ht="25.5" x14ac:dyDescent="0.3">
      <c r="A4881" s="14" t="s">
        <v>79</v>
      </c>
      <c r="B4881" s="2">
        <v>482879.66100000002</v>
      </c>
    </row>
    <row r="4882" spans="1:8" ht="17.25" thickBot="1" x14ac:dyDescent="0.35"/>
    <row r="4883" spans="1:8" ht="33" customHeight="1" x14ac:dyDescent="0.3">
      <c r="A4883" s="24" t="s">
        <v>80</v>
      </c>
      <c r="B4883" s="26"/>
    </row>
    <row r="4884" spans="1:8" ht="33.75" thickBot="1" x14ac:dyDescent="0.35">
      <c r="A4884" s="13" t="s">
        <v>81</v>
      </c>
      <c r="B4884" s="2" t="s">
        <v>82</v>
      </c>
    </row>
    <row r="4885" spans="1:8" ht="25.5" x14ac:dyDescent="0.3">
      <c r="A4885" s="14" t="s">
        <v>83</v>
      </c>
      <c r="B4885" s="2" t="s">
        <v>84</v>
      </c>
    </row>
    <row r="4886" spans="1:8" ht="17.25" thickBot="1" x14ac:dyDescent="0.35"/>
    <row r="4887" spans="1:8" ht="16.5" customHeight="1" x14ac:dyDescent="0.3">
      <c r="A4887" s="24" t="s">
        <v>130</v>
      </c>
      <c r="B4887" s="26"/>
      <c r="C4887" s="26"/>
      <c r="D4887" s="26"/>
      <c r="E4887" s="26"/>
      <c r="F4887" s="26"/>
    </row>
    <row r="4888" spans="1:8" x14ac:dyDescent="0.3">
      <c r="A4888" s="25" t="s">
        <v>131</v>
      </c>
      <c r="B4888" s="27" t="s">
        <v>46</v>
      </c>
      <c r="C4888" s="27" t="s">
        <v>132</v>
      </c>
      <c r="D4888" s="3" t="s">
        <v>133</v>
      </c>
      <c r="E4888" s="27" t="s">
        <v>135</v>
      </c>
      <c r="F4888" s="27"/>
    </row>
    <row r="4889" spans="1:8" x14ac:dyDescent="0.3">
      <c r="A4889" s="25"/>
      <c r="B4889" s="27"/>
      <c r="C4889" s="27"/>
      <c r="D4889" s="3" t="s">
        <v>134</v>
      </c>
      <c r="E4889" s="27"/>
      <c r="F4889" s="27"/>
    </row>
    <row r="4890" spans="1:8" ht="17.25" thickBot="1" x14ac:dyDescent="0.35">
      <c r="A4890" s="13" t="s">
        <v>66</v>
      </c>
      <c r="B4890" s="2">
        <v>1189</v>
      </c>
      <c r="C4890" s="2">
        <v>8.7985640000000007</v>
      </c>
      <c r="D4890" s="2">
        <v>1.7866E-2</v>
      </c>
      <c r="E4890" s="2">
        <v>8.7632805999999999</v>
      </c>
      <c r="F4890" s="2">
        <v>8.8338470000000004</v>
      </c>
      <c r="H4890" s="8" t="str">
        <f t="shared" ref="H4890:H4893" si="203">TEXT(C4890,"0.00")&amp;" ("&amp;TEXT(E4890,"0.00")&amp;" to "&amp;TEXT(F4890,"0.00")&amp;")"</f>
        <v>8.80 (8.76 to 8.83)</v>
      </c>
    </row>
    <row r="4891" spans="1:8" ht="17.25" thickBot="1" x14ac:dyDescent="0.35">
      <c r="A4891" s="13" t="s">
        <v>67</v>
      </c>
      <c r="B4891" s="2">
        <v>1189</v>
      </c>
      <c r="C4891" s="2">
        <v>0.70979000000000003</v>
      </c>
      <c r="D4891" s="2">
        <v>2.0470000000000002E-3</v>
      </c>
      <c r="E4891" s="2">
        <v>0.70574749999999997</v>
      </c>
      <c r="F4891" s="2">
        <v>0.7138331</v>
      </c>
      <c r="H4891" s="8" t="str">
        <f t="shared" si="203"/>
        <v>0.71 (0.71 to 0.71)</v>
      </c>
    </row>
    <row r="4892" spans="1:8" ht="17.25" thickBot="1" x14ac:dyDescent="0.35">
      <c r="A4892" s="13" t="s">
        <v>68</v>
      </c>
      <c r="B4892" s="2">
        <v>1189</v>
      </c>
      <c r="C4892" s="2">
        <v>0.36984899999999998</v>
      </c>
      <c r="D4892" s="2">
        <v>9.1750000000000009E-3</v>
      </c>
      <c r="E4892" s="2">
        <v>0.35172910000000002</v>
      </c>
      <c r="F4892" s="2">
        <v>0.38796969999999997</v>
      </c>
      <c r="H4892" s="8" t="str">
        <f t="shared" si="203"/>
        <v>0.37 (0.35 to 0.39)</v>
      </c>
    </row>
    <row r="4893" spans="1:8" x14ac:dyDescent="0.3">
      <c r="A4893" s="14" t="s">
        <v>69</v>
      </c>
      <c r="B4893" s="2">
        <v>1189</v>
      </c>
      <c r="C4893" s="2">
        <v>38.542732000000001</v>
      </c>
      <c r="D4893" s="2">
        <v>0.256523</v>
      </c>
      <c r="E4893" s="2">
        <v>38.036124200000003</v>
      </c>
      <c r="F4893" s="2">
        <v>39.049339199999999</v>
      </c>
      <c r="H4893" s="8" t="str">
        <f t="shared" si="203"/>
        <v>38.54 (38.04 to 39.05)</v>
      </c>
    </row>
    <row r="4897" spans="1:6" x14ac:dyDescent="0.3">
      <c r="A4897" s="1" t="s">
        <v>129</v>
      </c>
    </row>
    <row r="4899" spans="1:6" x14ac:dyDescent="0.3">
      <c r="A4899" s="1" t="s">
        <v>346</v>
      </c>
    </row>
    <row r="4900" spans="1:6" ht="17.25" thickBot="1" x14ac:dyDescent="0.35"/>
    <row r="4901" spans="1:6" ht="16.5" customHeight="1" x14ac:dyDescent="0.3">
      <c r="A4901" s="24" t="s">
        <v>75</v>
      </c>
      <c r="B4901" s="26"/>
    </row>
    <row r="4902" spans="1:6" ht="26.25" thickBot="1" x14ac:dyDescent="0.35">
      <c r="A4902" s="13" t="s">
        <v>76</v>
      </c>
      <c r="B4902" s="2">
        <v>25</v>
      </c>
    </row>
    <row r="4903" spans="1:6" ht="26.25" thickBot="1" x14ac:dyDescent="0.35">
      <c r="A4903" s="13" t="s">
        <v>77</v>
      </c>
      <c r="B4903" s="2">
        <v>500</v>
      </c>
    </row>
    <row r="4904" spans="1:6" ht="39" thickBot="1" x14ac:dyDescent="0.35">
      <c r="A4904" s="13" t="s">
        <v>78</v>
      </c>
      <c r="B4904" s="2">
        <v>11084</v>
      </c>
    </row>
    <row r="4905" spans="1:6" ht="25.5" x14ac:dyDescent="0.3">
      <c r="A4905" s="14" t="s">
        <v>79</v>
      </c>
      <c r="B4905" s="2">
        <v>4099544.53</v>
      </c>
    </row>
    <row r="4906" spans="1:6" ht="17.25" thickBot="1" x14ac:dyDescent="0.35"/>
    <row r="4907" spans="1:6" ht="33" customHeight="1" x14ac:dyDescent="0.3">
      <c r="A4907" s="24" t="s">
        <v>80</v>
      </c>
      <c r="B4907" s="26"/>
    </row>
    <row r="4908" spans="1:6" ht="33.75" thickBot="1" x14ac:dyDescent="0.35">
      <c r="A4908" s="13" t="s">
        <v>81</v>
      </c>
      <c r="B4908" s="2" t="s">
        <v>82</v>
      </c>
    </row>
    <row r="4909" spans="1:6" ht="25.5" x14ac:dyDescent="0.3">
      <c r="A4909" s="14" t="s">
        <v>83</v>
      </c>
      <c r="B4909" s="2" t="s">
        <v>84</v>
      </c>
    </row>
    <row r="4910" spans="1:6" ht="17.25" thickBot="1" x14ac:dyDescent="0.35"/>
    <row r="4911" spans="1:6" ht="16.5" customHeight="1" x14ac:dyDescent="0.3">
      <c r="A4911" s="24" t="s">
        <v>130</v>
      </c>
      <c r="B4911" s="26"/>
      <c r="C4911" s="26"/>
      <c r="D4911" s="26"/>
      <c r="E4911" s="26"/>
      <c r="F4911" s="26"/>
    </row>
    <row r="4912" spans="1:6" x14ac:dyDescent="0.3">
      <c r="A4912" s="25" t="s">
        <v>131</v>
      </c>
      <c r="B4912" s="27" t="s">
        <v>46</v>
      </c>
      <c r="C4912" s="27" t="s">
        <v>132</v>
      </c>
      <c r="D4912" s="3" t="s">
        <v>133</v>
      </c>
      <c r="E4912" s="27" t="s">
        <v>135</v>
      </c>
      <c r="F4912" s="27"/>
    </row>
    <row r="4913" spans="1:8" x14ac:dyDescent="0.3">
      <c r="A4913" s="25"/>
      <c r="B4913" s="27"/>
      <c r="C4913" s="27"/>
      <c r="D4913" s="3" t="s">
        <v>134</v>
      </c>
      <c r="E4913" s="27"/>
      <c r="F4913" s="27"/>
    </row>
    <row r="4914" spans="1:8" ht="17.25" thickBot="1" x14ac:dyDescent="0.35">
      <c r="A4914" s="13" t="s">
        <v>66</v>
      </c>
      <c r="B4914" s="2">
        <v>11084</v>
      </c>
      <c r="C4914" s="2">
        <v>8.5257629999999995</v>
      </c>
      <c r="D4914" s="2">
        <v>8.5120000000000005E-3</v>
      </c>
      <c r="E4914" s="2">
        <v>8.5090375999999992</v>
      </c>
      <c r="F4914" s="2">
        <v>8.5424892999999997</v>
      </c>
      <c r="H4914" s="8" t="str">
        <f t="shared" ref="H4914:H4917" si="204">TEXT(C4914,"0.00")&amp;" ("&amp;TEXT(E4914,"0.00")&amp;" to "&amp;TEXT(F4914,"0.00")&amp;")"</f>
        <v>8.53 (8.51 to 8.54)</v>
      </c>
    </row>
    <row r="4915" spans="1:8" ht="17.25" thickBot="1" x14ac:dyDescent="0.35">
      <c r="A4915" s="13" t="s">
        <v>67</v>
      </c>
      <c r="B4915" s="2">
        <v>11084</v>
      </c>
      <c r="C4915" s="2">
        <v>0.65720199999999995</v>
      </c>
      <c r="D4915" s="2">
        <v>1.232E-3</v>
      </c>
      <c r="E4915" s="2">
        <v>0.65478219999999998</v>
      </c>
      <c r="F4915" s="2">
        <v>0.65962229999999999</v>
      </c>
      <c r="H4915" s="8" t="str">
        <f t="shared" si="204"/>
        <v>0.66 (0.65 to 0.66)</v>
      </c>
    </row>
    <row r="4916" spans="1:8" ht="17.25" thickBot="1" x14ac:dyDescent="0.35">
      <c r="A4916" s="13" t="s">
        <v>68</v>
      </c>
      <c r="B4916" s="2">
        <v>11084</v>
      </c>
      <c r="C4916" s="2">
        <v>0.35629899999999998</v>
      </c>
      <c r="D4916" s="2">
        <v>3.9370000000000004E-3</v>
      </c>
      <c r="E4916" s="2">
        <v>0.34856330000000002</v>
      </c>
      <c r="F4916" s="2">
        <v>0.364035</v>
      </c>
      <c r="H4916" s="8" t="str">
        <f t="shared" si="204"/>
        <v>0.36 (0.35 to 0.36)</v>
      </c>
    </row>
    <row r="4917" spans="1:8" x14ac:dyDescent="0.3">
      <c r="A4917" s="14" t="s">
        <v>69</v>
      </c>
      <c r="B4917" s="2">
        <v>11084</v>
      </c>
      <c r="C4917" s="2">
        <v>35.324272000000001</v>
      </c>
      <c r="D4917" s="2">
        <v>8.6707999999999993E-2</v>
      </c>
      <c r="E4917" s="2">
        <v>35.153892399999997</v>
      </c>
      <c r="F4917" s="2">
        <v>35.494650700000001</v>
      </c>
      <c r="H4917" s="8" t="str">
        <f t="shared" si="204"/>
        <v>35.32 (35.15 to 35.49)</v>
      </c>
    </row>
    <row r="4921" spans="1:8" x14ac:dyDescent="0.3">
      <c r="A4921" s="1" t="s">
        <v>129</v>
      </c>
    </row>
    <row r="4923" spans="1:8" x14ac:dyDescent="0.3">
      <c r="A4923" s="1" t="s">
        <v>347</v>
      </c>
    </row>
    <row r="4924" spans="1:8" ht="17.25" thickBot="1" x14ac:dyDescent="0.35"/>
    <row r="4925" spans="1:8" ht="16.5" customHeight="1" x14ac:dyDescent="0.3">
      <c r="A4925" s="24" t="s">
        <v>75</v>
      </c>
      <c r="B4925" s="26"/>
    </row>
    <row r="4926" spans="1:8" ht="26.25" thickBot="1" x14ac:dyDescent="0.35">
      <c r="A4926" s="13" t="s">
        <v>76</v>
      </c>
      <c r="B4926" s="2">
        <v>25</v>
      </c>
    </row>
    <row r="4927" spans="1:8" ht="26.25" thickBot="1" x14ac:dyDescent="0.35">
      <c r="A4927" s="13" t="s">
        <v>77</v>
      </c>
      <c r="B4927" s="2">
        <v>385</v>
      </c>
    </row>
    <row r="4928" spans="1:8" ht="39" thickBot="1" x14ac:dyDescent="0.35">
      <c r="A4928" s="13" t="s">
        <v>78</v>
      </c>
      <c r="B4928" s="2">
        <v>831</v>
      </c>
    </row>
    <row r="4929" spans="1:8" ht="25.5" x14ac:dyDescent="0.3">
      <c r="A4929" s="14" t="s">
        <v>79</v>
      </c>
      <c r="B4929" s="2">
        <v>270624.18</v>
      </c>
    </row>
    <row r="4930" spans="1:8" ht="17.25" thickBot="1" x14ac:dyDescent="0.35"/>
    <row r="4931" spans="1:8" ht="33" customHeight="1" x14ac:dyDescent="0.3">
      <c r="A4931" s="24" t="s">
        <v>80</v>
      </c>
      <c r="B4931" s="26"/>
    </row>
    <row r="4932" spans="1:8" ht="33.75" thickBot="1" x14ac:dyDescent="0.35">
      <c r="A4932" s="13" t="s">
        <v>81</v>
      </c>
      <c r="B4932" s="2" t="s">
        <v>82</v>
      </c>
    </row>
    <row r="4933" spans="1:8" ht="25.5" x14ac:dyDescent="0.3">
      <c r="A4933" s="14" t="s">
        <v>83</v>
      </c>
      <c r="B4933" s="2" t="s">
        <v>84</v>
      </c>
    </row>
    <row r="4934" spans="1:8" ht="17.25" thickBot="1" x14ac:dyDescent="0.35"/>
    <row r="4935" spans="1:8" ht="16.5" customHeight="1" x14ac:dyDescent="0.3">
      <c r="A4935" s="24" t="s">
        <v>130</v>
      </c>
      <c r="B4935" s="26"/>
      <c r="C4935" s="26"/>
      <c r="D4935" s="26"/>
      <c r="E4935" s="26"/>
      <c r="F4935" s="26"/>
    </row>
    <row r="4936" spans="1:8" x14ac:dyDescent="0.3">
      <c r="A4936" s="25" t="s">
        <v>131</v>
      </c>
      <c r="B4936" s="27" t="s">
        <v>46</v>
      </c>
      <c r="C4936" s="27" t="s">
        <v>132</v>
      </c>
      <c r="D4936" s="3" t="s">
        <v>133</v>
      </c>
      <c r="E4936" s="27" t="s">
        <v>135</v>
      </c>
      <c r="F4936" s="27"/>
    </row>
    <row r="4937" spans="1:8" x14ac:dyDescent="0.3">
      <c r="A4937" s="25"/>
      <c r="B4937" s="27"/>
      <c r="C4937" s="27"/>
      <c r="D4937" s="3" t="s">
        <v>134</v>
      </c>
      <c r="E4937" s="27"/>
      <c r="F4937" s="27"/>
    </row>
    <row r="4938" spans="1:8" ht="17.25" thickBot="1" x14ac:dyDescent="0.35">
      <c r="A4938" s="13" t="s">
        <v>66</v>
      </c>
      <c r="B4938" s="2">
        <v>831</v>
      </c>
      <c r="C4938" s="2">
        <v>8.9980589999999996</v>
      </c>
      <c r="D4938" s="2">
        <v>2.792E-2</v>
      </c>
      <c r="E4938" s="2">
        <v>8.9431519999999995</v>
      </c>
      <c r="F4938" s="2">
        <v>9.0529658000000008</v>
      </c>
      <c r="H4938" s="8" t="str">
        <f t="shared" ref="H4938:H4941" si="205">TEXT(C4938,"0.00")&amp;" ("&amp;TEXT(E4938,"0.00")&amp;" to "&amp;TEXT(F4938,"0.00")&amp;")"</f>
        <v>9.00 (8.94 to 9.05)</v>
      </c>
    </row>
    <row r="4939" spans="1:8" ht="17.25" thickBot="1" x14ac:dyDescent="0.35">
      <c r="A4939" s="13" t="s">
        <v>67</v>
      </c>
      <c r="B4939" s="2">
        <v>831</v>
      </c>
      <c r="C4939" s="2">
        <v>0.70983799999999997</v>
      </c>
      <c r="D4939" s="2">
        <v>2.9009999999999999E-3</v>
      </c>
      <c r="E4939" s="2">
        <v>0.70413300000000001</v>
      </c>
      <c r="F4939" s="2">
        <v>0.71554320000000005</v>
      </c>
      <c r="H4939" s="8" t="str">
        <f t="shared" si="205"/>
        <v>0.71 (0.70 to 0.72)</v>
      </c>
    </row>
    <row r="4940" spans="1:8" ht="17.25" thickBot="1" x14ac:dyDescent="0.35">
      <c r="A4940" s="13" t="s">
        <v>68</v>
      </c>
      <c r="B4940" s="2">
        <v>831</v>
      </c>
      <c r="C4940" s="2">
        <v>0.54361700000000002</v>
      </c>
      <c r="D4940" s="2">
        <v>1.3546000000000001E-2</v>
      </c>
      <c r="E4940" s="2">
        <v>0.5169781</v>
      </c>
      <c r="F4940" s="2">
        <v>0.57025680000000001</v>
      </c>
      <c r="H4940" s="8" t="str">
        <f t="shared" si="205"/>
        <v>0.54 (0.52 to 0.57)</v>
      </c>
    </row>
    <row r="4941" spans="1:8" x14ac:dyDescent="0.3">
      <c r="A4941" s="14" t="s">
        <v>69</v>
      </c>
      <c r="B4941" s="2">
        <v>831</v>
      </c>
      <c r="C4941" s="2">
        <v>39.402906000000002</v>
      </c>
      <c r="D4941" s="2">
        <v>0.27733799999999997</v>
      </c>
      <c r="E4941" s="2">
        <v>38.857499199999999</v>
      </c>
      <c r="F4941" s="2">
        <v>39.948312299999998</v>
      </c>
      <c r="H4941" s="8" t="str">
        <f t="shared" si="205"/>
        <v>39.40 (38.86 to 39.95)</v>
      </c>
    </row>
    <row r="4945" spans="1:6" x14ac:dyDescent="0.3">
      <c r="A4945" s="1" t="s">
        <v>129</v>
      </c>
    </row>
    <row r="4947" spans="1:6" x14ac:dyDescent="0.3">
      <c r="A4947" s="1" t="s">
        <v>348</v>
      </c>
    </row>
    <row r="4948" spans="1:6" ht="17.25" thickBot="1" x14ac:dyDescent="0.35"/>
    <row r="4949" spans="1:6" ht="16.5" customHeight="1" x14ac:dyDescent="0.3">
      <c r="A4949" s="24" t="s">
        <v>75</v>
      </c>
      <c r="B4949" s="26"/>
    </row>
    <row r="4950" spans="1:6" ht="26.25" thickBot="1" x14ac:dyDescent="0.35">
      <c r="A4950" s="13" t="s">
        <v>76</v>
      </c>
      <c r="B4950" s="2">
        <v>25</v>
      </c>
    </row>
    <row r="4951" spans="1:6" ht="26.25" thickBot="1" x14ac:dyDescent="0.35">
      <c r="A4951" s="13" t="s">
        <v>77</v>
      </c>
      <c r="B4951" s="2">
        <v>576</v>
      </c>
    </row>
    <row r="4952" spans="1:6" ht="39" thickBot="1" x14ac:dyDescent="0.35">
      <c r="A4952" s="13" t="s">
        <v>78</v>
      </c>
      <c r="B4952" s="2">
        <v>11761</v>
      </c>
    </row>
    <row r="4953" spans="1:6" ht="25.5" x14ac:dyDescent="0.3">
      <c r="A4953" s="14" t="s">
        <v>79</v>
      </c>
      <c r="B4953" s="2">
        <v>5037124.13</v>
      </c>
    </row>
    <row r="4954" spans="1:6" ht="17.25" thickBot="1" x14ac:dyDescent="0.35"/>
    <row r="4955" spans="1:6" ht="33" customHeight="1" x14ac:dyDescent="0.3">
      <c r="A4955" s="24" t="s">
        <v>80</v>
      </c>
      <c r="B4955" s="26"/>
    </row>
    <row r="4956" spans="1:6" ht="33.75" thickBot="1" x14ac:dyDescent="0.35">
      <c r="A4956" s="13" t="s">
        <v>81</v>
      </c>
      <c r="B4956" s="2" t="s">
        <v>82</v>
      </c>
    </row>
    <row r="4957" spans="1:6" ht="25.5" x14ac:dyDescent="0.3">
      <c r="A4957" s="14" t="s">
        <v>83</v>
      </c>
      <c r="B4957" s="2" t="s">
        <v>84</v>
      </c>
    </row>
    <row r="4958" spans="1:6" ht="17.25" thickBot="1" x14ac:dyDescent="0.35"/>
    <row r="4959" spans="1:6" ht="16.5" customHeight="1" x14ac:dyDescent="0.3">
      <c r="A4959" s="24" t="s">
        <v>130</v>
      </c>
      <c r="B4959" s="26"/>
      <c r="C4959" s="26"/>
      <c r="D4959" s="26"/>
      <c r="E4959" s="26"/>
      <c r="F4959" s="26"/>
    </row>
    <row r="4960" spans="1:6" x14ac:dyDescent="0.3">
      <c r="A4960" s="25" t="s">
        <v>131</v>
      </c>
      <c r="B4960" s="27" t="s">
        <v>46</v>
      </c>
      <c r="C4960" s="27" t="s">
        <v>132</v>
      </c>
      <c r="D4960" s="3" t="s">
        <v>133</v>
      </c>
      <c r="E4960" s="27" t="s">
        <v>135</v>
      </c>
      <c r="F4960" s="27"/>
    </row>
    <row r="4961" spans="1:8" x14ac:dyDescent="0.3">
      <c r="A4961" s="25"/>
      <c r="B4961" s="27"/>
      <c r="C4961" s="27"/>
      <c r="D4961" s="3" t="s">
        <v>134</v>
      </c>
      <c r="E4961" s="27"/>
      <c r="F4961" s="27"/>
    </row>
    <row r="4962" spans="1:8" ht="17.25" thickBot="1" x14ac:dyDescent="0.35">
      <c r="A4962" s="13" t="s">
        <v>66</v>
      </c>
      <c r="B4962" s="2">
        <v>11761</v>
      </c>
      <c r="C4962" s="2">
        <v>8.5255179999999999</v>
      </c>
      <c r="D4962" s="2">
        <v>8.2430000000000003E-3</v>
      </c>
      <c r="E4962" s="2">
        <v>8.5093267000000008</v>
      </c>
      <c r="F4962" s="2">
        <v>8.5417093000000008</v>
      </c>
      <c r="H4962" s="8" t="str">
        <f t="shared" ref="H4962:H4965" si="206">TEXT(C4962,"0.00")&amp;" ("&amp;TEXT(E4962,"0.00")&amp;" to "&amp;TEXT(F4962,"0.00")&amp;")"</f>
        <v>8.53 (8.51 to 8.54)</v>
      </c>
    </row>
    <row r="4963" spans="1:8" ht="17.25" thickBot="1" x14ac:dyDescent="0.35">
      <c r="A4963" s="13" t="s">
        <v>67</v>
      </c>
      <c r="B4963" s="2">
        <v>11761</v>
      </c>
      <c r="C4963" s="2">
        <v>0.65325599999999995</v>
      </c>
      <c r="D4963" s="2">
        <v>1.008E-3</v>
      </c>
      <c r="E4963" s="2">
        <v>0.65127550000000001</v>
      </c>
      <c r="F4963" s="2">
        <v>0.65523640000000005</v>
      </c>
      <c r="H4963" s="8" t="str">
        <f t="shared" si="206"/>
        <v>0.65 (0.65 to 0.66)</v>
      </c>
    </row>
    <row r="4964" spans="1:8" ht="17.25" thickBot="1" x14ac:dyDescent="0.35">
      <c r="A4964" s="13" t="s">
        <v>68</v>
      </c>
      <c r="B4964" s="2">
        <v>11761</v>
      </c>
      <c r="C4964" s="2">
        <v>0.34393299999999999</v>
      </c>
      <c r="D4964" s="2">
        <v>3.8899999999999998E-3</v>
      </c>
      <c r="E4964" s="2">
        <v>0.33629120000000001</v>
      </c>
      <c r="F4964" s="2">
        <v>0.35157480000000002</v>
      </c>
      <c r="H4964" s="8" t="str">
        <f t="shared" si="206"/>
        <v>0.34 (0.34 to 0.35)</v>
      </c>
    </row>
    <row r="4965" spans="1:8" x14ac:dyDescent="0.3">
      <c r="A4965" s="14" t="s">
        <v>69</v>
      </c>
      <c r="B4965" s="2">
        <v>11761</v>
      </c>
      <c r="C4965" s="2">
        <v>35.224594000000003</v>
      </c>
      <c r="D4965" s="2">
        <v>9.3162999999999996E-2</v>
      </c>
      <c r="E4965" s="2">
        <v>35.041595399999999</v>
      </c>
      <c r="F4965" s="2">
        <v>35.407593200000001</v>
      </c>
      <c r="H4965" s="8" t="str">
        <f t="shared" si="206"/>
        <v>35.22 (35.04 to 35.41)</v>
      </c>
    </row>
    <row r="4969" spans="1:8" x14ac:dyDescent="0.3">
      <c r="A4969" s="1" t="s">
        <v>129</v>
      </c>
    </row>
    <row r="4971" spans="1:8" x14ac:dyDescent="0.3">
      <c r="A4971" s="1" t="s">
        <v>349</v>
      </c>
    </row>
    <row r="4972" spans="1:8" ht="17.25" thickBot="1" x14ac:dyDescent="0.35"/>
    <row r="4973" spans="1:8" ht="16.5" customHeight="1" x14ac:dyDescent="0.3">
      <c r="A4973" s="24" t="s">
        <v>75</v>
      </c>
      <c r="B4973" s="26"/>
    </row>
    <row r="4974" spans="1:8" ht="26.25" thickBot="1" x14ac:dyDescent="0.35">
      <c r="A4974" s="13" t="s">
        <v>76</v>
      </c>
      <c r="B4974" s="2">
        <v>25</v>
      </c>
    </row>
    <row r="4975" spans="1:8" ht="26.25" thickBot="1" x14ac:dyDescent="0.35">
      <c r="A4975" s="13" t="s">
        <v>77</v>
      </c>
      <c r="B4975" s="2">
        <v>493</v>
      </c>
    </row>
    <row r="4976" spans="1:8" ht="39" thickBot="1" x14ac:dyDescent="0.35">
      <c r="A4976" s="13" t="s">
        <v>78</v>
      </c>
      <c r="B4976" s="2">
        <v>1355</v>
      </c>
    </row>
    <row r="4977" spans="1:8" ht="25.5" x14ac:dyDescent="0.3">
      <c r="A4977" s="14" t="s">
        <v>79</v>
      </c>
      <c r="B4977" s="2">
        <v>423540.81400000001</v>
      </c>
    </row>
    <row r="4978" spans="1:8" ht="17.25" thickBot="1" x14ac:dyDescent="0.35"/>
    <row r="4979" spans="1:8" ht="33" customHeight="1" x14ac:dyDescent="0.3">
      <c r="A4979" s="24" t="s">
        <v>80</v>
      </c>
      <c r="B4979" s="26"/>
    </row>
    <row r="4980" spans="1:8" ht="33.75" thickBot="1" x14ac:dyDescent="0.35">
      <c r="A4980" s="13" t="s">
        <v>81</v>
      </c>
      <c r="B4980" s="2" t="s">
        <v>82</v>
      </c>
    </row>
    <row r="4981" spans="1:8" ht="25.5" x14ac:dyDescent="0.3">
      <c r="A4981" s="14" t="s">
        <v>83</v>
      </c>
      <c r="B4981" s="2" t="s">
        <v>84</v>
      </c>
    </row>
    <row r="4982" spans="1:8" ht="17.25" thickBot="1" x14ac:dyDescent="0.35"/>
    <row r="4983" spans="1:8" ht="16.5" customHeight="1" x14ac:dyDescent="0.3">
      <c r="A4983" s="24" t="s">
        <v>130</v>
      </c>
      <c r="B4983" s="26"/>
      <c r="C4983" s="26"/>
      <c r="D4983" s="26"/>
      <c r="E4983" s="26"/>
      <c r="F4983" s="26"/>
    </row>
    <row r="4984" spans="1:8" x14ac:dyDescent="0.3">
      <c r="A4984" s="25" t="s">
        <v>131</v>
      </c>
      <c r="B4984" s="27" t="s">
        <v>46</v>
      </c>
      <c r="C4984" s="27" t="s">
        <v>132</v>
      </c>
      <c r="D4984" s="3" t="s">
        <v>133</v>
      </c>
      <c r="E4984" s="27" t="s">
        <v>135</v>
      </c>
      <c r="F4984" s="27"/>
    </row>
    <row r="4985" spans="1:8" x14ac:dyDescent="0.3">
      <c r="A4985" s="25"/>
      <c r="B4985" s="27"/>
      <c r="C4985" s="27"/>
      <c r="D4985" s="3" t="s">
        <v>134</v>
      </c>
      <c r="E4985" s="27"/>
      <c r="F4985" s="27"/>
    </row>
    <row r="4986" spans="1:8" ht="17.25" thickBot="1" x14ac:dyDescent="0.35">
      <c r="A4986" s="13" t="s">
        <v>66</v>
      </c>
      <c r="B4986" s="2">
        <v>1355</v>
      </c>
      <c r="C4986" s="2">
        <v>8.9640900000000006</v>
      </c>
      <c r="D4986" s="2">
        <v>2.4098000000000001E-2</v>
      </c>
      <c r="E4986" s="2">
        <v>8.9167369999999995</v>
      </c>
      <c r="F4986" s="2">
        <v>9.0114436999999992</v>
      </c>
      <c r="H4986" s="8" t="str">
        <f t="shared" ref="H4986:H4989" si="207">TEXT(C4986,"0.00")&amp;" ("&amp;TEXT(E4986,"0.00")&amp;" to "&amp;TEXT(F4986,"0.00")&amp;")"</f>
        <v>8.96 (8.92 to 9.01)</v>
      </c>
    </row>
    <row r="4987" spans="1:8" ht="17.25" thickBot="1" x14ac:dyDescent="0.35">
      <c r="A4987" s="13" t="s">
        <v>67</v>
      </c>
      <c r="B4987" s="2">
        <v>1355</v>
      </c>
      <c r="C4987" s="2">
        <v>0.71006400000000003</v>
      </c>
      <c r="D4987" s="2">
        <v>2.493E-3</v>
      </c>
      <c r="E4987" s="2">
        <v>0.70516489999999998</v>
      </c>
      <c r="F4987" s="2">
        <v>0.7149624</v>
      </c>
      <c r="H4987" s="8" t="str">
        <f t="shared" si="207"/>
        <v>0.71 (0.71 to 0.71)</v>
      </c>
    </row>
    <row r="4988" spans="1:8" ht="17.25" thickBot="1" x14ac:dyDescent="0.35">
      <c r="A4988" s="13" t="s">
        <v>68</v>
      </c>
      <c r="B4988" s="2">
        <v>1355</v>
      </c>
      <c r="C4988" s="2">
        <v>0.50896399999999997</v>
      </c>
      <c r="D4988" s="2">
        <v>1.0881E-2</v>
      </c>
      <c r="E4988" s="2">
        <v>0.48758299999999999</v>
      </c>
      <c r="F4988" s="2">
        <v>0.53034479999999995</v>
      </c>
      <c r="H4988" s="8" t="str">
        <f t="shared" si="207"/>
        <v>0.51 (0.49 to 0.53)</v>
      </c>
    </row>
    <row r="4989" spans="1:8" x14ac:dyDescent="0.3">
      <c r="A4989" s="14" t="s">
        <v>69</v>
      </c>
      <c r="B4989" s="2">
        <v>1355</v>
      </c>
      <c r="C4989" s="2">
        <v>39.392170999999998</v>
      </c>
      <c r="D4989" s="2">
        <v>0.22989899999999999</v>
      </c>
      <c r="E4989" s="2">
        <v>38.9404088</v>
      </c>
      <c r="F4989" s="2">
        <v>39.843933700000001</v>
      </c>
      <c r="H4989" s="8" t="str">
        <f t="shared" si="207"/>
        <v>39.39 (38.94 to 39.84)</v>
      </c>
    </row>
    <row r="4993" spans="1:6" x14ac:dyDescent="0.3">
      <c r="A4993" s="1" t="s">
        <v>129</v>
      </c>
    </row>
    <row r="4995" spans="1:6" x14ac:dyDescent="0.3">
      <c r="A4995" s="1" t="s">
        <v>350</v>
      </c>
    </row>
    <row r="4996" spans="1:6" ht="17.25" thickBot="1" x14ac:dyDescent="0.35"/>
    <row r="4997" spans="1:6" ht="16.5" customHeight="1" x14ac:dyDescent="0.3">
      <c r="A4997" s="24" t="s">
        <v>75</v>
      </c>
      <c r="B4997" s="26"/>
    </row>
    <row r="4998" spans="1:6" ht="26.25" thickBot="1" x14ac:dyDescent="0.35">
      <c r="A4998" s="13" t="s">
        <v>76</v>
      </c>
      <c r="B4998" s="2">
        <v>25</v>
      </c>
    </row>
    <row r="4999" spans="1:6" ht="26.25" thickBot="1" x14ac:dyDescent="0.35">
      <c r="A4999" s="13" t="s">
        <v>77</v>
      </c>
      <c r="B4999" s="2">
        <v>576</v>
      </c>
    </row>
    <row r="5000" spans="1:6" ht="39" thickBot="1" x14ac:dyDescent="0.35">
      <c r="A5000" s="13" t="s">
        <v>78</v>
      </c>
      <c r="B5000" s="2">
        <v>9888</v>
      </c>
    </row>
    <row r="5001" spans="1:6" ht="25.5" x14ac:dyDescent="0.3">
      <c r="A5001" s="14" t="s">
        <v>79</v>
      </c>
      <c r="B5001" s="2">
        <v>4813605.68</v>
      </c>
    </row>
    <row r="5002" spans="1:6" ht="17.25" thickBot="1" x14ac:dyDescent="0.35"/>
    <row r="5003" spans="1:6" ht="33" customHeight="1" x14ac:dyDescent="0.3">
      <c r="A5003" s="24" t="s">
        <v>80</v>
      </c>
      <c r="B5003" s="26"/>
    </row>
    <row r="5004" spans="1:6" ht="33.75" thickBot="1" x14ac:dyDescent="0.35">
      <c r="A5004" s="13" t="s">
        <v>81</v>
      </c>
      <c r="B5004" s="2" t="s">
        <v>82</v>
      </c>
    </row>
    <row r="5005" spans="1:6" ht="25.5" x14ac:dyDescent="0.3">
      <c r="A5005" s="14" t="s">
        <v>83</v>
      </c>
      <c r="B5005" s="2" t="s">
        <v>84</v>
      </c>
    </row>
    <row r="5006" spans="1:6" ht="17.25" thickBot="1" x14ac:dyDescent="0.35"/>
    <row r="5007" spans="1:6" ht="16.5" customHeight="1" x14ac:dyDescent="0.3">
      <c r="A5007" s="24" t="s">
        <v>130</v>
      </c>
      <c r="B5007" s="26"/>
      <c r="C5007" s="26"/>
      <c r="D5007" s="26"/>
      <c r="E5007" s="26"/>
      <c r="F5007" s="26"/>
    </row>
    <row r="5008" spans="1:6" x14ac:dyDescent="0.3">
      <c r="A5008" s="25" t="s">
        <v>131</v>
      </c>
      <c r="B5008" s="27" t="s">
        <v>46</v>
      </c>
      <c r="C5008" s="27" t="s">
        <v>132</v>
      </c>
      <c r="D5008" s="3" t="s">
        <v>133</v>
      </c>
      <c r="E5008" s="27" t="s">
        <v>135</v>
      </c>
      <c r="F5008" s="27"/>
    </row>
    <row r="5009" spans="1:8" x14ac:dyDescent="0.3">
      <c r="A5009" s="25"/>
      <c r="B5009" s="27"/>
      <c r="C5009" s="27"/>
      <c r="D5009" s="3" t="s">
        <v>134</v>
      </c>
      <c r="E5009" s="27"/>
      <c r="F5009" s="27"/>
    </row>
    <row r="5010" spans="1:8" ht="17.25" thickBot="1" x14ac:dyDescent="0.35">
      <c r="A5010" s="13" t="s">
        <v>66</v>
      </c>
      <c r="B5010" s="2">
        <v>9888</v>
      </c>
      <c r="C5010" s="2">
        <v>8.5479149999999997</v>
      </c>
      <c r="D5010" s="2">
        <v>8.6719999999999992E-3</v>
      </c>
      <c r="E5010" s="2">
        <v>8.5308800999999992</v>
      </c>
      <c r="F5010" s="2">
        <v>8.5649498000000008</v>
      </c>
      <c r="H5010" s="8" t="str">
        <f t="shared" ref="H5010:H5013" si="208">TEXT(C5010,"0.00")&amp;" ("&amp;TEXT(E5010,"0.00")&amp;" to "&amp;TEXT(F5010,"0.00")&amp;")"</f>
        <v>8.55 (8.53 to 8.56)</v>
      </c>
    </row>
    <row r="5011" spans="1:8" ht="17.25" thickBot="1" x14ac:dyDescent="0.35">
      <c r="A5011" s="13" t="s">
        <v>67</v>
      </c>
      <c r="B5011" s="2">
        <v>9888</v>
      </c>
      <c r="C5011" s="2">
        <v>0.65356000000000003</v>
      </c>
      <c r="D5011" s="2">
        <v>1.0690000000000001E-3</v>
      </c>
      <c r="E5011" s="2">
        <v>0.65145929999999996</v>
      </c>
      <c r="F5011" s="2">
        <v>0.65566040000000003</v>
      </c>
      <c r="H5011" s="8" t="str">
        <f t="shared" si="208"/>
        <v>0.65 (0.65 to 0.66)</v>
      </c>
    </row>
    <row r="5012" spans="1:8" ht="17.25" thickBot="1" x14ac:dyDescent="0.35">
      <c r="A5012" s="13" t="s">
        <v>68</v>
      </c>
      <c r="B5012" s="2">
        <v>9888</v>
      </c>
      <c r="C5012" s="2">
        <v>0.33291199999999999</v>
      </c>
      <c r="D5012" s="2">
        <v>4.104E-3</v>
      </c>
      <c r="E5012" s="2">
        <v>0.3248509</v>
      </c>
      <c r="F5012" s="2">
        <v>0.34097270000000002</v>
      </c>
      <c r="H5012" s="8" t="str">
        <f t="shared" si="208"/>
        <v>0.33 (0.32 to 0.34)</v>
      </c>
    </row>
    <row r="5013" spans="1:8" x14ac:dyDescent="0.3">
      <c r="A5013" s="14" t="s">
        <v>69</v>
      </c>
      <c r="B5013" s="2">
        <v>9888</v>
      </c>
      <c r="C5013" s="2">
        <v>35.013123999999998</v>
      </c>
      <c r="D5013" s="2">
        <v>8.9151999999999995E-2</v>
      </c>
      <c r="E5013" s="2">
        <v>34.838003499999999</v>
      </c>
      <c r="F5013" s="2">
        <v>35.1882436</v>
      </c>
      <c r="H5013" s="8" t="str">
        <f t="shared" si="208"/>
        <v>35.01 (34.84 to 35.19)</v>
      </c>
    </row>
    <row r="5017" spans="1:8" x14ac:dyDescent="0.3">
      <c r="A5017" s="1" t="s">
        <v>129</v>
      </c>
    </row>
    <row r="5019" spans="1:8" x14ac:dyDescent="0.3">
      <c r="A5019" s="1" t="s">
        <v>351</v>
      </c>
    </row>
    <row r="5020" spans="1:8" ht="17.25" thickBot="1" x14ac:dyDescent="0.35"/>
    <row r="5021" spans="1:8" ht="16.5" customHeight="1" x14ac:dyDescent="0.3">
      <c r="A5021" s="24" t="s">
        <v>75</v>
      </c>
      <c r="B5021" s="26"/>
    </row>
    <row r="5022" spans="1:8" ht="26.25" thickBot="1" x14ac:dyDescent="0.35">
      <c r="A5022" s="13" t="s">
        <v>76</v>
      </c>
      <c r="B5022" s="2">
        <v>25</v>
      </c>
    </row>
    <row r="5023" spans="1:8" ht="26.25" thickBot="1" x14ac:dyDescent="0.35">
      <c r="A5023" s="13" t="s">
        <v>77</v>
      </c>
      <c r="B5023" s="2">
        <v>524</v>
      </c>
    </row>
    <row r="5024" spans="1:8" ht="39" thickBot="1" x14ac:dyDescent="0.35">
      <c r="A5024" s="13" t="s">
        <v>78</v>
      </c>
      <c r="B5024" s="2">
        <v>1587</v>
      </c>
    </row>
    <row r="5025" spans="1:8" ht="25.5" x14ac:dyDescent="0.3">
      <c r="A5025" s="14" t="s">
        <v>79</v>
      </c>
      <c r="B5025" s="2">
        <v>580923.34600000002</v>
      </c>
    </row>
    <row r="5026" spans="1:8" ht="17.25" thickBot="1" x14ac:dyDescent="0.35"/>
    <row r="5027" spans="1:8" ht="33" customHeight="1" x14ac:dyDescent="0.3">
      <c r="A5027" s="24" t="s">
        <v>80</v>
      </c>
      <c r="B5027" s="26"/>
    </row>
    <row r="5028" spans="1:8" ht="33.75" thickBot="1" x14ac:dyDescent="0.35">
      <c r="A5028" s="13" t="s">
        <v>81</v>
      </c>
      <c r="B5028" s="2" t="s">
        <v>82</v>
      </c>
    </row>
    <row r="5029" spans="1:8" ht="25.5" x14ac:dyDescent="0.3">
      <c r="A5029" s="14" t="s">
        <v>83</v>
      </c>
      <c r="B5029" s="2" t="s">
        <v>84</v>
      </c>
    </row>
    <row r="5030" spans="1:8" ht="17.25" thickBot="1" x14ac:dyDescent="0.35"/>
    <row r="5031" spans="1:8" ht="16.5" customHeight="1" x14ac:dyDescent="0.3">
      <c r="A5031" s="24" t="s">
        <v>130</v>
      </c>
      <c r="B5031" s="26"/>
      <c r="C5031" s="26"/>
      <c r="D5031" s="26"/>
      <c r="E5031" s="26"/>
      <c r="F5031" s="26"/>
    </row>
    <row r="5032" spans="1:8" x14ac:dyDescent="0.3">
      <c r="A5032" s="25" t="s">
        <v>131</v>
      </c>
      <c r="B5032" s="27" t="s">
        <v>46</v>
      </c>
      <c r="C5032" s="27" t="s">
        <v>132</v>
      </c>
      <c r="D5032" s="3" t="s">
        <v>133</v>
      </c>
      <c r="E5032" s="27" t="s">
        <v>135</v>
      </c>
      <c r="F5032" s="27"/>
    </row>
    <row r="5033" spans="1:8" x14ac:dyDescent="0.3">
      <c r="A5033" s="25"/>
      <c r="B5033" s="27"/>
      <c r="C5033" s="27"/>
      <c r="D5033" s="3" t="s">
        <v>134</v>
      </c>
      <c r="E5033" s="27"/>
      <c r="F5033" s="27"/>
    </row>
    <row r="5034" spans="1:8" ht="17.25" thickBot="1" x14ac:dyDescent="0.35">
      <c r="A5034" s="13" t="s">
        <v>66</v>
      </c>
      <c r="B5034" s="2">
        <v>1587</v>
      </c>
      <c r="C5034" s="2">
        <v>8.9299219999999995</v>
      </c>
      <c r="D5034" s="2">
        <v>2.0197E-2</v>
      </c>
      <c r="E5034" s="2">
        <v>8.8902394999999999</v>
      </c>
      <c r="F5034" s="2">
        <v>8.9696040999999997</v>
      </c>
      <c r="H5034" s="8" t="str">
        <f t="shared" ref="H5034:H5037" si="209">TEXT(C5034,"0.00")&amp;" ("&amp;TEXT(E5034,"0.00")&amp;" to "&amp;TEXT(F5034,"0.00")&amp;")"</f>
        <v>8.93 (8.89 to 8.97)</v>
      </c>
    </row>
    <row r="5035" spans="1:8" ht="17.25" thickBot="1" x14ac:dyDescent="0.35">
      <c r="A5035" s="13" t="s">
        <v>67</v>
      </c>
      <c r="B5035" s="2">
        <v>1587</v>
      </c>
      <c r="C5035" s="2">
        <v>0.70353399999999999</v>
      </c>
      <c r="D5035" s="2">
        <v>2.14E-3</v>
      </c>
      <c r="E5035" s="2">
        <v>0.69933049999999997</v>
      </c>
      <c r="F5035" s="2">
        <v>0.70773770000000003</v>
      </c>
      <c r="H5035" s="8" t="str">
        <f t="shared" si="209"/>
        <v>0.70 (0.70 to 0.71)</v>
      </c>
    </row>
    <row r="5036" spans="1:8" ht="17.25" thickBot="1" x14ac:dyDescent="0.35">
      <c r="A5036" s="13" t="s">
        <v>68</v>
      </c>
      <c r="B5036" s="2">
        <v>1587</v>
      </c>
      <c r="C5036" s="2">
        <v>0.476827</v>
      </c>
      <c r="D5036" s="2">
        <v>9.5610000000000001E-3</v>
      </c>
      <c r="E5036" s="2">
        <v>0.45804149999999999</v>
      </c>
      <c r="F5036" s="2">
        <v>0.49561169999999999</v>
      </c>
      <c r="H5036" s="8" t="str">
        <f t="shared" si="209"/>
        <v>0.48 (0.46 to 0.50)</v>
      </c>
    </row>
    <row r="5037" spans="1:8" x14ac:dyDescent="0.3">
      <c r="A5037" s="14" t="s">
        <v>69</v>
      </c>
      <c r="B5037" s="2">
        <v>1587</v>
      </c>
      <c r="C5037" s="2">
        <v>38.508468000000001</v>
      </c>
      <c r="D5037" s="2">
        <v>0.23625499999999999</v>
      </c>
      <c r="E5037" s="2">
        <v>38.0442903</v>
      </c>
      <c r="F5037" s="2">
        <v>38.972645399999998</v>
      </c>
      <c r="H5037" s="8" t="str">
        <f t="shared" si="209"/>
        <v>38.51 (38.04 to 38.97)</v>
      </c>
    </row>
    <row r="5041" spans="1:6" x14ac:dyDescent="0.3">
      <c r="A5041" s="1" t="s">
        <v>129</v>
      </c>
    </row>
    <row r="5043" spans="1:6" x14ac:dyDescent="0.3">
      <c r="A5043" s="1" t="s">
        <v>352</v>
      </c>
    </row>
    <row r="5044" spans="1:6" ht="17.25" thickBot="1" x14ac:dyDescent="0.35"/>
    <row r="5045" spans="1:6" ht="16.5" customHeight="1" x14ac:dyDescent="0.3">
      <c r="A5045" s="24" t="s">
        <v>75</v>
      </c>
      <c r="B5045" s="26"/>
    </row>
    <row r="5046" spans="1:6" ht="26.25" thickBot="1" x14ac:dyDescent="0.35">
      <c r="A5046" s="13" t="s">
        <v>76</v>
      </c>
      <c r="B5046" s="2">
        <v>54</v>
      </c>
    </row>
    <row r="5047" spans="1:6" ht="26.25" thickBot="1" x14ac:dyDescent="0.35">
      <c r="A5047" s="13" t="s">
        <v>77</v>
      </c>
      <c r="B5047" s="2">
        <v>576</v>
      </c>
    </row>
    <row r="5048" spans="1:6" ht="39" thickBot="1" x14ac:dyDescent="0.35">
      <c r="A5048" s="13" t="s">
        <v>78</v>
      </c>
      <c r="B5048" s="2">
        <v>11727</v>
      </c>
    </row>
    <row r="5049" spans="1:6" ht="25.5" x14ac:dyDescent="0.3">
      <c r="A5049" s="14" t="s">
        <v>79</v>
      </c>
      <c r="B5049" s="2">
        <v>5416031.6100000003</v>
      </c>
    </row>
    <row r="5050" spans="1:6" ht="17.25" thickBot="1" x14ac:dyDescent="0.35"/>
    <row r="5051" spans="1:6" ht="33" customHeight="1" x14ac:dyDescent="0.3">
      <c r="A5051" s="24" t="s">
        <v>80</v>
      </c>
      <c r="B5051" s="26"/>
    </row>
    <row r="5052" spans="1:6" ht="33.75" thickBot="1" x14ac:dyDescent="0.35">
      <c r="A5052" s="13" t="s">
        <v>81</v>
      </c>
      <c r="B5052" s="2" t="s">
        <v>82</v>
      </c>
    </row>
    <row r="5053" spans="1:6" ht="25.5" x14ac:dyDescent="0.3">
      <c r="A5053" s="14" t="s">
        <v>83</v>
      </c>
      <c r="B5053" s="2" t="s">
        <v>84</v>
      </c>
    </row>
    <row r="5054" spans="1:6" ht="17.25" thickBot="1" x14ac:dyDescent="0.35"/>
    <row r="5055" spans="1:6" ht="16.5" customHeight="1" x14ac:dyDescent="0.3">
      <c r="A5055" s="24" t="s">
        <v>130</v>
      </c>
      <c r="B5055" s="26"/>
      <c r="C5055" s="26"/>
      <c r="D5055" s="26"/>
      <c r="E5055" s="26"/>
      <c r="F5055" s="26"/>
    </row>
    <row r="5056" spans="1:6" x14ac:dyDescent="0.3">
      <c r="A5056" s="25" t="s">
        <v>131</v>
      </c>
      <c r="B5056" s="27" t="s">
        <v>46</v>
      </c>
      <c r="C5056" s="27" t="s">
        <v>132</v>
      </c>
      <c r="D5056" s="3" t="s">
        <v>133</v>
      </c>
      <c r="E5056" s="27" t="s">
        <v>135</v>
      </c>
      <c r="F5056" s="27"/>
    </row>
    <row r="5057" spans="1:8" x14ac:dyDescent="0.3">
      <c r="A5057" s="25"/>
      <c r="B5057" s="27"/>
      <c r="C5057" s="27"/>
      <c r="D5057" s="3" t="s">
        <v>134</v>
      </c>
      <c r="E5057" s="27"/>
      <c r="F5057" s="27"/>
    </row>
    <row r="5058" spans="1:8" ht="17.25" thickBot="1" x14ac:dyDescent="0.35">
      <c r="A5058" s="13" t="s">
        <v>66</v>
      </c>
      <c r="B5058" s="2">
        <v>11727</v>
      </c>
      <c r="C5058" s="2">
        <v>8.5593419999999991</v>
      </c>
      <c r="D5058" s="2">
        <v>8.0409999999999995E-3</v>
      </c>
      <c r="E5058" s="2">
        <v>8.5435444</v>
      </c>
      <c r="F5058" s="2">
        <v>8.5751396999999994</v>
      </c>
      <c r="H5058" s="8" t="str">
        <f t="shared" ref="H5058:H5061" si="210">TEXT(C5058,"0.00")&amp;" ("&amp;TEXT(E5058,"0.00")&amp;" to "&amp;TEXT(F5058,"0.00")&amp;")"</f>
        <v>8.56 (8.54 to 8.58)</v>
      </c>
    </row>
    <row r="5059" spans="1:8" ht="17.25" thickBot="1" x14ac:dyDescent="0.35">
      <c r="A5059" s="13" t="s">
        <v>67</v>
      </c>
      <c r="B5059" s="2">
        <v>11727</v>
      </c>
      <c r="C5059" s="2">
        <v>0.65731300000000004</v>
      </c>
      <c r="D5059" s="2">
        <v>9.9099999999999991E-4</v>
      </c>
      <c r="E5059" s="2">
        <v>0.6553658</v>
      </c>
      <c r="F5059" s="2">
        <v>0.6592597</v>
      </c>
      <c r="H5059" s="8" t="str">
        <f t="shared" si="210"/>
        <v>0.66 (0.66 to 0.66)</v>
      </c>
    </row>
    <row r="5060" spans="1:8" ht="17.25" thickBot="1" x14ac:dyDescent="0.35">
      <c r="A5060" s="13" t="s">
        <v>68</v>
      </c>
      <c r="B5060" s="2">
        <v>11727</v>
      </c>
      <c r="C5060" s="2">
        <v>0.33453500000000003</v>
      </c>
      <c r="D5060" s="2">
        <v>3.9760000000000004E-3</v>
      </c>
      <c r="E5060" s="2">
        <v>0.32672400000000001</v>
      </c>
      <c r="F5060" s="2">
        <v>0.34234589999999998</v>
      </c>
      <c r="H5060" s="8" t="str">
        <f t="shared" si="210"/>
        <v>0.33 (0.33 to 0.34)</v>
      </c>
    </row>
    <row r="5061" spans="1:8" x14ac:dyDescent="0.3">
      <c r="A5061" s="14" t="s">
        <v>69</v>
      </c>
      <c r="B5061" s="2">
        <v>11727</v>
      </c>
      <c r="C5061" s="2">
        <v>35.230476000000003</v>
      </c>
      <c r="D5061" s="2">
        <v>8.9291999999999996E-2</v>
      </c>
      <c r="E5061" s="2">
        <v>35.055060599999997</v>
      </c>
      <c r="F5061" s="2">
        <v>35.4058919</v>
      </c>
      <c r="H5061" s="8" t="str">
        <f t="shared" si="210"/>
        <v>35.23 (35.06 to 35.41)</v>
      </c>
    </row>
    <row r="5065" spans="1:8" x14ac:dyDescent="0.3">
      <c r="A5065" s="1" t="s">
        <v>129</v>
      </c>
    </row>
    <row r="5067" spans="1:8" x14ac:dyDescent="0.3">
      <c r="A5067" s="1" t="s">
        <v>353</v>
      </c>
    </row>
    <row r="5068" spans="1:8" ht="17.25" thickBot="1" x14ac:dyDescent="0.35"/>
    <row r="5069" spans="1:8" ht="16.5" customHeight="1" x14ac:dyDescent="0.3">
      <c r="A5069" s="24" t="s">
        <v>75</v>
      </c>
      <c r="B5069" s="26"/>
    </row>
    <row r="5070" spans="1:8" ht="26.25" thickBot="1" x14ac:dyDescent="0.35">
      <c r="A5070" s="13" t="s">
        <v>76</v>
      </c>
      <c r="B5070" s="2">
        <v>54</v>
      </c>
    </row>
    <row r="5071" spans="1:8" ht="26.25" thickBot="1" x14ac:dyDescent="0.35">
      <c r="A5071" s="13" t="s">
        <v>77</v>
      </c>
      <c r="B5071" s="2">
        <v>551</v>
      </c>
    </row>
    <row r="5072" spans="1:8" ht="39" thickBot="1" x14ac:dyDescent="0.35">
      <c r="A5072" s="13" t="s">
        <v>78</v>
      </c>
      <c r="B5072" s="2">
        <v>2431</v>
      </c>
    </row>
    <row r="5073" spans="1:8" ht="25.5" x14ac:dyDescent="0.3">
      <c r="A5073" s="14" t="s">
        <v>79</v>
      </c>
      <c r="B5073" s="2">
        <v>904928.89899999998</v>
      </c>
    </row>
    <row r="5074" spans="1:8" ht="17.25" thickBot="1" x14ac:dyDescent="0.35"/>
    <row r="5075" spans="1:8" ht="33" customHeight="1" x14ac:dyDescent="0.3">
      <c r="A5075" s="24" t="s">
        <v>80</v>
      </c>
      <c r="B5075" s="26"/>
    </row>
    <row r="5076" spans="1:8" ht="33.75" thickBot="1" x14ac:dyDescent="0.35">
      <c r="A5076" s="13" t="s">
        <v>81</v>
      </c>
      <c r="B5076" s="2" t="s">
        <v>82</v>
      </c>
    </row>
    <row r="5077" spans="1:8" ht="25.5" x14ac:dyDescent="0.3">
      <c r="A5077" s="14" t="s">
        <v>83</v>
      </c>
      <c r="B5077" s="2" t="s">
        <v>84</v>
      </c>
    </row>
    <row r="5078" spans="1:8" ht="17.25" thickBot="1" x14ac:dyDescent="0.35"/>
    <row r="5079" spans="1:8" ht="16.5" customHeight="1" x14ac:dyDescent="0.3">
      <c r="A5079" s="24" t="s">
        <v>130</v>
      </c>
      <c r="B5079" s="26"/>
      <c r="C5079" s="26"/>
      <c r="D5079" s="26"/>
      <c r="E5079" s="26"/>
      <c r="F5079" s="26"/>
    </row>
    <row r="5080" spans="1:8" x14ac:dyDescent="0.3">
      <c r="A5080" s="25" t="s">
        <v>131</v>
      </c>
      <c r="B5080" s="27" t="s">
        <v>46</v>
      </c>
      <c r="C5080" s="27" t="s">
        <v>132</v>
      </c>
      <c r="D5080" s="3" t="s">
        <v>133</v>
      </c>
      <c r="E5080" s="27" t="s">
        <v>135</v>
      </c>
      <c r="F5080" s="27"/>
    </row>
    <row r="5081" spans="1:8" x14ac:dyDescent="0.3">
      <c r="A5081" s="25"/>
      <c r="B5081" s="27"/>
      <c r="C5081" s="27"/>
      <c r="D5081" s="3" t="s">
        <v>134</v>
      </c>
      <c r="E5081" s="27"/>
      <c r="F5081" s="27"/>
    </row>
    <row r="5082" spans="1:8" ht="17.25" thickBot="1" x14ac:dyDescent="0.35">
      <c r="A5082" s="13" t="s">
        <v>66</v>
      </c>
      <c r="B5082" s="2">
        <v>2431</v>
      </c>
      <c r="C5082" s="2">
        <v>8.9110560000000003</v>
      </c>
      <c r="D5082" s="2">
        <v>1.7514999999999999E-2</v>
      </c>
      <c r="E5082" s="2">
        <v>8.8766438999999995</v>
      </c>
      <c r="F5082" s="2">
        <v>8.9454682000000005</v>
      </c>
      <c r="H5082" s="8" t="str">
        <f t="shared" ref="H5082:H5085" si="211">TEXT(C5082,"0.00")&amp;" ("&amp;TEXT(E5082,"0.00")&amp;" to "&amp;TEXT(F5082,"0.00")&amp;")"</f>
        <v>8.91 (8.88 to 8.95)</v>
      </c>
    </row>
    <row r="5083" spans="1:8" ht="17.25" thickBot="1" x14ac:dyDescent="0.35">
      <c r="A5083" s="13" t="s">
        <v>67</v>
      </c>
      <c r="B5083" s="2">
        <v>2431</v>
      </c>
      <c r="C5083" s="2">
        <v>0.70783300000000005</v>
      </c>
      <c r="D5083" s="2">
        <v>1.9620000000000002E-3</v>
      </c>
      <c r="E5083" s="2">
        <v>0.70397849999999995</v>
      </c>
      <c r="F5083" s="2">
        <v>0.7116884</v>
      </c>
      <c r="H5083" s="8" t="str">
        <f t="shared" si="211"/>
        <v>0.71 (0.70 to 0.71)</v>
      </c>
    </row>
    <row r="5084" spans="1:8" ht="17.25" thickBot="1" x14ac:dyDescent="0.35">
      <c r="A5084" s="13" t="s">
        <v>68</v>
      </c>
      <c r="B5084" s="2">
        <v>2431</v>
      </c>
      <c r="C5084" s="2">
        <v>0.46332299999999998</v>
      </c>
      <c r="D5084" s="2">
        <v>8.1709999999999994E-3</v>
      </c>
      <c r="E5084" s="2">
        <v>0.4472698</v>
      </c>
      <c r="F5084" s="2">
        <v>0.479377</v>
      </c>
      <c r="H5084" s="8" t="str">
        <f t="shared" si="211"/>
        <v>0.46 (0.45 to 0.48)</v>
      </c>
    </row>
    <row r="5085" spans="1:8" x14ac:dyDescent="0.3">
      <c r="A5085" s="14" t="s">
        <v>69</v>
      </c>
      <c r="B5085" s="2">
        <v>2431</v>
      </c>
      <c r="C5085" s="2">
        <v>38.790672000000001</v>
      </c>
      <c r="D5085" s="2">
        <v>0.18024000000000001</v>
      </c>
      <c r="E5085" s="2">
        <v>38.436545299999999</v>
      </c>
      <c r="F5085" s="2">
        <v>39.144799599999999</v>
      </c>
      <c r="H5085" s="8" t="str">
        <f t="shared" si="211"/>
        <v>38.79 (38.44 to 39.14)</v>
      </c>
    </row>
    <row r="5089" spans="1:6" x14ac:dyDescent="0.3">
      <c r="A5089" s="1" t="s">
        <v>129</v>
      </c>
    </row>
    <row r="5091" spans="1:6" x14ac:dyDescent="0.3">
      <c r="A5091" s="1" t="s">
        <v>354</v>
      </c>
    </row>
    <row r="5092" spans="1:6" ht="17.25" thickBot="1" x14ac:dyDescent="0.35"/>
    <row r="5093" spans="1:6" ht="16.5" customHeight="1" x14ac:dyDescent="0.3">
      <c r="A5093" s="24" t="s">
        <v>75</v>
      </c>
      <c r="B5093" s="26"/>
    </row>
    <row r="5094" spans="1:6" ht="26.25" thickBot="1" x14ac:dyDescent="0.35">
      <c r="A5094" s="13" t="s">
        <v>76</v>
      </c>
      <c r="B5094" s="2">
        <v>27</v>
      </c>
    </row>
    <row r="5095" spans="1:6" ht="26.25" thickBot="1" x14ac:dyDescent="0.35">
      <c r="A5095" s="13" t="s">
        <v>77</v>
      </c>
      <c r="B5095" s="2">
        <v>564</v>
      </c>
    </row>
    <row r="5096" spans="1:6" ht="39" thickBot="1" x14ac:dyDescent="0.35">
      <c r="A5096" s="13" t="s">
        <v>78</v>
      </c>
      <c r="B5096" s="2">
        <v>10784</v>
      </c>
    </row>
    <row r="5097" spans="1:6" ht="25.5" x14ac:dyDescent="0.3">
      <c r="A5097" s="14" t="s">
        <v>79</v>
      </c>
      <c r="B5097" s="2">
        <v>5430294.04</v>
      </c>
    </row>
    <row r="5098" spans="1:6" ht="17.25" thickBot="1" x14ac:dyDescent="0.35"/>
    <row r="5099" spans="1:6" ht="33" customHeight="1" x14ac:dyDescent="0.3">
      <c r="A5099" s="24" t="s">
        <v>80</v>
      </c>
      <c r="B5099" s="26"/>
    </row>
    <row r="5100" spans="1:6" ht="33.75" thickBot="1" x14ac:dyDescent="0.35">
      <c r="A5100" s="13" t="s">
        <v>81</v>
      </c>
      <c r="B5100" s="2" t="s">
        <v>82</v>
      </c>
    </row>
    <row r="5101" spans="1:6" ht="25.5" x14ac:dyDescent="0.3">
      <c r="A5101" s="14" t="s">
        <v>83</v>
      </c>
      <c r="B5101" s="2" t="s">
        <v>84</v>
      </c>
    </row>
    <row r="5102" spans="1:6" ht="17.25" thickBot="1" x14ac:dyDescent="0.35"/>
    <row r="5103" spans="1:6" ht="16.5" customHeight="1" x14ac:dyDescent="0.3">
      <c r="A5103" s="24" t="s">
        <v>130</v>
      </c>
      <c r="B5103" s="26"/>
      <c r="C5103" s="26"/>
      <c r="D5103" s="26"/>
      <c r="E5103" s="26"/>
      <c r="F5103" s="26"/>
    </row>
    <row r="5104" spans="1:6" x14ac:dyDescent="0.3">
      <c r="A5104" s="25" t="s">
        <v>131</v>
      </c>
      <c r="B5104" s="27" t="s">
        <v>46</v>
      </c>
      <c r="C5104" s="27" t="s">
        <v>132</v>
      </c>
      <c r="D5104" s="3" t="s">
        <v>133</v>
      </c>
      <c r="E5104" s="27" t="s">
        <v>135</v>
      </c>
      <c r="F5104" s="27"/>
    </row>
    <row r="5105" spans="1:8" x14ac:dyDescent="0.3">
      <c r="A5105" s="25"/>
      <c r="B5105" s="27"/>
      <c r="C5105" s="27"/>
      <c r="D5105" s="3" t="s">
        <v>134</v>
      </c>
      <c r="E5105" s="27"/>
      <c r="F5105" s="27"/>
    </row>
    <row r="5106" spans="1:8" ht="17.25" thickBot="1" x14ac:dyDescent="0.35">
      <c r="A5106" s="13" t="s">
        <v>66</v>
      </c>
      <c r="B5106" s="2">
        <v>10784</v>
      </c>
      <c r="C5106" s="2">
        <v>8.5353879999999993</v>
      </c>
      <c r="D5106" s="2">
        <v>8.2179999999999996E-3</v>
      </c>
      <c r="E5106" s="2">
        <v>8.5192454000000009</v>
      </c>
      <c r="F5106" s="2">
        <v>8.5515302999999996</v>
      </c>
      <c r="H5106" s="8" t="str">
        <f t="shared" ref="H5106:H5109" si="212">TEXT(C5106,"0.00")&amp;" ("&amp;TEXT(E5106,"0.00")&amp;" to "&amp;TEXT(F5106,"0.00")&amp;")"</f>
        <v>8.54 (8.52 to 8.55)</v>
      </c>
    </row>
    <row r="5107" spans="1:8" ht="17.25" thickBot="1" x14ac:dyDescent="0.35">
      <c r="A5107" s="13" t="s">
        <v>67</v>
      </c>
      <c r="B5107" s="2">
        <v>10784</v>
      </c>
      <c r="C5107" s="2">
        <v>0.66373300000000002</v>
      </c>
      <c r="D5107" s="2">
        <v>9.5799999999999998E-4</v>
      </c>
      <c r="E5107" s="2">
        <v>0.6618503</v>
      </c>
      <c r="F5107" s="2">
        <v>0.66561510000000002</v>
      </c>
      <c r="H5107" s="8" t="str">
        <f t="shared" si="212"/>
        <v>0.66 (0.66 to 0.67)</v>
      </c>
    </row>
    <row r="5108" spans="1:8" ht="17.25" thickBot="1" x14ac:dyDescent="0.35">
      <c r="A5108" s="13" t="s">
        <v>68</v>
      </c>
      <c r="B5108" s="2">
        <v>10784</v>
      </c>
      <c r="C5108" s="2">
        <v>0.31045</v>
      </c>
      <c r="D5108" s="2">
        <v>4.13E-3</v>
      </c>
      <c r="E5108" s="2">
        <v>0.302338</v>
      </c>
      <c r="F5108" s="2">
        <v>0.31856269999999998</v>
      </c>
      <c r="H5108" s="8" t="str">
        <f t="shared" si="212"/>
        <v>0.31 (0.30 to 0.32)</v>
      </c>
    </row>
    <row r="5109" spans="1:8" x14ac:dyDescent="0.3">
      <c r="A5109" s="14" t="s">
        <v>69</v>
      </c>
      <c r="B5109" s="2">
        <v>10784</v>
      </c>
      <c r="C5109" s="2">
        <v>35.266514000000001</v>
      </c>
      <c r="D5109" s="2">
        <v>9.6296000000000007E-2</v>
      </c>
      <c r="E5109" s="2">
        <v>35.077351200000003</v>
      </c>
      <c r="F5109" s="2">
        <v>35.455677700000003</v>
      </c>
      <c r="H5109" s="8" t="str">
        <f t="shared" si="212"/>
        <v>35.27 (35.08 to 35.46)</v>
      </c>
    </row>
    <row r="5113" spans="1:8" x14ac:dyDescent="0.3">
      <c r="A5113" s="1" t="s">
        <v>129</v>
      </c>
    </row>
    <row r="5115" spans="1:8" x14ac:dyDescent="0.3">
      <c r="A5115" s="1" t="s">
        <v>355</v>
      </c>
    </row>
    <row r="5116" spans="1:8" ht="17.25" thickBot="1" x14ac:dyDescent="0.35"/>
    <row r="5117" spans="1:8" ht="16.5" customHeight="1" x14ac:dyDescent="0.3">
      <c r="A5117" s="24" t="s">
        <v>75</v>
      </c>
      <c r="B5117" s="26"/>
    </row>
    <row r="5118" spans="1:8" ht="26.25" thickBot="1" x14ac:dyDescent="0.35">
      <c r="A5118" s="13" t="s">
        <v>76</v>
      </c>
      <c r="B5118" s="2">
        <v>27</v>
      </c>
    </row>
    <row r="5119" spans="1:8" ht="26.25" thickBot="1" x14ac:dyDescent="0.35">
      <c r="A5119" s="13" t="s">
        <v>77</v>
      </c>
      <c r="B5119" s="2">
        <v>550</v>
      </c>
    </row>
    <row r="5120" spans="1:8" ht="39" thickBot="1" x14ac:dyDescent="0.35">
      <c r="A5120" s="13" t="s">
        <v>78</v>
      </c>
      <c r="B5120" s="2">
        <v>2771</v>
      </c>
    </row>
    <row r="5121" spans="1:8" ht="25.5" x14ac:dyDescent="0.3">
      <c r="A5121" s="14" t="s">
        <v>79</v>
      </c>
      <c r="B5121" s="2">
        <v>1124404.77</v>
      </c>
    </row>
    <row r="5122" spans="1:8" ht="17.25" thickBot="1" x14ac:dyDescent="0.35"/>
    <row r="5123" spans="1:8" ht="33" customHeight="1" x14ac:dyDescent="0.3">
      <c r="A5123" s="24" t="s">
        <v>80</v>
      </c>
      <c r="B5123" s="26"/>
    </row>
    <row r="5124" spans="1:8" ht="33.75" thickBot="1" x14ac:dyDescent="0.35">
      <c r="A5124" s="13" t="s">
        <v>81</v>
      </c>
      <c r="B5124" s="2" t="s">
        <v>82</v>
      </c>
    </row>
    <row r="5125" spans="1:8" ht="25.5" x14ac:dyDescent="0.3">
      <c r="A5125" s="14" t="s">
        <v>83</v>
      </c>
      <c r="B5125" s="2" t="s">
        <v>84</v>
      </c>
    </row>
    <row r="5126" spans="1:8" ht="17.25" thickBot="1" x14ac:dyDescent="0.35"/>
    <row r="5127" spans="1:8" ht="16.5" customHeight="1" x14ac:dyDescent="0.3">
      <c r="A5127" s="24" t="s">
        <v>130</v>
      </c>
      <c r="B5127" s="26"/>
      <c r="C5127" s="26"/>
      <c r="D5127" s="26"/>
      <c r="E5127" s="26"/>
      <c r="F5127" s="26"/>
    </row>
    <row r="5128" spans="1:8" x14ac:dyDescent="0.3">
      <c r="A5128" s="25" t="s">
        <v>131</v>
      </c>
      <c r="B5128" s="27" t="s">
        <v>46</v>
      </c>
      <c r="C5128" s="27" t="s">
        <v>132</v>
      </c>
      <c r="D5128" s="3" t="s">
        <v>133</v>
      </c>
      <c r="E5128" s="27" t="s">
        <v>135</v>
      </c>
      <c r="F5128" s="27"/>
    </row>
    <row r="5129" spans="1:8" x14ac:dyDescent="0.3">
      <c r="A5129" s="25"/>
      <c r="B5129" s="27"/>
      <c r="C5129" s="27"/>
      <c r="D5129" s="3" t="s">
        <v>134</v>
      </c>
      <c r="E5129" s="27"/>
      <c r="F5129" s="27"/>
    </row>
    <row r="5130" spans="1:8" ht="17.25" thickBot="1" x14ac:dyDescent="0.35">
      <c r="A5130" s="13" t="s">
        <v>66</v>
      </c>
      <c r="B5130" s="2">
        <v>2771</v>
      </c>
      <c r="C5130" s="2">
        <v>8.8299000000000003</v>
      </c>
      <c r="D5130" s="2">
        <v>1.5021E-2</v>
      </c>
      <c r="E5130" s="2">
        <v>8.8003906000000001</v>
      </c>
      <c r="F5130" s="2">
        <v>8.8594098999999993</v>
      </c>
      <c r="H5130" s="8" t="str">
        <f t="shared" ref="H5130:H5133" si="213">TEXT(C5130,"0.00")&amp;" ("&amp;TEXT(E5130,"0.00")&amp;" to "&amp;TEXT(F5130,"0.00")&amp;")"</f>
        <v>8.83 (8.80 to 8.86)</v>
      </c>
    </row>
    <row r="5131" spans="1:8" ht="17.25" thickBot="1" x14ac:dyDescent="0.35">
      <c r="A5131" s="13" t="s">
        <v>67</v>
      </c>
      <c r="B5131" s="2">
        <v>2771</v>
      </c>
      <c r="C5131" s="2">
        <v>0.71376600000000001</v>
      </c>
      <c r="D5131" s="2">
        <v>1.519E-3</v>
      </c>
      <c r="E5131" s="2">
        <v>0.71078209999999997</v>
      </c>
      <c r="F5131" s="2">
        <v>0.71674930000000003</v>
      </c>
      <c r="H5131" s="8" t="str">
        <f t="shared" si="213"/>
        <v>0.71 (0.71 to 0.72)</v>
      </c>
    </row>
    <row r="5132" spans="1:8" ht="17.25" thickBot="1" x14ac:dyDescent="0.35">
      <c r="A5132" s="13" t="s">
        <v>68</v>
      </c>
      <c r="B5132" s="2">
        <v>2771</v>
      </c>
      <c r="C5132" s="2">
        <v>0.41465800000000003</v>
      </c>
      <c r="D5132" s="2">
        <v>7.2129999999999998E-3</v>
      </c>
      <c r="E5132" s="2">
        <v>0.4004877</v>
      </c>
      <c r="F5132" s="2">
        <v>0.42882779999999998</v>
      </c>
      <c r="H5132" s="8" t="str">
        <f t="shared" si="213"/>
        <v>0.41 (0.40 to 0.43)</v>
      </c>
    </row>
    <row r="5133" spans="1:8" x14ac:dyDescent="0.3">
      <c r="A5133" s="14" t="s">
        <v>69</v>
      </c>
      <c r="B5133" s="2">
        <v>2771</v>
      </c>
      <c r="C5133" s="2">
        <v>38.409151999999999</v>
      </c>
      <c r="D5133" s="2">
        <v>0.17640400000000001</v>
      </c>
      <c r="E5133" s="2">
        <v>38.062603799999998</v>
      </c>
      <c r="F5133" s="2">
        <v>38.755700099999999</v>
      </c>
      <c r="H5133" s="8" t="str">
        <f t="shared" si="213"/>
        <v>38.41 (38.06 to 38.76)</v>
      </c>
    </row>
    <row r="5137" spans="1:6" x14ac:dyDescent="0.3">
      <c r="A5137" s="1" t="s">
        <v>129</v>
      </c>
    </row>
    <row r="5139" spans="1:6" x14ac:dyDescent="0.3">
      <c r="A5139" s="1" t="s">
        <v>356</v>
      </c>
    </row>
    <row r="5140" spans="1:6" ht="17.25" thickBot="1" x14ac:dyDescent="0.35"/>
    <row r="5141" spans="1:6" ht="16.5" customHeight="1" x14ac:dyDescent="0.3">
      <c r="A5141" s="24" t="s">
        <v>75</v>
      </c>
      <c r="B5141" s="26"/>
    </row>
    <row r="5142" spans="1:6" ht="26.25" thickBot="1" x14ac:dyDescent="0.35">
      <c r="A5142" s="13" t="s">
        <v>76</v>
      </c>
      <c r="B5142" s="2">
        <v>27</v>
      </c>
    </row>
    <row r="5143" spans="1:6" ht="26.25" thickBot="1" x14ac:dyDescent="0.35">
      <c r="A5143" s="13" t="s">
        <v>77</v>
      </c>
      <c r="B5143" s="2">
        <v>190</v>
      </c>
    </row>
    <row r="5144" spans="1:6" ht="39" thickBot="1" x14ac:dyDescent="0.35">
      <c r="A5144" s="13" t="s">
        <v>78</v>
      </c>
      <c r="B5144" s="2">
        <v>3223</v>
      </c>
    </row>
    <row r="5145" spans="1:6" ht="25.5" x14ac:dyDescent="0.3">
      <c r="A5145" s="14" t="s">
        <v>79</v>
      </c>
      <c r="B5145" s="2">
        <v>1660606.75</v>
      </c>
    </row>
    <row r="5146" spans="1:6" ht="17.25" thickBot="1" x14ac:dyDescent="0.35"/>
    <row r="5147" spans="1:6" ht="33" customHeight="1" x14ac:dyDescent="0.3">
      <c r="A5147" s="24" t="s">
        <v>80</v>
      </c>
      <c r="B5147" s="26"/>
    </row>
    <row r="5148" spans="1:6" ht="33.75" thickBot="1" x14ac:dyDescent="0.35">
      <c r="A5148" s="13" t="s">
        <v>81</v>
      </c>
      <c r="B5148" s="2" t="s">
        <v>82</v>
      </c>
    </row>
    <row r="5149" spans="1:6" ht="25.5" x14ac:dyDescent="0.3">
      <c r="A5149" s="14" t="s">
        <v>83</v>
      </c>
      <c r="B5149" s="2" t="s">
        <v>84</v>
      </c>
    </row>
    <row r="5150" spans="1:6" ht="17.25" thickBot="1" x14ac:dyDescent="0.35"/>
    <row r="5151" spans="1:6" ht="16.5" customHeight="1" x14ac:dyDescent="0.3">
      <c r="A5151" s="24" t="s">
        <v>130</v>
      </c>
      <c r="B5151" s="26"/>
      <c r="C5151" s="26"/>
      <c r="D5151" s="26"/>
      <c r="E5151" s="26"/>
      <c r="F5151" s="26"/>
    </row>
    <row r="5152" spans="1:6" x14ac:dyDescent="0.3">
      <c r="A5152" s="25" t="s">
        <v>131</v>
      </c>
      <c r="B5152" s="27" t="s">
        <v>46</v>
      </c>
      <c r="C5152" s="27" t="s">
        <v>132</v>
      </c>
      <c r="D5152" s="3" t="s">
        <v>133</v>
      </c>
      <c r="E5152" s="27" t="s">
        <v>135</v>
      </c>
      <c r="F5152" s="27"/>
    </row>
    <row r="5153" spans="1:8" x14ac:dyDescent="0.3">
      <c r="A5153" s="25"/>
      <c r="B5153" s="27"/>
      <c r="C5153" s="27"/>
      <c r="D5153" s="3" t="s">
        <v>134</v>
      </c>
      <c r="E5153" s="27"/>
      <c r="F5153" s="27"/>
    </row>
    <row r="5154" spans="1:8" ht="17.25" thickBot="1" x14ac:dyDescent="0.35">
      <c r="A5154" s="13" t="s">
        <v>66</v>
      </c>
      <c r="B5154" s="2">
        <v>3223</v>
      </c>
      <c r="C5154" s="2">
        <v>8.5461740000000006</v>
      </c>
      <c r="D5154" s="2">
        <v>1.3596E-2</v>
      </c>
      <c r="E5154" s="2">
        <v>8.5193279999999998</v>
      </c>
      <c r="F5154" s="2">
        <v>8.5730207000000007</v>
      </c>
      <c r="H5154" s="8" t="str">
        <f t="shared" ref="H5154:H5157" si="214">TEXT(C5154,"0.00")&amp;" ("&amp;TEXT(E5154,"0.00")&amp;" to "&amp;TEXT(F5154,"0.00")&amp;")"</f>
        <v>8.55 (8.52 to 8.57)</v>
      </c>
    </row>
    <row r="5155" spans="1:8" ht="17.25" thickBot="1" x14ac:dyDescent="0.35">
      <c r="A5155" s="13" t="s">
        <v>67</v>
      </c>
      <c r="B5155" s="2">
        <v>3223</v>
      </c>
      <c r="C5155" s="2">
        <v>0.659524</v>
      </c>
      <c r="D5155" s="2">
        <v>1.681E-3</v>
      </c>
      <c r="E5155" s="2">
        <v>0.65620460000000003</v>
      </c>
      <c r="F5155" s="2">
        <v>0.66284419999999999</v>
      </c>
      <c r="H5155" s="8" t="str">
        <f t="shared" si="214"/>
        <v>0.66 (0.66 to 0.66)</v>
      </c>
    </row>
    <row r="5156" spans="1:8" ht="17.25" thickBot="1" x14ac:dyDescent="0.35">
      <c r="A5156" s="13" t="s">
        <v>68</v>
      </c>
      <c r="B5156" s="2">
        <v>3223</v>
      </c>
      <c r="C5156" s="2">
        <v>0.27643299999999998</v>
      </c>
      <c r="D5156" s="2">
        <v>7.1780000000000004E-3</v>
      </c>
      <c r="E5156" s="2">
        <v>0.26225969999999998</v>
      </c>
      <c r="F5156" s="2">
        <v>0.29060609999999998</v>
      </c>
      <c r="H5156" s="8" t="str">
        <f t="shared" si="214"/>
        <v>0.28 (0.26 to 0.29)</v>
      </c>
    </row>
    <row r="5157" spans="1:8" x14ac:dyDescent="0.3">
      <c r="A5157" s="14" t="s">
        <v>69</v>
      </c>
      <c r="B5157" s="2">
        <v>3223</v>
      </c>
      <c r="C5157" s="2">
        <v>34.751662000000003</v>
      </c>
      <c r="D5157" s="2">
        <v>0.19340199999999999</v>
      </c>
      <c r="E5157" s="2">
        <v>34.369765200000003</v>
      </c>
      <c r="F5157" s="2">
        <v>35.1335579</v>
      </c>
      <c r="H5157" s="8" t="str">
        <f t="shared" si="214"/>
        <v>34.75 (34.37 to 35.13)</v>
      </c>
    </row>
    <row r="5161" spans="1:8" x14ac:dyDescent="0.3">
      <c r="A5161" s="1" t="s">
        <v>129</v>
      </c>
    </row>
    <row r="5163" spans="1:8" x14ac:dyDescent="0.3">
      <c r="A5163" s="1" t="s">
        <v>357</v>
      </c>
    </row>
    <row r="5164" spans="1:8" ht="17.25" thickBot="1" x14ac:dyDescent="0.35"/>
    <row r="5165" spans="1:8" ht="16.5" customHeight="1" x14ac:dyDescent="0.3">
      <c r="A5165" s="24" t="s">
        <v>75</v>
      </c>
      <c r="B5165" s="26"/>
    </row>
    <row r="5166" spans="1:8" ht="26.25" thickBot="1" x14ac:dyDescent="0.35">
      <c r="A5166" s="13" t="s">
        <v>76</v>
      </c>
      <c r="B5166" s="2">
        <v>27</v>
      </c>
    </row>
    <row r="5167" spans="1:8" ht="26.25" thickBot="1" x14ac:dyDescent="0.35">
      <c r="A5167" s="13" t="s">
        <v>77</v>
      </c>
      <c r="B5167" s="2">
        <v>187</v>
      </c>
    </row>
    <row r="5168" spans="1:8" ht="39" thickBot="1" x14ac:dyDescent="0.35">
      <c r="A5168" s="13" t="s">
        <v>78</v>
      </c>
      <c r="B5168" s="2">
        <v>1193</v>
      </c>
    </row>
    <row r="5169" spans="1:8" ht="25.5" x14ac:dyDescent="0.3">
      <c r="A5169" s="14" t="s">
        <v>79</v>
      </c>
      <c r="B5169" s="2">
        <v>490306.92099999997</v>
      </c>
    </row>
    <row r="5170" spans="1:8" ht="17.25" thickBot="1" x14ac:dyDescent="0.35"/>
    <row r="5171" spans="1:8" ht="33" customHeight="1" x14ac:dyDescent="0.3">
      <c r="A5171" s="24" t="s">
        <v>80</v>
      </c>
      <c r="B5171" s="26"/>
    </row>
    <row r="5172" spans="1:8" ht="33.75" thickBot="1" x14ac:dyDescent="0.35">
      <c r="A5172" s="13" t="s">
        <v>81</v>
      </c>
      <c r="B5172" s="2" t="s">
        <v>82</v>
      </c>
    </row>
    <row r="5173" spans="1:8" ht="25.5" x14ac:dyDescent="0.3">
      <c r="A5173" s="14" t="s">
        <v>83</v>
      </c>
      <c r="B5173" s="2" t="s">
        <v>84</v>
      </c>
    </row>
    <row r="5174" spans="1:8" ht="17.25" thickBot="1" x14ac:dyDescent="0.35"/>
    <row r="5175" spans="1:8" ht="16.5" customHeight="1" x14ac:dyDescent="0.3">
      <c r="A5175" s="24" t="s">
        <v>130</v>
      </c>
      <c r="B5175" s="26"/>
      <c r="C5175" s="26"/>
      <c r="D5175" s="26"/>
      <c r="E5175" s="26"/>
      <c r="F5175" s="26"/>
    </row>
    <row r="5176" spans="1:8" x14ac:dyDescent="0.3">
      <c r="A5176" s="25" t="s">
        <v>131</v>
      </c>
      <c r="B5176" s="27" t="s">
        <v>46</v>
      </c>
      <c r="C5176" s="27" t="s">
        <v>132</v>
      </c>
      <c r="D5176" s="3" t="s">
        <v>133</v>
      </c>
      <c r="E5176" s="27" t="s">
        <v>135</v>
      </c>
      <c r="F5176" s="27"/>
    </row>
    <row r="5177" spans="1:8" x14ac:dyDescent="0.3">
      <c r="A5177" s="25"/>
      <c r="B5177" s="27"/>
      <c r="C5177" s="27"/>
      <c r="D5177" s="3" t="s">
        <v>134</v>
      </c>
      <c r="E5177" s="27"/>
      <c r="F5177" s="27"/>
    </row>
    <row r="5178" spans="1:8" ht="17.25" thickBot="1" x14ac:dyDescent="0.35">
      <c r="A5178" s="13" t="s">
        <v>66</v>
      </c>
      <c r="B5178" s="2">
        <v>1193</v>
      </c>
      <c r="C5178" s="2">
        <v>8.7539029999999993</v>
      </c>
      <c r="D5178" s="2">
        <v>1.9511000000000001E-2</v>
      </c>
      <c r="E5178" s="2">
        <v>8.7153712999999993</v>
      </c>
      <c r="F5178" s="2">
        <v>8.7924346999999994</v>
      </c>
      <c r="H5178" s="8" t="str">
        <f t="shared" ref="H5178:H5181" si="215">TEXT(C5178,"0.00")&amp;" ("&amp;TEXT(E5178,"0.00")&amp;" to "&amp;TEXT(F5178,"0.00")&amp;")"</f>
        <v>8.75 (8.72 to 8.79)</v>
      </c>
    </row>
    <row r="5179" spans="1:8" ht="17.25" thickBot="1" x14ac:dyDescent="0.35">
      <c r="A5179" s="13" t="s">
        <v>67</v>
      </c>
      <c r="B5179" s="2">
        <v>1193</v>
      </c>
      <c r="C5179" s="2">
        <v>0.70076899999999998</v>
      </c>
      <c r="D5179" s="2">
        <v>2.111E-3</v>
      </c>
      <c r="E5179" s="2">
        <v>0.69660029999999995</v>
      </c>
      <c r="F5179" s="2">
        <v>0.70493850000000002</v>
      </c>
      <c r="H5179" s="8" t="str">
        <f t="shared" si="215"/>
        <v>0.70 (0.70 to 0.70)</v>
      </c>
    </row>
    <row r="5180" spans="1:8" ht="17.25" thickBot="1" x14ac:dyDescent="0.35">
      <c r="A5180" s="13" t="s">
        <v>68</v>
      </c>
      <c r="B5180" s="2">
        <v>1193</v>
      </c>
      <c r="C5180" s="2">
        <v>0.33963300000000002</v>
      </c>
      <c r="D5180" s="2">
        <v>1.0855999999999999E-2</v>
      </c>
      <c r="E5180" s="2">
        <v>0.31819239999999999</v>
      </c>
      <c r="F5180" s="2">
        <v>0.36107289999999997</v>
      </c>
      <c r="H5180" s="8" t="str">
        <f t="shared" si="215"/>
        <v>0.34 (0.32 to 0.36)</v>
      </c>
    </row>
    <row r="5181" spans="1:8" x14ac:dyDescent="0.3">
      <c r="A5181" s="14" t="s">
        <v>69</v>
      </c>
      <c r="B5181" s="2">
        <v>1193</v>
      </c>
      <c r="C5181" s="2">
        <v>37.088233000000002</v>
      </c>
      <c r="D5181" s="2">
        <v>0.27315699999999998</v>
      </c>
      <c r="E5181" s="2">
        <v>36.548774999999999</v>
      </c>
      <c r="F5181" s="2">
        <v>37.627690399999999</v>
      </c>
      <c r="H5181" s="8" t="str">
        <f t="shared" si="215"/>
        <v>37.09 (36.55 to 37.63)</v>
      </c>
    </row>
    <row r="5185" spans="1:6" x14ac:dyDescent="0.3">
      <c r="A5185" s="1" t="s">
        <v>129</v>
      </c>
    </row>
    <row r="5187" spans="1:6" x14ac:dyDescent="0.3">
      <c r="A5187" s="1" t="s">
        <v>358</v>
      </c>
    </row>
    <row r="5188" spans="1:6" ht="17.25" thickBot="1" x14ac:dyDescent="0.35"/>
    <row r="5189" spans="1:6" ht="16.5" customHeight="1" x14ac:dyDescent="0.3">
      <c r="A5189" s="24" t="s">
        <v>75</v>
      </c>
      <c r="B5189" s="26"/>
    </row>
    <row r="5190" spans="1:6" ht="26.25" thickBot="1" x14ac:dyDescent="0.35">
      <c r="A5190" s="13" t="s">
        <v>76</v>
      </c>
      <c r="B5190" s="2">
        <v>25</v>
      </c>
    </row>
    <row r="5191" spans="1:6" ht="26.25" thickBot="1" x14ac:dyDescent="0.35">
      <c r="A5191" s="13" t="s">
        <v>77</v>
      </c>
      <c r="B5191" s="2">
        <v>500</v>
      </c>
    </row>
    <row r="5192" spans="1:6" ht="39" thickBot="1" x14ac:dyDescent="0.35">
      <c r="A5192" s="13" t="s">
        <v>78</v>
      </c>
      <c r="B5192" s="2">
        <v>11691</v>
      </c>
    </row>
    <row r="5193" spans="1:6" ht="25.5" x14ac:dyDescent="0.3">
      <c r="A5193" s="14" t="s">
        <v>79</v>
      </c>
      <c r="B5193" s="2">
        <v>4315177.96</v>
      </c>
    </row>
    <row r="5194" spans="1:6" ht="17.25" thickBot="1" x14ac:dyDescent="0.35"/>
    <row r="5195" spans="1:6" ht="33" customHeight="1" x14ac:dyDescent="0.3">
      <c r="A5195" s="24" t="s">
        <v>80</v>
      </c>
      <c r="B5195" s="26"/>
    </row>
    <row r="5196" spans="1:6" ht="33.75" thickBot="1" x14ac:dyDescent="0.35">
      <c r="A5196" s="13" t="s">
        <v>81</v>
      </c>
      <c r="B5196" s="2" t="s">
        <v>82</v>
      </c>
    </row>
    <row r="5197" spans="1:6" ht="25.5" x14ac:dyDescent="0.3">
      <c r="A5197" s="14" t="s">
        <v>83</v>
      </c>
      <c r="B5197" s="2" t="s">
        <v>84</v>
      </c>
    </row>
    <row r="5198" spans="1:6" ht="17.25" thickBot="1" x14ac:dyDescent="0.35"/>
    <row r="5199" spans="1:6" ht="16.5" customHeight="1" x14ac:dyDescent="0.3">
      <c r="A5199" s="24" t="s">
        <v>130</v>
      </c>
      <c r="B5199" s="26"/>
      <c r="C5199" s="26"/>
      <c r="D5199" s="26"/>
      <c r="E5199" s="26"/>
      <c r="F5199" s="26"/>
    </row>
    <row r="5200" spans="1:6" x14ac:dyDescent="0.3">
      <c r="A5200" s="25" t="s">
        <v>131</v>
      </c>
      <c r="B5200" s="27" t="s">
        <v>46</v>
      </c>
      <c r="C5200" s="27" t="s">
        <v>132</v>
      </c>
      <c r="D5200" s="3" t="s">
        <v>133</v>
      </c>
      <c r="E5200" s="27" t="s">
        <v>135</v>
      </c>
      <c r="F5200" s="27"/>
    </row>
    <row r="5201" spans="1:8" x14ac:dyDescent="0.3">
      <c r="A5201" s="25"/>
      <c r="B5201" s="27"/>
      <c r="C5201" s="27"/>
      <c r="D5201" s="3" t="s">
        <v>134</v>
      </c>
      <c r="E5201" s="27"/>
      <c r="F5201" s="27"/>
    </row>
    <row r="5202" spans="1:8" ht="17.25" thickBot="1" x14ac:dyDescent="0.35">
      <c r="A5202" s="13" t="s">
        <v>66</v>
      </c>
      <c r="B5202" s="2">
        <v>11691</v>
      </c>
      <c r="C5202" s="2">
        <v>8.5525549999999999</v>
      </c>
      <c r="D5202" s="2">
        <v>8.3239999999999998E-3</v>
      </c>
      <c r="E5202" s="2">
        <v>8.5361986000000005</v>
      </c>
      <c r="F5202" s="2">
        <v>8.5689109000000006</v>
      </c>
      <c r="H5202" s="8" t="str">
        <f t="shared" ref="H5202:H5205" si="216">TEXT(C5202,"0.00")&amp;" ("&amp;TEXT(E5202,"0.00")&amp;" to "&amp;TEXT(F5202,"0.00")&amp;")"</f>
        <v>8.55 (8.54 to 8.57)</v>
      </c>
    </row>
    <row r="5203" spans="1:8" ht="17.25" thickBot="1" x14ac:dyDescent="0.35">
      <c r="A5203" s="13" t="s">
        <v>67</v>
      </c>
      <c r="B5203" s="2">
        <v>11691</v>
      </c>
      <c r="C5203" s="2">
        <v>0.65981900000000004</v>
      </c>
      <c r="D5203" s="2">
        <v>1.1980000000000001E-3</v>
      </c>
      <c r="E5203" s="2">
        <v>0.65746400000000005</v>
      </c>
      <c r="F5203" s="2">
        <v>0.66217320000000002</v>
      </c>
      <c r="H5203" s="8" t="str">
        <f t="shared" si="216"/>
        <v>0.66 (0.66 to 0.66)</v>
      </c>
    </row>
    <row r="5204" spans="1:8" ht="17.25" thickBot="1" x14ac:dyDescent="0.35">
      <c r="A5204" s="13" t="s">
        <v>68</v>
      </c>
      <c r="B5204" s="2">
        <v>11691</v>
      </c>
      <c r="C5204" s="2">
        <v>0.36682399999999998</v>
      </c>
      <c r="D5204" s="2">
        <v>3.846E-3</v>
      </c>
      <c r="E5204" s="2">
        <v>0.35926580000000002</v>
      </c>
      <c r="F5204" s="2">
        <v>0.3743821</v>
      </c>
      <c r="H5204" s="8" t="str">
        <f t="shared" si="216"/>
        <v>0.37 (0.36 to 0.37)</v>
      </c>
    </row>
    <row r="5205" spans="1:8" x14ac:dyDescent="0.3">
      <c r="A5205" s="14" t="s">
        <v>69</v>
      </c>
      <c r="B5205" s="2">
        <v>11691</v>
      </c>
      <c r="C5205" s="2">
        <v>35.545138000000001</v>
      </c>
      <c r="D5205" s="2">
        <v>8.5387000000000005E-2</v>
      </c>
      <c r="E5205" s="2">
        <v>35.377354099999998</v>
      </c>
      <c r="F5205" s="2">
        <v>35.712921899999998</v>
      </c>
      <c r="H5205" s="8" t="str">
        <f t="shared" si="216"/>
        <v>35.55 (35.38 to 35.71)</v>
      </c>
    </row>
    <row r="5209" spans="1:8" x14ac:dyDescent="0.3">
      <c r="A5209" s="1" t="s">
        <v>129</v>
      </c>
    </row>
    <row r="5211" spans="1:8" x14ac:dyDescent="0.3">
      <c r="A5211" s="1" t="s">
        <v>359</v>
      </c>
    </row>
    <row r="5212" spans="1:8" ht="17.25" thickBot="1" x14ac:dyDescent="0.35"/>
    <row r="5213" spans="1:8" ht="16.5" customHeight="1" x14ac:dyDescent="0.3">
      <c r="A5213" s="24" t="s">
        <v>75</v>
      </c>
      <c r="B5213" s="26"/>
    </row>
    <row r="5214" spans="1:8" ht="26.25" thickBot="1" x14ac:dyDescent="0.35">
      <c r="A5214" s="13" t="s">
        <v>76</v>
      </c>
      <c r="B5214" s="2">
        <v>22</v>
      </c>
    </row>
    <row r="5215" spans="1:8" ht="26.25" thickBot="1" x14ac:dyDescent="0.35">
      <c r="A5215" s="13" t="s">
        <v>77</v>
      </c>
      <c r="B5215" s="2">
        <v>162</v>
      </c>
    </row>
    <row r="5216" spans="1:8" ht="39" thickBot="1" x14ac:dyDescent="0.35">
      <c r="A5216" s="13" t="s">
        <v>78</v>
      </c>
      <c r="B5216" s="2">
        <v>224</v>
      </c>
    </row>
    <row r="5217" spans="1:8" ht="25.5" x14ac:dyDescent="0.3">
      <c r="A5217" s="14" t="s">
        <v>79</v>
      </c>
      <c r="B5217" s="2">
        <v>54990.752500000002</v>
      </c>
    </row>
    <row r="5218" spans="1:8" ht="17.25" thickBot="1" x14ac:dyDescent="0.35"/>
    <row r="5219" spans="1:8" ht="33" customHeight="1" x14ac:dyDescent="0.3">
      <c r="A5219" s="24" t="s">
        <v>80</v>
      </c>
      <c r="B5219" s="26"/>
    </row>
    <row r="5220" spans="1:8" ht="33.75" thickBot="1" x14ac:dyDescent="0.35">
      <c r="A5220" s="13" t="s">
        <v>81</v>
      </c>
      <c r="B5220" s="2" t="s">
        <v>82</v>
      </c>
    </row>
    <row r="5221" spans="1:8" ht="25.5" x14ac:dyDescent="0.3">
      <c r="A5221" s="14" t="s">
        <v>83</v>
      </c>
      <c r="B5221" s="2" t="s">
        <v>84</v>
      </c>
    </row>
    <row r="5222" spans="1:8" ht="17.25" thickBot="1" x14ac:dyDescent="0.35"/>
    <row r="5223" spans="1:8" ht="16.5" customHeight="1" x14ac:dyDescent="0.3">
      <c r="A5223" s="24" t="s">
        <v>130</v>
      </c>
      <c r="B5223" s="26"/>
      <c r="C5223" s="26"/>
      <c r="D5223" s="26"/>
      <c r="E5223" s="26"/>
      <c r="F5223" s="26"/>
    </row>
    <row r="5224" spans="1:8" x14ac:dyDescent="0.3">
      <c r="A5224" s="25" t="s">
        <v>131</v>
      </c>
      <c r="B5224" s="27" t="s">
        <v>46</v>
      </c>
      <c r="C5224" s="27" t="s">
        <v>132</v>
      </c>
      <c r="D5224" s="3" t="s">
        <v>133</v>
      </c>
      <c r="E5224" s="27" t="s">
        <v>135</v>
      </c>
      <c r="F5224" s="27"/>
    </row>
    <row r="5225" spans="1:8" x14ac:dyDescent="0.3">
      <c r="A5225" s="25"/>
      <c r="B5225" s="27"/>
      <c r="C5225" s="27"/>
      <c r="D5225" s="3" t="s">
        <v>134</v>
      </c>
      <c r="E5225" s="27"/>
      <c r="F5225" s="27"/>
    </row>
    <row r="5226" spans="1:8" ht="17.25" thickBot="1" x14ac:dyDescent="0.35">
      <c r="A5226" s="13" t="s">
        <v>66</v>
      </c>
      <c r="B5226" s="2">
        <v>224</v>
      </c>
      <c r="C5226" s="2">
        <v>8.7477160000000005</v>
      </c>
      <c r="D5226" s="2">
        <v>4.4762999999999997E-2</v>
      </c>
      <c r="E5226" s="2">
        <v>8.6592167</v>
      </c>
      <c r="F5226" s="2">
        <v>8.8362157000000003</v>
      </c>
      <c r="H5226" s="8" t="str">
        <f t="shared" ref="H5226:H5229" si="217">TEXT(C5226,"0.00")&amp;" ("&amp;TEXT(E5226,"0.00")&amp;" to "&amp;TEXT(F5226,"0.00")&amp;")"</f>
        <v>8.75 (8.66 to 8.84)</v>
      </c>
    </row>
    <row r="5227" spans="1:8" ht="17.25" thickBot="1" x14ac:dyDescent="0.35">
      <c r="A5227" s="13" t="s">
        <v>67</v>
      </c>
      <c r="B5227" s="2">
        <v>224</v>
      </c>
      <c r="C5227" s="2">
        <v>0.710928</v>
      </c>
      <c r="D5227" s="2">
        <v>5.9030000000000003E-3</v>
      </c>
      <c r="E5227" s="2">
        <v>0.69925740000000003</v>
      </c>
      <c r="F5227" s="2">
        <v>0.72259879999999999</v>
      </c>
      <c r="H5227" s="8" t="str">
        <f t="shared" si="217"/>
        <v>0.71 (0.70 to 0.72)</v>
      </c>
    </row>
    <row r="5228" spans="1:8" ht="17.25" thickBot="1" x14ac:dyDescent="0.35">
      <c r="A5228" s="13" t="s">
        <v>68</v>
      </c>
      <c r="B5228" s="2">
        <v>224</v>
      </c>
      <c r="C5228" s="2">
        <v>0.45224999999999999</v>
      </c>
      <c r="D5228" s="2">
        <v>2.0552000000000001E-2</v>
      </c>
      <c r="E5228" s="2">
        <v>0.41161750000000003</v>
      </c>
      <c r="F5228" s="2">
        <v>0.49288320000000002</v>
      </c>
      <c r="H5228" s="8" t="str">
        <f t="shared" si="217"/>
        <v>0.45 (0.41 to 0.49)</v>
      </c>
    </row>
    <row r="5229" spans="1:8" x14ac:dyDescent="0.3">
      <c r="A5229" s="14" t="s">
        <v>69</v>
      </c>
      <c r="B5229" s="2">
        <v>224</v>
      </c>
      <c r="C5229" s="2">
        <v>38.064715</v>
      </c>
      <c r="D5229" s="2">
        <v>0.44823800000000003</v>
      </c>
      <c r="E5229" s="2">
        <v>37.178524000000003</v>
      </c>
      <c r="F5229" s="2">
        <v>38.950906199999999</v>
      </c>
      <c r="H5229" s="8" t="str">
        <f t="shared" si="217"/>
        <v>38.06 (37.18 to 38.95)</v>
      </c>
    </row>
    <row r="5233" spans="1:6" x14ac:dyDescent="0.3">
      <c r="A5233" s="1" t="s">
        <v>129</v>
      </c>
    </row>
    <row r="5235" spans="1:6" x14ac:dyDescent="0.3">
      <c r="A5235" s="1" t="s">
        <v>360</v>
      </c>
    </row>
    <row r="5236" spans="1:6" ht="17.25" thickBot="1" x14ac:dyDescent="0.35"/>
    <row r="5237" spans="1:6" ht="16.5" customHeight="1" x14ac:dyDescent="0.3">
      <c r="A5237" s="24" t="s">
        <v>75</v>
      </c>
      <c r="B5237" s="26"/>
    </row>
    <row r="5238" spans="1:6" ht="26.25" thickBot="1" x14ac:dyDescent="0.35">
      <c r="A5238" s="13" t="s">
        <v>76</v>
      </c>
      <c r="B5238" s="2">
        <v>25</v>
      </c>
    </row>
    <row r="5239" spans="1:6" ht="26.25" thickBot="1" x14ac:dyDescent="0.35">
      <c r="A5239" s="13" t="s">
        <v>77</v>
      </c>
      <c r="B5239" s="2">
        <v>576</v>
      </c>
    </row>
    <row r="5240" spans="1:6" ht="39" thickBot="1" x14ac:dyDescent="0.35">
      <c r="A5240" s="13" t="s">
        <v>78</v>
      </c>
      <c r="B5240" s="2">
        <v>12900</v>
      </c>
    </row>
    <row r="5241" spans="1:6" ht="25.5" x14ac:dyDescent="0.3">
      <c r="A5241" s="14" t="s">
        <v>79</v>
      </c>
      <c r="B5241" s="2">
        <v>5400380.1299999999</v>
      </c>
    </row>
    <row r="5242" spans="1:6" ht="17.25" thickBot="1" x14ac:dyDescent="0.35"/>
    <row r="5243" spans="1:6" ht="33" customHeight="1" x14ac:dyDescent="0.3">
      <c r="A5243" s="24" t="s">
        <v>80</v>
      </c>
      <c r="B5243" s="26"/>
    </row>
    <row r="5244" spans="1:6" ht="33.75" thickBot="1" x14ac:dyDescent="0.35">
      <c r="A5244" s="13" t="s">
        <v>81</v>
      </c>
      <c r="B5244" s="2" t="s">
        <v>82</v>
      </c>
    </row>
    <row r="5245" spans="1:6" ht="25.5" x14ac:dyDescent="0.3">
      <c r="A5245" s="14" t="s">
        <v>83</v>
      </c>
      <c r="B5245" s="2" t="s">
        <v>84</v>
      </c>
    </row>
    <row r="5246" spans="1:6" ht="17.25" thickBot="1" x14ac:dyDescent="0.35"/>
    <row r="5247" spans="1:6" ht="16.5" customHeight="1" x14ac:dyDescent="0.3">
      <c r="A5247" s="24" t="s">
        <v>130</v>
      </c>
      <c r="B5247" s="26"/>
      <c r="C5247" s="26"/>
      <c r="D5247" s="26"/>
      <c r="E5247" s="26"/>
      <c r="F5247" s="26"/>
    </row>
    <row r="5248" spans="1:6" x14ac:dyDescent="0.3">
      <c r="A5248" s="25" t="s">
        <v>131</v>
      </c>
      <c r="B5248" s="27" t="s">
        <v>46</v>
      </c>
      <c r="C5248" s="27" t="s">
        <v>132</v>
      </c>
      <c r="D5248" s="3" t="s">
        <v>133</v>
      </c>
      <c r="E5248" s="27" t="s">
        <v>135</v>
      </c>
      <c r="F5248" s="27"/>
    </row>
    <row r="5249" spans="1:8" x14ac:dyDescent="0.3">
      <c r="A5249" s="25"/>
      <c r="B5249" s="27"/>
      <c r="C5249" s="27"/>
      <c r="D5249" s="3" t="s">
        <v>134</v>
      </c>
      <c r="E5249" s="27"/>
      <c r="F5249" s="27"/>
    </row>
    <row r="5250" spans="1:8" ht="17.25" thickBot="1" x14ac:dyDescent="0.35">
      <c r="A5250" s="13" t="s">
        <v>66</v>
      </c>
      <c r="B5250" s="2">
        <v>12900</v>
      </c>
      <c r="C5250" s="2">
        <v>8.5570509999999995</v>
      </c>
      <c r="D5250" s="2">
        <v>8.1239999999999993E-3</v>
      </c>
      <c r="E5250" s="2">
        <v>8.5410921999999996</v>
      </c>
      <c r="F5250" s="2">
        <v>8.5730091999999996</v>
      </c>
      <c r="H5250" s="8" t="str">
        <f t="shared" ref="H5250:H5253" si="218">TEXT(C5250,"0.00")&amp;" ("&amp;TEXT(E5250,"0.00")&amp;" to "&amp;TEXT(F5250,"0.00")&amp;")"</f>
        <v>8.56 (8.54 to 8.57)</v>
      </c>
    </row>
    <row r="5251" spans="1:8" ht="17.25" thickBot="1" x14ac:dyDescent="0.35">
      <c r="A5251" s="13" t="s">
        <v>67</v>
      </c>
      <c r="B5251" s="2">
        <v>12900</v>
      </c>
      <c r="C5251" s="2">
        <v>0.65714799999999995</v>
      </c>
      <c r="D5251" s="2">
        <v>1.021E-3</v>
      </c>
      <c r="E5251" s="2">
        <v>0.65514280000000003</v>
      </c>
      <c r="F5251" s="2">
        <v>0.65915400000000002</v>
      </c>
      <c r="H5251" s="8" t="str">
        <f t="shared" si="218"/>
        <v>0.66 (0.66 to 0.66)</v>
      </c>
    </row>
    <row r="5252" spans="1:8" ht="17.25" thickBot="1" x14ac:dyDescent="0.35">
      <c r="A5252" s="13" t="s">
        <v>68</v>
      </c>
      <c r="B5252" s="2">
        <v>12900</v>
      </c>
      <c r="C5252" s="2">
        <v>0.35552899999999998</v>
      </c>
      <c r="D5252" s="2">
        <v>3.7829999999999999E-3</v>
      </c>
      <c r="E5252" s="2">
        <v>0.34809790000000002</v>
      </c>
      <c r="F5252" s="2">
        <v>0.36296030000000001</v>
      </c>
      <c r="H5252" s="8" t="str">
        <f t="shared" si="218"/>
        <v>0.36 (0.35 to 0.36)</v>
      </c>
    </row>
    <row r="5253" spans="1:8" x14ac:dyDescent="0.3">
      <c r="A5253" s="14" t="s">
        <v>69</v>
      </c>
      <c r="B5253" s="2">
        <v>12900</v>
      </c>
      <c r="C5253" s="2">
        <v>35.521500000000003</v>
      </c>
      <c r="D5253" s="2">
        <v>9.2085E-2</v>
      </c>
      <c r="E5253" s="2">
        <v>35.340620000000001</v>
      </c>
      <c r="F5253" s="2">
        <v>35.702379700000002</v>
      </c>
      <c r="H5253" s="8" t="str">
        <f t="shared" si="218"/>
        <v>35.52 (35.34 to 35.70)</v>
      </c>
    </row>
    <row r="5257" spans="1:8" x14ac:dyDescent="0.3">
      <c r="A5257" s="1" t="s">
        <v>129</v>
      </c>
    </row>
    <row r="5259" spans="1:8" x14ac:dyDescent="0.3">
      <c r="A5259" s="1" t="s">
        <v>361</v>
      </c>
    </row>
    <row r="5260" spans="1:8" ht="17.25" thickBot="1" x14ac:dyDescent="0.35"/>
    <row r="5261" spans="1:8" ht="16.5" customHeight="1" x14ac:dyDescent="0.3">
      <c r="A5261" s="24" t="s">
        <v>75</v>
      </c>
      <c r="B5261" s="26"/>
    </row>
    <row r="5262" spans="1:8" ht="26.25" thickBot="1" x14ac:dyDescent="0.35">
      <c r="A5262" s="13" t="s">
        <v>76</v>
      </c>
      <c r="B5262" s="2">
        <v>24</v>
      </c>
    </row>
    <row r="5263" spans="1:8" ht="26.25" thickBot="1" x14ac:dyDescent="0.35">
      <c r="A5263" s="13" t="s">
        <v>77</v>
      </c>
      <c r="B5263" s="2">
        <v>177</v>
      </c>
    </row>
    <row r="5264" spans="1:8" ht="39" thickBot="1" x14ac:dyDescent="0.35">
      <c r="A5264" s="13" t="s">
        <v>78</v>
      </c>
      <c r="B5264" s="2">
        <v>216</v>
      </c>
    </row>
    <row r="5265" spans="1:8" ht="25.5" x14ac:dyDescent="0.3">
      <c r="A5265" s="14" t="s">
        <v>79</v>
      </c>
      <c r="B5265" s="2">
        <v>60284.820099999997</v>
      </c>
    </row>
    <row r="5266" spans="1:8" ht="17.25" thickBot="1" x14ac:dyDescent="0.35"/>
    <row r="5267" spans="1:8" ht="33" customHeight="1" x14ac:dyDescent="0.3">
      <c r="A5267" s="24" t="s">
        <v>80</v>
      </c>
      <c r="B5267" s="26"/>
    </row>
    <row r="5268" spans="1:8" ht="33.75" thickBot="1" x14ac:dyDescent="0.35">
      <c r="A5268" s="13" t="s">
        <v>81</v>
      </c>
      <c r="B5268" s="2" t="s">
        <v>82</v>
      </c>
    </row>
    <row r="5269" spans="1:8" ht="25.5" x14ac:dyDescent="0.3">
      <c r="A5269" s="14" t="s">
        <v>83</v>
      </c>
      <c r="B5269" s="2" t="s">
        <v>84</v>
      </c>
    </row>
    <row r="5270" spans="1:8" ht="17.25" thickBot="1" x14ac:dyDescent="0.35"/>
    <row r="5271" spans="1:8" ht="16.5" customHeight="1" x14ac:dyDescent="0.3">
      <c r="A5271" s="24" t="s">
        <v>130</v>
      </c>
      <c r="B5271" s="26"/>
      <c r="C5271" s="26"/>
      <c r="D5271" s="26"/>
      <c r="E5271" s="26"/>
      <c r="F5271" s="26"/>
    </row>
    <row r="5272" spans="1:8" x14ac:dyDescent="0.3">
      <c r="A5272" s="25" t="s">
        <v>131</v>
      </c>
      <c r="B5272" s="27" t="s">
        <v>46</v>
      </c>
      <c r="C5272" s="27" t="s">
        <v>132</v>
      </c>
      <c r="D5272" s="3" t="s">
        <v>133</v>
      </c>
      <c r="E5272" s="27" t="s">
        <v>135</v>
      </c>
      <c r="F5272" s="27"/>
    </row>
    <row r="5273" spans="1:8" x14ac:dyDescent="0.3">
      <c r="A5273" s="25"/>
      <c r="B5273" s="27"/>
      <c r="C5273" s="27"/>
      <c r="D5273" s="3" t="s">
        <v>134</v>
      </c>
      <c r="E5273" s="27"/>
      <c r="F5273" s="27"/>
    </row>
    <row r="5274" spans="1:8" ht="17.25" thickBot="1" x14ac:dyDescent="0.35">
      <c r="A5274" s="13" t="s">
        <v>66</v>
      </c>
      <c r="B5274" s="2">
        <v>216</v>
      </c>
      <c r="C5274" s="2">
        <v>8.7820450000000001</v>
      </c>
      <c r="D5274" s="2">
        <v>4.8549000000000002E-2</v>
      </c>
      <c r="E5274" s="2">
        <v>8.6861314000000007</v>
      </c>
      <c r="F5274" s="2">
        <v>8.8779585000000001</v>
      </c>
      <c r="H5274" s="8" t="str">
        <f t="shared" ref="H5274:H5277" si="219">TEXT(C5274,"0.00")&amp;" ("&amp;TEXT(E5274,"0.00")&amp;" to "&amp;TEXT(F5274,"0.00")&amp;")"</f>
        <v>8.78 (8.69 to 8.88)</v>
      </c>
    </row>
    <row r="5275" spans="1:8" ht="17.25" thickBot="1" x14ac:dyDescent="0.35">
      <c r="A5275" s="13" t="s">
        <v>67</v>
      </c>
      <c r="B5275" s="2">
        <v>216</v>
      </c>
      <c r="C5275" s="2">
        <v>0.70367299999999999</v>
      </c>
      <c r="D5275" s="2">
        <v>6.2220000000000001E-3</v>
      </c>
      <c r="E5275" s="2">
        <v>0.69138180000000005</v>
      </c>
      <c r="F5275" s="2">
        <v>0.71596490000000002</v>
      </c>
      <c r="H5275" s="8" t="str">
        <f t="shared" si="219"/>
        <v>0.70 (0.69 to 0.72)</v>
      </c>
    </row>
    <row r="5276" spans="1:8" ht="17.25" thickBot="1" x14ac:dyDescent="0.35">
      <c r="A5276" s="13" t="s">
        <v>68</v>
      </c>
      <c r="B5276" s="2">
        <v>216</v>
      </c>
      <c r="C5276" s="2">
        <v>0.46459299999999998</v>
      </c>
      <c r="D5276" s="2">
        <v>2.3612000000000001E-2</v>
      </c>
      <c r="E5276" s="2">
        <v>0.41794490000000001</v>
      </c>
      <c r="F5276" s="2">
        <v>0.5112409</v>
      </c>
      <c r="H5276" s="8" t="str">
        <f t="shared" si="219"/>
        <v>0.46 (0.42 to 0.51)</v>
      </c>
    </row>
    <row r="5277" spans="1:8" x14ac:dyDescent="0.3">
      <c r="A5277" s="14" t="s">
        <v>69</v>
      </c>
      <c r="B5277" s="2">
        <v>216</v>
      </c>
      <c r="C5277" s="2">
        <v>37.907457000000001</v>
      </c>
      <c r="D5277" s="2">
        <v>0.48784899999999998</v>
      </c>
      <c r="E5277" s="2">
        <v>36.9436672</v>
      </c>
      <c r="F5277" s="2">
        <v>38.871246900000003</v>
      </c>
      <c r="H5277" s="8" t="str">
        <f t="shared" si="219"/>
        <v>37.91 (36.94 to 38.87)</v>
      </c>
    </row>
    <row r="5281" spans="1:6" x14ac:dyDescent="0.3">
      <c r="A5281" s="1" t="s">
        <v>129</v>
      </c>
    </row>
    <row r="5283" spans="1:6" x14ac:dyDescent="0.3">
      <c r="A5283" s="1" t="s">
        <v>362</v>
      </c>
    </row>
    <row r="5284" spans="1:6" ht="17.25" thickBot="1" x14ac:dyDescent="0.35"/>
    <row r="5285" spans="1:6" ht="16.5" customHeight="1" x14ac:dyDescent="0.3">
      <c r="A5285" s="24" t="s">
        <v>75</v>
      </c>
      <c r="B5285" s="26"/>
    </row>
    <row r="5286" spans="1:6" ht="26.25" thickBot="1" x14ac:dyDescent="0.35">
      <c r="A5286" s="13" t="s">
        <v>76</v>
      </c>
      <c r="B5286" s="2">
        <v>25</v>
      </c>
    </row>
    <row r="5287" spans="1:6" ht="26.25" thickBot="1" x14ac:dyDescent="0.35">
      <c r="A5287" s="13" t="s">
        <v>77</v>
      </c>
      <c r="B5287" s="2">
        <v>576</v>
      </c>
    </row>
    <row r="5288" spans="1:6" ht="39" thickBot="1" x14ac:dyDescent="0.35">
      <c r="A5288" s="13" t="s">
        <v>78</v>
      </c>
      <c r="B5288" s="2">
        <v>11238</v>
      </c>
    </row>
    <row r="5289" spans="1:6" ht="25.5" x14ac:dyDescent="0.3">
      <c r="A5289" s="14" t="s">
        <v>79</v>
      </c>
      <c r="B5289" s="2">
        <v>5314769.1500000004</v>
      </c>
    </row>
    <row r="5290" spans="1:6" ht="17.25" thickBot="1" x14ac:dyDescent="0.35"/>
    <row r="5291" spans="1:6" ht="33" customHeight="1" x14ac:dyDescent="0.3">
      <c r="A5291" s="24" t="s">
        <v>80</v>
      </c>
      <c r="B5291" s="26"/>
    </row>
    <row r="5292" spans="1:6" ht="33.75" thickBot="1" x14ac:dyDescent="0.35">
      <c r="A5292" s="13" t="s">
        <v>81</v>
      </c>
      <c r="B5292" s="2" t="s">
        <v>82</v>
      </c>
    </row>
    <row r="5293" spans="1:6" ht="25.5" x14ac:dyDescent="0.3">
      <c r="A5293" s="14" t="s">
        <v>83</v>
      </c>
      <c r="B5293" s="2" t="s">
        <v>84</v>
      </c>
    </row>
    <row r="5294" spans="1:6" ht="17.25" thickBot="1" x14ac:dyDescent="0.35"/>
    <row r="5295" spans="1:6" ht="16.5" customHeight="1" x14ac:dyDescent="0.3">
      <c r="A5295" s="24" t="s">
        <v>130</v>
      </c>
      <c r="B5295" s="26"/>
      <c r="C5295" s="26"/>
      <c r="D5295" s="26"/>
      <c r="E5295" s="26"/>
      <c r="F5295" s="26"/>
    </row>
    <row r="5296" spans="1:6" x14ac:dyDescent="0.3">
      <c r="A5296" s="25" t="s">
        <v>131</v>
      </c>
      <c r="B5296" s="27" t="s">
        <v>46</v>
      </c>
      <c r="C5296" s="27" t="s">
        <v>132</v>
      </c>
      <c r="D5296" s="3" t="s">
        <v>133</v>
      </c>
      <c r="E5296" s="27" t="s">
        <v>135</v>
      </c>
      <c r="F5296" s="27"/>
    </row>
    <row r="5297" spans="1:8" x14ac:dyDescent="0.3">
      <c r="A5297" s="25"/>
      <c r="B5297" s="27"/>
      <c r="C5297" s="27"/>
      <c r="D5297" s="3" t="s">
        <v>134</v>
      </c>
      <c r="E5297" s="27"/>
      <c r="F5297" s="27"/>
    </row>
    <row r="5298" spans="1:8" ht="17.25" thickBot="1" x14ac:dyDescent="0.35">
      <c r="A5298" s="13" t="s">
        <v>66</v>
      </c>
      <c r="B5298" s="2">
        <v>11238</v>
      </c>
      <c r="C5298" s="2">
        <v>8.5854140000000001</v>
      </c>
      <c r="D5298" s="2">
        <v>8.2660000000000008E-3</v>
      </c>
      <c r="E5298" s="2">
        <v>8.5691770999999992</v>
      </c>
      <c r="F5298" s="2">
        <v>8.6016505999999993</v>
      </c>
      <c r="H5298" s="8" t="str">
        <f t="shared" ref="H5298:H5301" si="220">TEXT(C5298,"0.00")&amp;" ("&amp;TEXT(E5298,"0.00")&amp;" to "&amp;TEXT(F5298,"0.00")&amp;")"</f>
        <v>8.59 (8.57 to 8.60)</v>
      </c>
    </row>
    <row r="5299" spans="1:8" ht="17.25" thickBot="1" x14ac:dyDescent="0.35">
      <c r="A5299" s="13" t="s">
        <v>67</v>
      </c>
      <c r="B5299" s="2">
        <v>11238</v>
      </c>
      <c r="C5299" s="2">
        <v>0.65823100000000001</v>
      </c>
      <c r="D5299" s="2">
        <v>1.0480000000000001E-3</v>
      </c>
      <c r="E5299" s="2">
        <v>0.65617190000000003</v>
      </c>
      <c r="F5299" s="2">
        <v>0.66029070000000001</v>
      </c>
      <c r="H5299" s="8" t="str">
        <f t="shared" si="220"/>
        <v>0.66 (0.66 to 0.66)</v>
      </c>
    </row>
    <row r="5300" spans="1:8" ht="17.25" thickBot="1" x14ac:dyDescent="0.35">
      <c r="A5300" s="13" t="s">
        <v>68</v>
      </c>
      <c r="B5300" s="2">
        <v>11238</v>
      </c>
      <c r="C5300" s="2">
        <v>0.346777</v>
      </c>
      <c r="D5300" s="2">
        <v>3.8340000000000002E-3</v>
      </c>
      <c r="E5300" s="2">
        <v>0.3392463</v>
      </c>
      <c r="F5300" s="2">
        <v>0.35430810000000001</v>
      </c>
      <c r="H5300" s="8" t="str">
        <f t="shared" si="220"/>
        <v>0.35 (0.34 to 0.35)</v>
      </c>
    </row>
    <row r="5301" spans="1:8" x14ac:dyDescent="0.3">
      <c r="A5301" s="14" t="s">
        <v>69</v>
      </c>
      <c r="B5301" s="2">
        <v>11238</v>
      </c>
      <c r="C5301" s="2">
        <v>35.334356999999997</v>
      </c>
      <c r="D5301" s="2">
        <v>8.4413000000000002E-2</v>
      </c>
      <c r="E5301" s="2">
        <v>35.168546399999997</v>
      </c>
      <c r="F5301" s="2">
        <v>35.500166900000004</v>
      </c>
      <c r="H5301" s="8" t="str">
        <f t="shared" si="220"/>
        <v>35.33 (35.17 to 35.50)</v>
      </c>
    </row>
    <row r="5305" spans="1:8" x14ac:dyDescent="0.3">
      <c r="A5305" s="1" t="s">
        <v>129</v>
      </c>
    </row>
    <row r="5307" spans="1:8" x14ac:dyDescent="0.3">
      <c r="A5307" s="1" t="s">
        <v>363</v>
      </c>
    </row>
    <row r="5308" spans="1:8" ht="17.25" thickBot="1" x14ac:dyDescent="0.35"/>
    <row r="5309" spans="1:8" ht="16.5" customHeight="1" x14ac:dyDescent="0.3">
      <c r="A5309" s="24" t="s">
        <v>75</v>
      </c>
      <c r="B5309" s="26"/>
    </row>
    <row r="5310" spans="1:8" ht="26.25" thickBot="1" x14ac:dyDescent="0.35">
      <c r="A5310" s="13" t="s">
        <v>76</v>
      </c>
      <c r="B5310" s="2">
        <v>25</v>
      </c>
    </row>
    <row r="5311" spans="1:8" ht="26.25" thickBot="1" x14ac:dyDescent="0.35">
      <c r="A5311" s="13" t="s">
        <v>77</v>
      </c>
      <c r="B5311" s="2">
        <v>178</v>
      </c>
    </row>
    <row r="5312" spans="1:8" ht="39" thickBot="1" x14ac:dyDescent="0.35">
      <c r="A5312" s="13" t="s">
        <v>78</v>
      </c>
      <c r="B5312" s="2">
        <v>237</v>
      </c>
    </row>
    <row r="5313" spans="1:8" ht="25.5" x14ac:dyDescent="0.3">
      <c r="A5313" s="14" t="s">
        <v>79</v>
      </c>
      <c r="B5313" s="2">
        <v>79759.876600000003</v>
      </c>
    </row>
    <row r="5314" spans="1:8" ht="17.25" thickBot="1" x14ac:dyDescent="0.35"/>
    <row r="5315" spans="1:8" ht="33" customHeight="1" x14ac:dyDescent="0.3">
      <c r="A5315" s="24" t="s">
        <v>80</v>
      </c>
      <c r="B5315" s="26"/>
    </row>
    <row r="5316" spans="1:8" ht="33.75" thickBot="1" x14ac:dyDescent="0.35">
      <c r="A5316" s="13" t="s">
        <v>81</v>
      </c>
      <c r="B5316" s="2" t="s">
        <v>82</v>
      </c>
    </row>
    <row r="5317" spans="1:8" ht="25.5" x14ac:dyDescent="0.3">
      <c r="A5317" s="14" t="s">
        <v>83</v>
      </c>
      <c r="B5317" s="2" t="s">
        <v>84</v>
      </c>
    </row>
    <row r="5318" spans="1:8" ht="17.25" thickBot="1" x14ac:dyDescent="0.35"/>
    <row r="5319" spans="1:8" ht="16.5" customHeight="1" x14ac:dyDescent="0.3">
      <c r="A5319" s="24" t="s">
        <v>130</v>
      </c>
      <c r="B5319" s="26"/>
      <c r="C5319" s="26"/>
      <c r="D5319" s="26"/>
      <c r="E5319" s="26"/>
      <c r="F5319" s="26"/>
    </row>
    <row r="5320" spans="1:8" x14ac:dyDescent="0.3">
      <c r="A5320" s="25" t="s">
        <v>131</v>
      </c>
      <c r="B5320" s="27" t="s">
        <v>46</v>
      </c>
      <c r="C5320" s="27" t="s">
        <v>132</v>
      </c>
      <c r="D5320" s="3" t="s">
        <v>133</v>
      </c>
      <c r="E5320" s="27" t="s">
        <v>135</v>
      </c>
      <c r="F5320" s="27"/>
    </row>
    <row r="5321" spans="1:8" x14ac:dyDescent="0.3">
      <c r="A5321" s="25"/>
      <c r="B5321" s="27"/>
      <c r="C5321" s="27"/>
      <c r="D5321" s="3" t="s">
        <v>134</v>
      </c>
      <c r="E5321" s="27"/>
      <c r="F5321" s="27"/>
    </row>
    <row r="5322" spans="1:8" ht="17.25" thickBot="1" x14ac:dyDescent="0.35">
      <c r="A5322" s="13" t="s">
        <v>66</v>
      </c>
      <c r="B5322" s="2">
        <v>237</v>
      </c>
      <c r="C5322" s="2">
        <v>8.8314990000000009</v>
      </c>
      <c r="D5322" s="2">
        <v>4.7898000000000003E-2</v>
      </c>
      <c r="E5322" s="2">
        <v>8.7368722999999999</v>
      </c>
      <c r="F5322" s="2">
        <v>8.9261266999999993</v>
      </c>
      <c r="H5322" s="8" t="str">
        <f t="shared" ref="H5322:H5325" si="221">TEXT(C5322,"0.00")&amp;" ("&amp;TEXT(E5322,"0.00")&amp;" to "&amp;TEXT(F5322,"0.00")&amp;")"</f>
        <v>8.83 (8.74 to 8.93)</v>
      </c>
    </row>
    <row r="5323" spans="1:8" ht="17.25" thickBot="1" x14ac:dyDescent="0.35">
      <c r="A5323" s="13" t="s">
        <v>67</v>
      </c>
      <c r="B5323" s="2">
        <v>237</v>
      </c>
      <c r="C5323" s="2">
        <v>0.70626199999999995</v>
      </c>
      <c r="D5323" s="2">
        <v>5.006E-3</v>
      </c>
      <c r="E5323" s="2">
        <v>0.69637130000000003</v>
      </c>
      <c r="F5323" s="2">
        <v>0.71615220000000002</v>
      </c>
      <c r="H5323" s="8" t="str">
        <f t="shared" si="221"/>
        <v>0.71 (0.70 to 0.72)</v>
      </c>
    </row>
    <row r="5324" spans="1:8" ht="17.25" thickBot="1" x14ac:dyDescent="0.35">
      <c r="A5324" s="13" t="s">
        <v>68</v>
      </c>
      <c r="B5324" s="2">
        <v>237</v>
      </c>
      <c r="C5324" s="2">
        <v>0.45718500000000001</v>
      </c>
      <c r="D5324" s="2">
        <v>2.2057E-2</v>
      </c>
      <c r="E5324" s="2">
        <v>0.4136087</v>
      </c>
      <c r="F5324" s="2">
        <v>0.50076180000000003</v>
      </c>
      <c r="H5324" s="8" t="str">
        <f t="shared" si="221"/>
        <v>0.46 (0.41 to 0.50)</v>
      </c>
    </row>
    <row r="5325" spans="1:8" x14ac:dyDescent="0.3">
      <c r="A5325" s="14" t="s">
        <v>69</v>
      </c>
      <c r="B5325" s="2">
        <v>237</v>
      </c>
      <c r="C5325" s="2">
        <v>39.065877999999998</v>
      </c>
      <c r="D5325" s="2">
        <v>0.54325800000000002</v>
      </c>
      <c r="E5325" s="2">
        <v>37.9926222</v>
      </c>
      <c r="F5325" s="2">
        <v>40.139133000000001</v>
      </c>
      <c r="H5325" s="8" t="str">
        <f t="shared" si="221"/>
        <v>39.07 (37.99 to 40.14)</v>
      </c>
    </row>
    <row r="5329" spans="1:6" x14ac:dyDescent="0.3">
      <c r="A5329" s="1" t="s">
        <v>129</v>
      </c>
    </row>
    <row r="5331" spans="1:6" x14ac:dyDescent="0.3">
      <c r="A5331" s="1" t="s">
        <v>364</v>
      </c>
    </row>
    <row r="5332" spans="1:6" ht="17.25" thickBot="1" x14ac:dyDescent="0.35"/>
    <row r="5333" spans="1:6" ht="16.5" customHeight="1" x14ac:dyDescent="0.3">
      <c r="A5333" s="24" t="s">
        <v>75</v>
      </c>
      <c r="B5333" s="26"/>
    </row>
    <row r="5334" spans="1:6" ht="26.25" thickBot="1" x14ac:dyDescent="0.35">
      <c r="A5334" s="13" t="s">
        <v>76</v>
      </c>
      <c r="B5334" s="2">
        <v>54</v>
      </c>
    </row>
    <row r="5335" spans="1:6" ht="26.25" thickBot="1" x14ac:dyDescent="0.35">
      <c r="A5335" s="13" t="s">
        <v>77</v>
      </c>
      <c r="B5335" s="2">
        <v>576</v>
      </c>
    </row>
    <row r="5336" spans="1:6" ht="39" thickBot="1" x14ac:dyDescent="0.35">
      <c r="A5336" s="13" t="s">
        <v>78</v>
      </c>
      <c r="B5336" s="2">
        <v>13882</v>
      </c>
    </row>
    <row r="5337" spans="1:6" ht="25.5" x14ac:dyDescent="0.3">
      <c r="A5337" s="14" t="s">
        <v>79</v>
      </c>
      <c r="B5337" s="2">
        <v>6228644.9800000004</v>
      </c>
    </row>
    <row r="5338" spans="1:6" ht="17.25" thickBot="1" x14ac:dyDescent="0.35"/>
    <row r="5339" spans="1:6" ht="33" customHeight="1" x14ac:dyDescent="0.3">
      <c r="A5339" s="24" t="s">
        <v>80</v>
      </c>
      <c r="B5339" s="26"/>
    </row>
    <row r="5340" spans="1:6" ht="33.75" thickBot="1" x14ac:dyDescent="0.35">
      <c r="A5340" s="13" t="s">
        <v>81</v>
      </c>
      <c r="B5340" s="2" t="s">
        <v>82</v>
      </c>
    </row>
    <row r="5341" spans="1:6" ht="25.5" x14ac:dyDescent="0.3">
      <c r="A5341" s="14" t="s">
        <v>83</v>
      </c>
      <c r="B5341" s="2" t="s">
        <v>84</v>
      </c>
    </row>
    <row r="5342" spans="1:6" ht="17.25" thickBot="1" x14ac:dyDescent="0.35"/>
    <row r="5343" spans="1:6" ht="16.5" customHeight="1" x14ac:dyDescent="0.3">
      <c r="A5343" s="24" t="s">
        <v>130</v>
      </c>
      <c r="B5343" s="26"/>
      <c r="C5343" s="26"/>
      <c r="D5343" s="26"/>
      <c r="E5343" s="26"/>
      <c r="F5343" s="26"/>
    </row>
    <row r="5344" spans="1:6" x14ac:dyDescent="0.3">
      <c r="A5344" s="25" t="s">
        <v>131</v>
      </c>
      <c r="B5344" s="27" t="s">
        <v>46</v>
      </c>
      <c r="C5344" s="27" t="s">
        <v>132</v>
      </c>
      <c r="D5344" s="3" t="s">
        <v>133</v>
      </c>
      <c r="E5344" s="27" t="s">
        <v>135</v>
      </c>
      <c r="F5344" s="27"/>
    </row>
    <row r="5345" spans="1:8" x14ac:dyDescent="0.3">
      <c r="A5345" s="25"/>
      <c r="B5345" s="27"/>
      <c r="C5345" s="27"/>
      <c r="D5345" s="3" t="s">
        <v>134</v>
      </c>
      <c r="E5345" s="27"/>
      <c r="F5345" s="27"/>
    </row>
    <row r="5346" spans="1:8" ht="17.25" thickBot="1" x14ac:dyDescent="0.35">
      <c r="A5346" s="13" t="s">
        <v>66</v>
      </c>
      <c r="B5346" s="2">
        <v>13882</v>
      </c>
      <c r="C5346" s="2">
        <v>8.6068739999999995</v>
      </c>
      <c r="D5346" s="2">
        <v>7.6410000000000002E-3</v>
      </c>
      <c r="E5346" s="2">
        <v>8.5918636999999993</v>
      </c>
      <c r="F5346" s="2">
        <v>8.6218850000000007</v>
      </c>
      <c r="H5346" s="8" t="str">
        <f t="shared" ref="H5346:H5349" si="222">TEXT(C5346,"0.00")&amp;" ("&amp;TEXT(E5346,"0.00")&amp;" to "&amp;TEXT(F5346,"0.00")&amp;")"</f>
        <v>8.61 (8.59 to 8.62)</v>
      </c>
    </row>
    <row r="5347" spans="1:8" ht="17.25" thickBot="1" x14ac:dyDescent="0.35">
      <c r="A5347" s="13" t="s">
        <v>67</v>
      </c>
      <c r="B5347" s="2">
        <v>13882</v>
      </c>
      <c r="C5347" s="2">
        <v>0.66388800000000003</v>
      </c>
      <c r="D5347" s="2">
        <v>9.7900000000000005E-4</v>
      </c>
      <c r="E5347" s="2">
        <v>0.66196520000000003</v>
      </c>
      <c r="F5347" s="2">
        <v>0.6658115</v>
      </c>
      <c r="H5347" s="8" t="str">
        <f t="shared" si="222"/>
        <v>0.66 (0.66 to 0.67)</v>
      </c>
    </row>
    <row r="5348" spans="1:8" ht="17.25" thickBot="1" x14ac:dyDescent="0.35">
      <c r="A5348" s="13" t="s">
        <v>68</v>
      </c>
      <c r="B5348" s="2">
        <v>13882</v>
      </c>
      <c r="C5348" s="2">
        <v>0.352184</v>
      </c>
      <c r="D5348" s="2">
        <v>3.7239999999999999E-3</v>
      </c>
      <c r="E5348" s="2">
        <v>0.34486800000000001</v>
      </c>
      <c r="F5348" s="2">
        <v>0.3595005</v>
      </c>
      <c r="H5348" s="8" t="str">
        <f t="shared" si="222"/>
        <v>0.35 (0.34 to 0.36)</v>
      </c>
    </row>
    <row r="5349" spans="1:8" x14ac:dyDescent="0.3">
      <c r="A5349" s="14" t="s">
        <v>69</v>
      </c>
      <c r="B5349" s="2">
        <v>13882</v>
      </c>
      <c r="C5349" s="2">
        <v>35.713298000000002</v>
      </c>
      <c r="D5349" s="2">
        <v>8.6813000000000001E-2</v>
      </c>
      <c r="E5349" s="2">
        <v>35.542752200000002</v>
      </c>
      <c r="F5349" s="2">
        <v>35.883842999999999</v>
      </c>
      <c r="H5349" s="8" t="str">
        <f t="shared" si="222"/>
        <v>35.71 (35.54 to 35.88)</v>
      </c>
    </row>
    <row r="5353" spans="1:8" x14ac:dyDescent="0.3">
      <c r="A5353" s="1" t="s">
        <v>129</v>
      </c>
    </row>
    <row r="5355" spans="1:8" x14ac:dyDescent="0.3">
      <c r="A5355" s="1" t="s">
        <v>365</v>
      </c>
    </row>
    <row r="5356" spans="1:8" ht="17.25" thickBot="1" x14ac:dyDescent="0.35"/>
    <row r="5357" spans="1:8" ht="16.5" customHeight="1" x14ac:dyDescent="0.3">
      <c r="A5357" s="24" t="s">
        <v>75</v>
      </c>
      <c r="B5357" s="26"/>
    </row>
    <row r="5358" spans="1:8" ht="26.25" thickBot="1" x14ac:dyDescent="0.35">
      <c r="A5358" s="13" t="s">
        <v>76</v>
      </c>
      <c r="B5358" s="2">
        <v>51</v>
      </c>
    </row>
    <row r="5359" spans="1:8" ht="26.25" thickBot="1" x14ac:dyDescent="0.35">
      <c r="A5359" s="13" t="s">
        <v>77</v>
      </c>
      <c r="B5359" s="2">
        <v>207</v>
      </c>
    </row>
    <row r="5360" spans="1:8" ht="39" thickBot="1" x14ac:dyDescent="0.35">
      <c r="A5360" s="13" t="s">
        <v>78</v>
      </c>
      <c r="B5360" s="2">
        <v>276</v>
      </c>
    </row>
    <row r="5361" spans="1:8" ht="25.5" x14ac:dyDescent="0.3">
      <c r="A5361" s="14" t="s">
        <v>79</v>
      </c>
      <c r="B5361" s="2">
        <v>92315.528999999995</v>
      </c>
    </row>
    <row r="5362" spans="1:8" ht="17.25" thickBot="1" x14ac:dyDescent="0.35"/>
    <row r="5363" spans="1:8" ht="33" customHeight="1" x14ac:dyDescent="0.3">
      <c r="A5363" s="24" t="s">
        <v>80</v>
      </c>
      <c r="B5363" s="26"/>
    </row>
    <row r="5364" spans="1:8" ht="33.75" thickBot="1" x14ac:dyDescent="0.35">
      <c r="A5364" s="13" t="s">
        <v>81</v>
      </c>
      <c r="B5364" s="2" t="s">
        <v>82</v>
      </c>
    </row>
    <row r="5365" spans="1:8" ht="25.5" x14ac:dyDescent="0.3">
      <c r="A5365" s="14" t="s">
        <v>83</v>
      </c>
      <c r="B5365" s="2" t="s">
        <v>84</v>
      </c>
    </row>
    <row r="5366" spans="1:8" ht="17.25" thickBot="1" x14ac:dyDescent="0.35"/>
    <row r="5367" spans="1:8" ht="16.5" customHeight="1" x14ac:dyDescent="0.3">
      <c r="A5367" s="24" t="s">
        <v>130</v>
      </c>
      <c r="B5367" s="26"/>
      <c r="C5367" s="26"/>
      <c r="D5367" s="26"/>
      <c r="E5367" s="26"/>
      <c r="F5367" s="26"/>
    </row>
    <row r="5368" spans="1:8" x14ac:dyDescent="0.3">
      <c r="A5368" s="25" t="s">
        <v>131</v>
      </c>
      <c r="B5368" s="27" t="s">
        <v>46</v>
      </c>
      <c r="C5368" s="27" t="s">
        <v>132</v>
      </c>
      <c r="D5368" s="3" t="s">
        <v>133</v>
      </c>
      <c r="E5368" s="27" t="s">
        <v>135</v>
      </c>
      <c r="F5368" s="27"/>
    </row>
    <row r="5369" spans="1:8" x14ac:dyDescent="0.3">
      <c r="A5369" s="25"/>
      <c r="B5369" s="27"/>
      <c r="C5369" s="27"/>
      <c r="D5369" s="3" t="s">
        <v>134</v>
      </c>
      <c r="E5369" s="27"/>
      <c r="F5369" s="27"/>
    </row>
    <row r="5370" spans="1:8" ht="17.25" thickBot="1" x14ac:dyDescent="0.35">
      <c r="A5370" s="13" t="s">
        <v>66</v>
      </c>
      <c r="B5370" s="2">
        <v>276</v>
      </c>
      <c r="C5370" s="2">
        <v>8.7999790000000004</v>
      </c>
      <c r="D5370" s="2">
        <v>4.8190999999999998E-2</v>
      </c>
      <c r="E5370" s="2">
        <v>8.7047872999999996</v>
      </c>
      <c r="F5370" s="2">
        <v>8.8951714000000006</v>
      </c>
      <c r="H5370" s="8" t="str">
        <f t="shared" ref="H5370:H5373" si="223">TEXT(C5370,"0.00")&amp;" ("&amp;TEXT(E5370,"0.00")&amp;" to "&amp;TEXT(F5370,"0.00")&amp;")"</f>
        <v>8.80 (8.70 to 8.90)</v>
      </c>
    </row>
    <row r="5371" spans="1:8" ht="17.25" thickBot="1" x14ac:dyDescent="0.35">
      <c r="A5371" s="13" t="s">
        <v>67</v>
      </c>
      <c r="B5371" s="2">
        <v>276</v>
      </c>
      <c r="C5371" s="2">
        <v>0.70887999999999995</v>
      </c>
      <c r="D5371" s="2">
        <v>5.1180000000000002E-3</v>
      </c>
      <c r="E5371" s="2">
        <v>0.69877100000000003</v>
      </c>
      <c r="F5371" s="2">
        <v>0.7189894</v>
      </c>
      <c r="H5371" s="8" t="str">
        <f t="shared" si="223"/>
        <v>0.71 (0.70 to 0.72)</v>
      </c>
    </row>
    <row r="5372" spans="1:8" ht="17.25" thickBot="1" x14ac:dyDescent="0.35">
      <c r="A5372" s="13" t="s">
        <v>68</v>
      </c>
      <c r="B5372" s="2">
        <v>276</v>
      </c>
      <c r="C5372" s="2">
        <v>0.406171</v>
      </c>
      <c r="D5372" s="2">
        <v>2.1759000000000001E-2</v>
      </c>
      <c r="E5372" s="2">
        <v>0.3631915</v>
      </c>
      <c r="F5372" s="2">
        <v>0.44915149999999998</v>
      </c>
      <c r="H5372" s="8" t="str">
        <f t="shared" si="223"/>
        <v>0.41 (0.36 to 0.45)</v>
      </c>
    </row>
    <row r="5373" spans="1:8" x14ac:dyDescent="0.3">
      <c r="A5373" s="14" t="s">
        <v>69</v>
      </c>
      <c r="B5373" s="2">
        <v>276</v>
      </c>
      <c r="C5373" s="2">
        <v>37.552964000000003</v>
      </c>
      <c r="D5373" s="2">
        <v>0.48746800000000001</v>
      </c>
      <c r="E5373" s="2">
        <v>36.590074399999999</v>
      </c>
      <c r="F5373" s="2">
        <v>38.515853999999997</v>
      </c>
      <c r="H5373" s="8" t="str">
        <f t="shared" si="223"/>
        <v>37.55 (36.59 to 38.52)</v>
      </c>
    </row>
    <row r="5377" spans="1:6" x14ac:dyDescent="0.3">
      <c r="A5377" s="1" t="s">
        <v>129</v>
      </c>
    </row>
    <row r="5379" spans="1:6" x14ac:dyDescent="0.3">
      <c r="A5379" s="1" t="s">
        <v>366</v>
      </c>
    </row>
    <row r="5380" spans="1:6" ht="17.25" thickBot="1" x14ac:dyDescent="0.35"/>
    <row r="5381" spans="1:6" ht="16.5" customHeight="1" x14ac:dyDescent="0.3">
      <c r="A5381" s="24" t="s">
        <v>75</v>
      </c>
      <c r="B5381" s="26"/>
    </row>
    <row r="5382" spans="1:6" ht="26.25" thickBot="1" x14ac:dyDescent="0.35">
      <c r="A5382" s="13" t="s">
        <v>76</v>
      </c>
      <c r="B5382" s="2">
        <v>27</v>
      </c>
    </row>
    <row r="5383" spans="1:6" ht="26.25" thickBot="1" x14ac:dyDescent="0.35">
      <c r="A5383" s="13" t="s">
        <v>77</v>
      </c>
      <c r="B5383" s="2">
        <v>564</v>
      </c>
    </row>
    <row r="5384" spans="1:6" ht="39" thickBot="1" x14ac:dyDescent="0.35">
      <c r="A5384" s="13" t="s">
        <v>78</v>
      </c>
      <c r="B5384" s="2">
        <v>13294</v>
      </c>
    </row>
    <row r="5385" spans="1:6" ht="25.5" x14ac:dyDescent="0.3">
      <c r="A5385" s="14" t="s">
        <v>79</v>
      </c>
      <c r="B5385" s="2">
        <v>6458046.8200000003</v>
      </c>
    </row>
    <row r="5386" spans="1:6" ht="17.25" thickBot="1" x14ac:dyDescent="0.35"/>
    <row r="5387" spans="1:6" ht="33" customHeight="1" x14ac:dyDescent="0.3">
      <c r="A5387" s="24" t="s">
        <v>80</v>
      </c>
      <c r="B5387" s="26"/>
    </row>
    <row r="5388" spans="1:6" ht="33.75" thickBot="1" x14ac:dyDescent="0.35">
      <c r="A5388" s="13" t="s">
        <v>81</v>
      </c>
      <c r="B5388" s="2" t="s">
        <v>82</v>
      </c>
    </row>
    <row r="5389" spans="1:6" ht="25.5" x14ac:dyDescent="0.3">
      <c r="A5389" s="14" t="s">
        <v>83</v>
      </c>
      <c r="B5389" s="2" t="s">
        <v>84</v>
      </c>
    </row>
    <row r="5390" spans="1:6" ht="17.25" thickBot="1" x14ac:dyDescent="0.35"/>
    <row r="5391" spans="1:6" ht="16.5" customHeight="1" x14ac:dyDescent="0.3">
      <c r="A5391" s="24" t="s">
        <v>130</v>
      </c>
      <c r="B5391" s="26"/>
      <c r="C5391" s="26"/>
      <c r="D5391" s="26"/>
      <c r="E5391" s="26"/>
      <c r="F5391" s="26"/>
    </row>
    <row r="5392" spans="1:6" x14ac:dyDescent="0.3">
      <c r="A5392" s="25" t="s">
        <v>131</v>
      </c>
      <c r="B5392" s="27" t="s">
        <v>46</v>
      </c>
      <c r="C5392" s="27" t="s">
        <v>132</v>
      </c>
      <c r="D5392" s="3" t="s">
        <v>133</v>
      </c>
      <c r="E5392" s="27" t="s">
        <v>135</v>
      </c>
      <c r="F5392" s="27"/>
    </row>
    <row r="5393" spans="1:8" x14ac:dyDescent="0.3">
      <c r="A5393" s="25"/>
      <c r="B5393" s="27"/>
      <c r="C5393" s="27"/>
      <c r="D5393" s="3" t="s">
        <v>134</v>
      </c>
      <c r="E5393" s="27"/>
      <c r="F5393" s="27"/>
    </row>
    <row r="5394" spans="1:8" ht="17.25" thickBot="1" x14ac:dyDescent="0.35">
      <c r="A5394" s="13" t="s">
        <v>66</v>
      </c>
      <c r="B5394" s="2">
        <v>13294</v>
      </c>
      <c r="C5394" s="2">
        <v>8.5832660000000001</v>
      </c>
      <c r="D5394" s="2">
        <v>7.7879999999999998E-3</v>
      </c>
      <c r="E5394" s="2">
        <v>8.5679684999999992</v>
      </c>
      <c r="F5394" s="2">
        <v>8.5985641000000008</v>
      </c>
      <c r="H5394" s="8" t="str">
        <f t="shared" ref="H5394:H5397" si="224">TEXT(C5394,"0.00")&amp;" ("&amp;TEXT(E5394,"0.00")&amp;" to "&amp;TEXT(F5394,"0.00")&amp;")"</f>
        <v>8.58 (8.57 to 8.60)</v>
      </c>
    </row>
    <row r="5395" spans="1:8" ht="17.25" thickBot="1" x14ac:dyDescent="0.35">
      <c r="A5395" s="13" t="s">
        <v>67</v>
      </c>
      <c r="B5395" s="2">
        <v>13294</v>
      </c>
      <c r="C5395" s="2">
        <v>0.67161899999999997</v>
      </c>
      <c r="D5395" s="2">
        <v>9.4499999999999998E-4</v>
      </c>
      <c r="E5395" s="2">
        <v>0.66976279999999999</v>
      </c>
      <c r="F5395" s="2">
        <v>0.67347539999999995</v>
      </c>
      <c r="H5395" s="8" t="str">
        <f t="shared" si="224"/>
        <v>0.67 (0.67 to 0.67)</v>
      </c>
    </row>
    <row r="5396" spans="1:8" ht="17.25" thickBot="1" x14ac:dyDescent="0.35">
      <c r="A5396" s="13" t="s">
        <v>68</v>
      </c>
      <c r="B5396" s="2">
        <v>13294</v>
      </c>
      <c r="C5396" s="2">
        <v>0.32720700000000003</v>
      </c>
      <c r="D5396" s="2">
        <v>3.8379999999999998E-3</v>
      </c>
      <c r="E5396" s="2">
        <v>0.31966689999999998</v>
      </c>
      <c r="F5396" s="2">
        <v>0.33474660000000001</v>
      </c>
      <c r="H5396" s="8" t="str">
        <f t="shared" si="224"/>
        <v>0.33 (0.32 to 0.33)</v>
      </c>
    </row>
    <row r="5397" spans="1:8" x14ac:dyDescent="0.3">
      <c r="A5397" s="14" t="s">
        <v>69</v>
      </c>
      <c r="B5397" s="2">
        <v>13294</v>
      </c>
      <c r="C5397" s="2">
        <v>35.773833000000003</v>
      </c>
      <c r="D5397" s="2">
        <v>9.2455999999999997E-2</v>
      </c>
      <c r="E5397" s="2">
        <v>35.592213200000003</v>
      </c>
      <c r="F5397" s="2">
        <v>35.955452299999997</v>
      </c>
      <c r="H5397" s="8" t="str">
        <f t="shared" si="224"/>
        <v>35.77 (35.59 to 35.96)</v>
      </c>
    </row>
    <row r="5401" spans="1:8" x14ac:dyDescent="0.3">
      <c r="A5401" s="1" t="s">
        <v>129</v>
      </c>
    </row>
    <row r="5403" spans="1:8" x14ac:dyDescent="0.3">
      <c r="A5403" s="1" t="s">
        <v>367</v>
      </c>
    </row>
    <row r="5404" spans="1:8" ht="17.25" thickBot="1" x14ac:dyDescent="0.35"/>
    <row r="5405" spans="1:8" ht="16.5" customHeight="1" x14ac:dyDescent="0.3">
      <c r="A5405" s="24" t="s">
        <v>75</v>
      </c>
      <c r="B5405" s="26"/>
    </row>
    <row r="5406" spans="1:8" ht="26.25" thickBot="1" x14ac:dyDescent="0.35">
      <c r="A5406" s="13" t="s">
        <v>76</v>
      </c>
      <c r="B5406" s="2">
        <v>25</v>
      </c>
    </row>
    <row r="5407" spans="1:8" ht="26.25" thickBot="1" x14ac:dyDescent="0.35">
      <c r="A5407" s="13" t="s">
        <v>77</v>
      </c>
      <c r="B5407" s="2">
        <v>197</v>
      </c>
    </row>
    <row r="5408" spans="1:8" ht="39" thickBot="1" x14ac:dyDescent="0.35">
      <c r="A5408" s="13" t="s">
        <v>78</v>
      </c>
      <c r="B5408" s="2">
        <v>261</v>
      </c>
    </row>
    <row r="5409" spans="1:8" ht="25.5" x14ac:dyDescent="0.3">
      <c r="A5409" s="14" t="s">
        <v>79</v>
      </c>
      <c r="B5409" s="2">
        <v>96651.996299999999</v>
      </c>
    </row>
    <row r="5410" spans="1:8" ht="17.25" thickBot="1" x14ac:dyDescent="0.35"/>
    <row r="5411" spans="1:8" ht="33" customHeight="1" x14ac:dyDescent="0.3">
      <c r="A5411" s="24" t="s">
        <v>80</v>
      </c>
      <c r="B5411" s="26"/>
    </row>
    <row r="5412" spans="1:8" ht="33.75" thickBot="1" x14ac:dyDescent="0.35">
      <c r="A5412" s="13" t="s">
        <v>81</v>
      </c>
      <c r="B5412" s="2" t="s">
        <v>82</v>
      </c>
    </row>
    <row r="5413" spans="1:8" ht="25.5" x14ac:dyDescent="0.3">
      <c r="A5413" s="14" t="s">
        <v>83</v>
      </c>
      <c r="B5413" s="2" t="s">
        <v>84</v>
      </c>
    </row>
    <row r="5414" spans="1:8" ht="17.25" thickBot="1" x14ac:dyDescent="0.35"/>
    <row r="5415" spans="1:8" ht="16.5" customHeight="1" x14ac:dyDescent="0.3">
      <c r="A5415" s="24" t="s">
        <v>130</v>
      </c>
      <c r="B5415" s="26"/>
      <c r="C5415" s="26"/>
      <c r="D5415" s="26"/>
      <c r="E5415" s="26"/>
      <c r="F5415" s="26"/>
    </row>
    <row r="5416" spans="1:8" x14ac:dyDescent="0.3">
      <c r="A5416" s="25" t="s">
        <v>131</v>
      </c>
      <c r="B5416" s="27" t="s">
        <v>46</v>
      </c>
      <c r="C5416" s="27" t="s">
        <v>132</v>
      </c>
      <c r="D5416" s="3" t="s">
        <v>133</v>
      </c>
      <c r="E5416" s="27" t="s">
        <v>135</v>
      </c>
      <c r="F5416" s="27"/>
    </row>
    <row r="5417" spans="1:8" x14ac:dyDescent="0.3">
      <c r="A5417" s="25"/>
      <c r="B5417" s="27"/>
      <c r="C5417" s="27"/>
      <c r="D5417" s="3" t="s">
        <v>134</v>
      </c>
      <c r="E5417" s="27"/>
      <c r="F5417" s="27"/>
    </row>
    <row r="5418" spans="1:8" ht="17.25" thickBot="1" x14ac:dyDescent="0.35">
      <c r="A5418" s="13" t="s">
        <v>66</v>
      </c>
      <c r="B5418" s="2">
        <v>261</v>
      </c>
      <c r="C5418" s="2">
        <v>8.7624860000000009</v>
      </c>
      <c r="D5418" s="2">
        <v>4.6185999999999998E-2</v>
      </c>
      <c r="E5418" s="2">
        <v>8.6713219000000006</v>
      </c>
      <c r="F5418" s="2">
        <v>8.8536505000000005</v>
      </c>
      <c r="H5418" s="8" t="str">
        <f t="shared" ref="H5418:H5421" si="225">TEXT(C5418,"0.00")&amp;" ("&amp;TEXT(E5418,"0.00")&amp;" to "&amp;TEXT(F5418,"0.00")&amp;")"</f>
        <v>8.76 (8.67 to 8.85)</v>
      </c>
    </row>
    <row r="5419" spans="1:8" ht="17.25" thickBot="1" x14ac:dyDescent="0.35">
      <c r="A5419" s="13" t="s">
        <v>67</v>
      </c>
      <c r="B5419" s="2">
        <v>261</v>
      </c>
      <c r="C5419" s="2">
        <v>0.71884400000000004</v>
      </c>
      <c r="D5419" s="2">
        <v>4.6039999999999996E-3</v>
      </c>
      <c r="E5419" s="2">
        <v>0.70975639999999995</v>
      </c>
      <c r="F5419" s="2">
        <v>0.72793070000000004</v>
      </c>
      <c r="H5419" s="8" t="str">
        <f t="shared" si="225"/>
        <v>0.72 (0.71 to 0.73)</v>
      </c>
    </row>
    <row r="5420" spans="1:8" ht="17.25" thickBot="1" x14ac:dyDescent="0.35">
      <c r="A5420" s="13" t="s">
        <v>68</v>
      </c>
      <c r="B5420" s="2">
        <v>261</v>
      </c>
      <c r="C5420" s="2">
        <v>0.40313100000000002</v>
      </c>
      <c r="D5420" s="2">
        <v>2.1915E-2</v>
      </c>
      <c r="E5420" s="2">
        <v>0.35987350000000001</v>
      </c>
      <c r="F5420" s="2">
        <v>0.44638909999999998</v>
      </c>
      <c r="H5420" s="8" t="str">
        <f t="shared" si="225"/>
        <v>0.40 (0.36 to 0.45)</v>
      </c>
    </row>
    <row r="5421" spans="1:8" x14ac:dyDescent="0.3">
      <c r="A5421" s="14" t="s">
        <v>69</v>
      </c>
      <c r="B5421" s="2">
        <v>261</v>
      </c>
      <c r="C5421" s="2">
        <v>37.928756999999997</v>
      </c>
      <c r="D5421" s="2">
        <v>0.52524400000000004</v>
      </c>
      <c r="E5421" s="2">
        <v>36.8920022</v>
      </c>
      <c r="F5421" s="2">
        <v>38.965511999999997</v>
      </c>
      <c r="H5421" s="8" t="str">
        <f t="shared" si="225"/>
        <v>37.93 (36.89 to 38.97)</v>
      </c>
    </row>
    <row r="5425" spans="1:6" x14ac:dyDescent="0.3">
      <c r="A5425" s="1" t="s">
        <v>129</v>
      </c>
    </row>
    <row r="5427" spans="1:6" x14ac:dyDescent="0.3">
      <c r="A5427" s="1" t="s">
        <v>368</v>
      </c>
    </row>
    <row r="5428" spans="1:6" ht="17.25" thickBot="1" x14ac:dyDescent="0.35"/>
    <row r="5429" spans="1:6" ht="16.5" customHeight="1" x14ac:dyDescent="0.3">
      <c r="A5429" s="24" t="s">
        <v>75</v>
      </c>
      <c r="B5429" s="26"/>
    </row>
    <row r="5430" spans="1:6" ht="26.25" thickBot="1" x14ac:dyDescent="0.35">
      <c r="A5430" s="13" t="s">
        <v>76</v>
      </c>
      <c r="B5430" s="2">
        <v>27</v>
      </c>
    </row>
    <row r="5431" spans="1:6" ht="26.25" thickBot="1" x14ac:dyDescent="0.35">
      <c r="A5431" s="13" t="s">
        <v>77</v>
      </c>
      <c r="B5431" s="2">
        <v>190</v>
      </c>
    </row>
    <row r="5432" spans="1:6" ht="39" thickBot="1" x14ac:dyDescent="0.35">
      <c r="A5432" s="13" t="s">
        <v>78</v>
      </c>
      <c r="B5432" s="2">
        <v>4339</v>
      </c>
    </row>
    <row r="5433" spans="1:6" ht="25.5" x14ac:dyDescent="0.3">
      <c r="A5433" s="14" t="s">
        <v>79</v>
      </c>
      <c r="B5433" s="2">
        <v>2122304.2599999998</v>
      </c>
    </row>
    <row r="5434" spans="1:6" ht="17.25" thickBot="1" x14ac:dyDescent="0.35"/>
    <row r="5435" spans="1:6" ht="33" customHeight="1" x14ac:dyDescent="0.3">
      <c r="A5435" s="24" t="s">
        <v>80</v>
      </c>
      <c r="B5435" s="26"/>
    </row>
    <row r="5436" spans="1:6" ht="33.75" thickBot="1" x14ac:dyDescent="0.35">
      <c r="A5436" s="13" t="s">
        <v>81</v>
      </c>
      <c r="B5436" s="2" t="s">
        <v>82</v>
      </c>
    </row>
    <row r="5437" spans="1:6" ht="25.5" x14ac:dyDescent="0.3">
      <c r="A5437" s="14" t="s">
        <v>83</v>
      </c>
      <c r="B5437" s="2" t="s">
        <v>84</v>
      </c>
    </row>
    <row r="5438" spans="1:6" ht="17.25" thickBot="1" x14ac:dyDescent="0.35"/>
    <row r="5439" spans="1:6" ht="16.5" customHeight="1" x14ac:dyDescent="0.3">
      <c r="A5439" s="24" t="s">
        <v>130</v>
      </c>
      <c r="B5439" s="26"/>
      <c r="C5439" s="26"/>
      <c r="D5439" s="26"/>
      <c r="E5439" s="26"/>
      <c r="F5439" s="26"/>
    </row>
    <row r="5440" spans="1:6" x14ac:dyDescent="0.3">
      <c r="A5440" s="25" t="s">
        <v>131</v>
      </c>
      <c r="B5440" s="27" t="s">
        <v>46</v>
      </c>
      <c r="C5440" s="27" t="s">
        <v>132</v>
      </c>
      <c r="D5440" s="3" t="s">
        <v>133</v>
      </c>
      <c r="E5440" s="27" t="s">
        <v>135</v>
      </c>
      <c r="F5440" s="27"/>
    </row>
    <row r="5441" spans="1:8" x14ac:dyDescent="0.3">
      <c r="A5441" s="25"/>
      <c r="B5441" s="27"/>
      <c r="C5441" s="27"/>
      <c r="D5441" s="3" t="s">
        <v>134</v>
      </c>
      <c r="E5441" s="27"/>
      <c r="F5441" s="27"/>
    </row>
    <row r="5442" spans="1:8" ht="17.25" thickBot="1" x14ac:dyDescent="0.35">
      <c r="A5442" s="13" t="s">
        <v>66</v>
      </c>
      <c r="B5442" s="2">
        <v>4339</v>
      </c>
      <c r="C5442" s="2">
        <v>8.5906149999999997</v>
      </c>
      <c r="D5442" s="2">
        <v>1.2089000000000001E-2</v>
      </c>
      <c r="E5442" s="2">
        <v>8.5667445000000004</v>
      </c>
      <c r="F5442" s="2">
        <v>8.6144852000000007</v>
      </c>
      <c r="H5442" s="8" t="str">
        <f t="shared" ref="H5442:H5445" si="226">TEXT(C5442,"0.00")&amp;" ("&amp;TEXT(E5442,"0.00")&amp;" to "&amp;TEXT(F5442,"0.00")&amp;")"</f>
        <v>8.59 (8.57 to 8.61)</v>
      </c>
    </row>
    <row r="5443" spans="1:8" ht="17.25" thickBot="1" x14ac:dyDescent="0.35">
      <c r="A5443" s="13" t="s">
        <v>67</v>
      </c>
      <c r="B5443" s="2">
        <v>4339</v>
      </c>
      <c r="C5443" s="2">
        <v>0.66829099999999997</v>
      </c>
      <c r="D5443" s="2">
        <v>1.622E-3</v>
      </c>
      <c r="E5443" s="2">
        <v>0.66508789999999995</v>
      </c>
      <c r="F5443" s="2">
        <v>0.67149499999999995</v>
      </c>
      <c r="H5443" s="8" t="str">
        <f t="shared" si="226"/>
        <v>0.67 (0.67 to 0.67)</v>
      </c>
    </row>
    <row r="5444" spans="1:8" ht="17.25" thickBot="1" x14ac:dyDescent="0.35">
      <c r="A5444" s="13" t="s">
        <v>68</v>
      </c>
      <c r="B5444" s="2">
        <v>4339</v>
      </c>
      <c r="C5444" s="2">
        <v>0.28913299999999997</v>
      </c>
      <c r="D5444" s="2">
        <v>6.3689999999999997E-3</v>
      </c>
      <c r="E5444" s="2">
        <v>0.27655619999999997</v>
      </c>
      <c r="F5444" s="2">
        <v>0.30171039999999999</v>
      </c>
      <c r="H5444" s="8" t="str">
        <f t="shared" si="226"/>
        <v>0.29 (0.28 to 0.30)</v>
      </c>
    </row>
    <row r="5445" spans="1:8" x14ac:dyDescent="0.3">
      <c r="A5445" s="14" t="s">
        <v>69</v>
      </c>
      <c r="B5445" s="2">
        <v>4339</v>
      </c>
      <c r="C5445" s="2">
        <v>35.257519000000002</v>
      </c>
      <c r="D5445" s="2">
        <v>0.17361699999999999</v>
      </c>
      <c r="E5445" s="2">
        <v>34.914690800000002</v>
      </c>
      <c r="F5445" s="2">
        <v>35.600347200000002</v>
      </c>
      <c r="H5445" s="8" t="str">
        <f t="shared" si="226"/>
        <v>35.26 (34.91 to 35.60)</v>
      </c>
    </row>
    <row r="5449" spans="1:8" x14ac:dyDescent="0.3">
      <c r="A5449" s="1" t="s">
        <v>129</v>
      </c>
    </row>
    <row r="5451" spans="1:8" x14ac:dyDescent="0.3">
      <c r="A5451" s="1" t="s">
        <v>369</v>
      </c>
    </row>
    <row r="5452" spans="1:8" ht="17.25" thickBot="1" x14ac:dyDescent="0.35"/>
    <row r="5453" spans="1:8" ht="16.5" customHeight="1" x14ac:dyDescent="0.3">
      <c r="A5453" s="24" t="s">
        <v>75</v>
      </c>
      <c r="B5453" s="26"/>
    </row>
    <row r="5454" spans="1:8" ht="26.25" thickBot="1" x14ac:dyDescent="0.35">
      <c r="A5454" s="13" t="s">
        <v>76</v>
      </c>
      <c r="B5454" s="2">
        <v>22</v>
      </c>
    </row>
    <row r="5455" spans="1:8" ht="26.25" thickBot="1" x14ac:dyDescent="0.35">
      <c r="A5455" s="13" t="s">
        <v>77</v>
      </c>
      <c r="B5455" s="2">
        <v>60</v>
      </c>
    </row>
    <row r="5456" spans="1:8" ht="39" thickBot="1" x14ac:dyDescent="0.35">
      <c r="A5456" s="13" t="s">
        <v>78</v>
      </c>
      <c r="B5456" s="2">
        <v>77</v>
      </c>
    </row>
    <row r="5457" spans="1:8" ht="25.5" x14ac:dyDescent="0.3">
      <c r="A5457" s="14" t="s">
        <v>79</v>
      </c>
      <c r="B5457" s="2">
        <v>28609.4182</v>
      </c>
    </row>
    <row r="5458" spans="1:8" ht="17.25" thickBot="1" x14ac:dyDescent="0.35"/>
    <row r="5459" spans="1:8" ht="33" customHeight="1" x14ac:dyDescent="0.3">
      <c r="A5459" s="24" t="s">
        <v>80</v>
      </c>
      <c r="B5459" s="26"/>
    </row>
    <row r="5460" spans="1:8" ht="33.75" thickBot="1" x14ac:dyDescent="0.35">
      <c r="A5460" s="13" t="s">
        <v>81</v>
      </c>
      <c r="B5460" s="2" t="s">
        <v>82</v>
      </c>
    </row>
    <row r="5461" spans="1:8" ht="25.5" x14ac:dyDescent="0.3">
      <c r="A5461" s="14" t="s">
        <v>83</v>
      </c>
      <c r="B5461" s="2" t="s">
        <v>84</v>
      </c>
    </row>
    <row r="5462" spans="1:8" ht="17.25" thickBot="1" x14ac:dyDescent="0.35"/>
    <row r="5463" spans="1:8" ht="16.5" customHeight="1" x14ac:dyDescent="0.3">
      <c r="A5463" s="24" t="s">
        <v>130</v>
      </c>
      <c r="B5463" s="26"/>
      <c r="C5463" s="26"/>
      <c r="D5463" s="26"/>
      <c r="E5463" s="26"/>
      <c r="F5463" s="26"/>
    </row>
    <row r="5464" spans="1:8" x14ac:dyDescent="0.3">
      <c r="A5464" s="25" t="s">
        <v>131</v>
      </c>
      <c r="B5464" s="27" t="s">
        <v>46</v>
      </c>
      <c r="C5464" s="27" t="s">
        <v>132</v>
      </c>
      <c r="D5464" s="3" t="s">
        <v>133</v>
      </c>
      <c r="E5464" s="27" t="s">
        <v>135</v>
      </c>
      <c r="F5464" s="27"/>
    </row>
    <row r="5465" spans="1:8" x14ac:dyDescent="0.3">
      <c r="A5465" s="25"/>
      <c r="B5465" s="27"/>
      <c r="C5465" s="27"/>
      <c r="D5465" s="3" t="s">
        <v>134</v>
      </c>
      <c r="E5465" s="27"/>
      <c r="F5465" s="27"/>
    </row>
    <row r="5466" spans="1:8" ht="17.25" thickBot="1" x14ac:dyDescent="0.35">
      <c r="A5466" s="13" t="s">
        <v>66</v>
      </c>
      <c r="B5466" s="2">
        <v>77</v>
      </c>
      <c r="C5466" s="2">
        <v>8.8095289999999995</v>
      </c>
      <c r="D5466" s="2">
        <v>4.6802000000000003E-2</v>
      </c>
      <c r="E5466" s="2">
        <v>8.7147825999999995</v>
      </c>
      <c r="F5466" s="2">
        <v>8.9042759</v>
      </c>
      <c r="H5466" s="8" t="str">
        <f t="shared" ref="H5466:H5469" si="227">TEXT(C5466,"0.00")&amp;" ("&amp;TEXT(E5466,"0.00")&amp;" to "&amp;TEXT(F5466,"0.00")&amp;")"</f>
        <v>8.81 (8.71 to 8.90)</v>
      </c>
    </row>
    <row r="5467" spans="1:8" ht="17.25" thickBot="1" x14ac:dyDescent="0.35">
      <c r="A5467" s="13" t="s">
        <v>67</v>
      </c>
      <c r="B5467" s="2">
        <v>77</v>
      </c>
      <c r="C5467" s="2">
        <v>0.71602299999999997</v>
      </c>
      <c r="D5467" s="2">
        <v>6.1390000000000004E-3</v>
      </c>
      <c r="E5467" s="2">
        <v>0.70359590000000005</v>
      </c>
      <c r="F5467" s="2">
        <v>0.72844980000000004</v>
      </c>
      <c r="H5467" s="8" t="str">
        <f t="shared" si="227"/>
        <v>0.72 (0.70 to 0.73)</v>
      </c>
    </row>
    <row r="5468" spans="1:8" ht="17.25" thickBot="1" x14ac:dyDescent="0.35">
      <c r="A5468" s="13" t="s">
        <v>68</v>
      </c>
      <c r="B5468" s="2">
        <v>77</v>
      </c>
      <c r="C5468" s="2">
        <v>0.41740100000000002</v>
      </c>
      <c r="D5468" s="2">
        <v>2.8981E-2</v>
      </c>
      <c r="E5468" s="2">
        <v>0.35873159999999998</v>
      </c>
      <c r="F5468" s="2">
        <v>0.47607080000000002</v>
      </c>
      <c r="H5468" s="8" t="str">
        <f t="shared" si="227"/>
        <v>0.42 (0.36 to 0.48)</v>
      </c>
    </row>
    <row r="5469" spans="1:8" x14ac:dyDescent="0.3">
      <c r="A5469" s="14" t="s">
        <v>69</v>
      </c>
      <c r="B5469" s="2">
        <v>77</v>
      </c>
      <c r="C5469" s="2">
        <v>37.270190999999997</v>
      </c>
      <c r="D5469" s="2">
        <v>0.73173600000000005</v>
      </c>
      <c r="E5469" s="2">
        <v>35.788869099999999</v>
      </c>
      <c r="F5469" s="2">
        <v>38.751512200000001</v>
      </c>
      <c r="H5469" s="8" t="str">
        <f t="shared" si="227"/>
        <v>37.27 (35.79 to 38.75)</v>
      </c>
    </row>
    <row r="5473" spans="1:6" x14ac:dyDescent="0.3">
      <c r="A5473" s="1" t="s">
        <v>129</v>
      </c>
    </row>
    <row r="5475" spans="1:6" x14ac:dyDescent="0.3">
      <c r="A5475" s="1" t="s">
        <v>370</v>
      </c>
    </row>
    <row r="5476" spans="1:6" ht="17.25" thickBot="1" x14ac:dyDescent="0.35"/>
    <row r="5477" spans="1:6" ht="16.5" customHeight="1" x14ac:dyDescent="0.3">
      <c r="A5477" s="24" t="s">
        <v>75</v>
      </c>
      <c r="B5477" s="26"/>
    </row>
    <row r="5478" spans="1:6" ht="26.25" thickBot="1" x14ac:dyDescent="0.35">
      <c r="A5478" s="13" t="s">
        <v>76</v>
      </c>
      <c r="B5478" s="2">
        <v>25</v>
      </c>
    </row>
    <row r="5479" spans="1:6" ht="26.25" thickBot="1" x14ac:dyDescent="0.35">
      <c r="A5479" s="13" t="s">
        <v>77</v>
      </c>
      <c r="B5479" s="2">
        <v>500</v>
      </c>
    </row>
    <row r="5480" spans="1:6" ht="39" thickBot="1" x14ac:dyDescent="0.35">
      <c r="A5480" s="13" t="s">
        <v>78</v>
      </c>
      <c r="B5480" s="2">
        <v>11812</v>
      </c>
    </row>
    <row r="5481" spans="1:6" ht="25.5" x14ac:dyDescent="0.3">
      <c r="A5481" s="14" t="s">
        <v>79</v>
      </c>
      <c r="B5481" s="2">
        <v>4343512.21</v>
      </c>
    </row>
    <row r="5482" spans="1:6" ht="17.25" thickBot="1" x14ac:dyDescent="0.35"/>
    <row r="5483" spans="1:6" ht="33" customHeight="1" x14ac:dyDescent="0.3">
      <c r="A5483" s="24" t="s">
        <v>80</v>
      </c>
      <c r="B5483" s="26"/>
    </row>
    <row r="5484" spans="1:6" ht="33.75" thickBot="1" x14ac:dyDescent="0.35">
      <c r="A5484" s="13" t="s">
        <v>81</v>
      </c>
      <c r="B5484" s="2" t="s">
        <v>82</v>
      </c>
    </row>
    <row r="5485" spans="1:6" ht="25.5" x14ac:dyDescent="0.3">
      <c r="A5485" s="14" t="s">
        <v>83</v>
      </c>
      <c r="B5485" s="2" t="s">
        <v>84</v>
      </c>
    </row>
    <row r="5486" spans="1:6" ht="17.25" thickBot="1" x14ac:dyDescent="0.35"/>
    <row r="5487" spans="1:6" ht="16.5" customHeight="1" x14ac:dyDescent="0.3">
      <c r="A5487" s="24" t="s">
        <v>130</v>
      </c>
      <c r="B5487" s="26"/>
      <c r="C5487" s="26"/>
      <c r="D5487" s="26"/>
      <c r="E5487" s="26"/>
      <c r="F5487" s="26"/>
    </row>
    <row r="5488" spans="1:6" x14ac:dyDescent="0.3">
      <c r="A5488" s="25" t="s">
        <v>131</v>
      </c>
      <c r="B5488" s="27" t="s">
        <v>46</v>
      </c>
      <c r="C5488" s="27" t="s">
        <v>132</v>
      </c>
      <c r="D5488" s="3" t="s">
        <v>133</v>
      </c>
      <c r="E5488" s="27" t="s">
        <v>135</v>
      </c>
      <c r="F5488" s="27"/>
    </row>
    <row r="5489" spans="1:8" x14ac:dyDescent="0.3">
      <c r="A5489" s="25"/>
      <c r="B5489" s="27"/>
      <c r="C5489" s="27"/>
      <c r="D5489" s="3" t="s">
        <v>134</v>
      </c>
      <c r="E5489" s="27"/>
      <c r="F5489" s="27"/>
    </row>
    <row r="5490" spans="1:8" ht="17.25" thickBot="1" x14ac:dyDescent="0.35">
      <c r="A5490" s="13" t="s">
        <v>66</v>
      </c>
      <c r="B5490" s="2">
        <v>11812</v>
      </c>
      <c r="C5490" s="2">
        <v>8.5537410000000005</v>
      </c>
      <c r="D5490" s="2">
        <v>8.2539999999999992E-3</v>
      </c>
      <c r="E5490" s="2">
        <v>8.5375221999999997</v>
      </c>
      <c r="F5490" s="2">
        <v>8.5699599000000006</v>
      </c>
      <c r="H5490" s="8" t="str">
        <f t="shared" ref="H5490:H5493" si="228">TEXT(C5490,"0.00")&amp;" ("&amp;TEXT(E5490,"0.00")&amp;" to "&amp;TEXT(F5490,"0.00")&amp;")"</f>
        <v>8.55 (8.54 to 8.57)</v>
      </c>
    </row>
    <row r="5491" spans="1:8" ht="17.25" thickBot="1" x14ac:dyDescent="0.35">
      <c r="A5491" s="13" t="s">
        <v>67</v>
      </c>
      <c r="B5491" s="2">
        <v>11812</v>
      </c>
      <c r="C5491" s="2">
        <v>0.66017899999999996</v>
      </c>
      <c r="D5491" s="2">
        <v>1.1969999999999999E-3</v>
      </c>
      <c r="E5491" s="2">
        <v>0.65782660000000004</v>
      </c>
      <c r="F5491" s="2">
        <v>0.66253079999999998</v>
      </c>
      <c r="H5491" s="8" t="str">
        <f t="shared" si="228"/>
        <v>0.66 (0.66 to 0.66)</v>
      </c>
    </row>
    <row r="5492" spans="1:8" ht="17.25" thickBot="1" x14ac:dyDescent="0.35">
      <c r="A5492" s="13" t="s">
        <v>68</v>
      </c>
      <c r="B5492" s="2">
        <v>11812</v>
      </c>
      <c r="C5492" s="2">
        <v>0.36737399999999998</v>
      </c>
      <c r="D5492" s="2">
        <v>3.813E-3</v>
      </c>
      <c r="E5492" s="2">
        <v>0.35988170000000003</v>
      </c>
      <c r="F5492" s="2">
        <v>0.37486580000000003</v>
      </c>
      <c r="H5492" s="8" t="str">
        <f t="shared" si="228"/>
        <v>0.37 (0.36 to 0.37)</v>
      </c>
    </row>
    <row r="5493" spans="1:8" x14ac:dyDescent="0.3">
      <c r="A5493" s="14" t="s">
        <v>69</v>
      </c>
      <c r="B5493" s="2">
        <v>11812</v>
      </c>
      <c r="C5493" s="2">
        <v>35.564534000000002</v>
      </c>
      <c r="D5493" s="2">
        <v>8.5434999999999997E-2</v>
      </c>
      <c r="E5493" s="2">
        <v>35.396658100000003</v>
      </c>
      <c r="F5493" s="2">
        <v>35.732410799999997</v>
      </c>
      <c r="H5493" s="8" t="str">
        <f t="shared" si="228"/>
        <v>35.56 (35.40 to 35.73)</v>
      </c>
    </row>
    <row r="5497" spans="1:8" x14ac:dyDescent="0.3">
      <c r="A5497" s="1" t="s">
        <v>129</v>
      </c>
    </row>
    <row r="5499" spans="1:8" x14ac:dyDescent="0.3">
      <c r="A5499" s="1" t="s">
        <v>371</v>
      </c>
    </row>
    <row r="5500" spans="1:8" ht="17.25" thickBot="1" x14ac:dyDescent="0.35"/>
    <row r="5501" spans="1:8" ht="16.5" customHeight="1" x14ac:dyDescent="0.3">
      <c r="A5501" s="24" t="s">
        <v>75</v>
      </c>
      <c r="B5501" s="26"/>
    </row>
    <row r="5502" spans="1:8" ht="26.25" thickBot="1" x14ac:dyDescent="0.35">
      <c r="A5502" s="13" t="s">
        <v>76</v>
      </c>
      <c r="B5502" s="2">
        <v>23</v>
      </c>
    </row>
    <row r="5503" spans="1:8" ht="26.25" thickBot="1" x14ac:dyDescent="0.35">
      <c r="A5503" s="13" t="s">
        <v>77</v>
      </c>
      <c r="B5503" s="2">
        <v>95</v>
      </c>
    </row>
    <row r="5504" spans="1:8" ht="39" thickBot="1" x14ac:dyDescent="0.35">
      <c r="A5504" s="13" t="s">
        <v>78</v>
      </c>
      <c r="B5504" s="2">
        <v>103</v>
      </c>
    </row>
    <row r="5505" spans="1:8" ht="25.5" x14ac:dyDescent="0.3">
      <c r="A5505" s="14" t="s">
        <v>79</v>
      </c>
      <c r="B5505" s="2">
        <v>26656.5023</v>
      </c>
    </row>
    <row r="5506" spans="1:8" ht="17.25" thickBot="1" x14ac:dyDescent="0.35"/>
    <row r="5507" spans="1:8" ht="33" customHeight="1" x14ac:dyDescent="0.3">
      <c r="A5507" s="24" t="s">
        <v>80</v>
      </c>
      <c r="B5507" s="26"/>
    </row>
    <row r="5508" spans="1:8" ht="33.75" thickBot="1" x14ac:dyDescent="0.35">
      <c r="A5508" s="13" t="s">
        <v>81</v>
      </c>
      <c r="B5508" s="2" t="s">
        <v>82</v>
      </c>
    </row>
    <row r="5509" spans="1:8" ht="25.5" x14ac:dyDescent="0.3">
      <c r="A5509" s="14" t="s">
        <v>83</v>
      </c>
      <c r="B5509" s="2" t="s">
        <v>84</v>
      </c>
    </row>
    <row r="5510" spans="1:8" ht="17.25" thickBot="1" x14ac:dyDescent="0.35"/>
    <row r="5511" spans="1:8" ht="16.5" customHeight="1" x14ac:dyDescent="0.3">
      <c r="A5511" s="24" t="s">
        <v>130</v>
      </c>
      <c r="B5511" s="26"/>
      <c r="C5511" s="26"/>
      <c r="D5511" s="26"/>
      <c r="E5511" s="26"/>
      <c r="F5511" s="26"/>
    </row>
    <row r="5512" spans="1:8" x14ac:dyDescent="0.3">
      <c r="A5512" s="25" t="s">
        <v>131</v>
      </c>
      <c r="B5512" s="27" t="s">
        <v>46</v>
      </c>
      <c r="C5512" s="27" t="s">
        <v>132</v>
      </c>
      <c r="D5512" s="3" t="s">
        <v>133</v>
      </c>
      <c r="E5512" s="27" t="s">
        <v>135</v>
      </c>
      <c r="F5512" s="27"/>
    </row>
    <row r="5513" spans="1:8" x14ac:dyDescent="0.3">
      <c r="A5513" s="25"/>
      <c r="B5513" s="27"/>
      <c r="C5513" s="27"/>
      <c r="D5513" s="3" t="s">
        <v>134</v>
      </c>
      <c r="E5513" s="27"/>
      <c r="F5513" s="27"/>
    </row>
    <row r="5514" spans="1:8" ht="17.25" thickBot="1" x14ac:dyDescent="0.35">
      <c r="A5514" s="13" t="s">
        <v>66</v>
      </c>
      <c r="B5514" s="2">
        <v>103</v>
      </c>
      <c r="C5514" s="2">
        <v>8.7618600000000004</v>
      </c>
      <c r="D5514" s="2">
        <v>6.5424999999999997E-2</v>
      </c>
      <c r="E5514" s="2">
        <v>8.6314367999999995</v>
      </c>
      <c r="F5514" s="2">
        <v>8.8922822999999998</v>
      </c>
      <c r="H5514" s="8" t="str">
        <f t="shared" ref="H5514:H5517" si="229">TEXT(C5514,"0.00")&amp;" ("&amp;TEXT(E5514,"0.00")&amp;" to "&amp;TEXT(F5514,"0.00")&amp;")"</f>
        <v>8.76 (8.63 to 8.89)</v>
      </c>
    </row>
    <row r="5515" spans="1:8" ht="17.25" thickBot="1" x14ac:dyDescent="0.35">
      <c r="A5515" s="13" t="s">
        <v>67</v>
      </c>
      <c r="B5515" s="2">
        <v>103</v>
      </c>
      <c r="C5515" s="2">
        <v>0.70658100000000001</v>
      </c>
      <c r="D5515" s="2">
        <v>6.3949999999999996E-3</v>
      </c>
      <c r="E5515" s="2">
        <v>0.69383329999999999</v>
      </c>
      <c r="F5515" s="2">
        <v>0.71932790000000002</v>
      </c>
      <c r="H5515" s="8" t="str">
        <f t="shared" si="229"/>
        <v>0.71 (0.69 to 0.72)</v>
      </c>
    </row>
    <row r="5516" spans="1:8" ht="17.25" thickBot="1" x14ac:dyDescent="0.35">
      <c r="A5516" s="13" t="s">
        <v>68</v>
      </c>
      <c r="B5516" s="2">
        <v>103</v>
      </c>
      <c r="C5516" s="2">
        <v>0.453459</v>
      </c>
      <c r="D5516" s="2">
        <v>2.7480000000000001E-2</v>
      </c>
      <c r="E5516" s="2">
        <v>0.39867950000000002</v>
      </c>
      <c r="F5516" s="2">
        <v>0.5082392</v>
      </c>
      <c r="H5516" s="8" t="str">
        <f t="shared" si="229"/>
        <v>0.45 (0.40 to 0.51)</v>
      </c>
    </row>
    <row r="5517" spans="1:8" x14ac:dyDescent="0.3">
      <c r="A5517" s="14" t="s">
        <v>69</v>
      </c>
      <c r="B5517" s="2">
        <v>103</v>
      </c>
      <c r="C5517" s="2">
        <v>37.582341999999997</v>
      </c>
      <c r="D5517" s="2">
        <v>0.63247799999999998</v>
      </c>
      <c r="E5517" s="2">
        <v>36.321520200000002</v>
      </c>
      <c r="F5517" s="2">
        <v>38.843164399999999</v>
      </c>
      <c r="H5517" s="8" t="str">
        <f t="shared" si="229"/>
        <v>37.58 (36.32 to 38.84)</v>
      </c>
    </row>
    <row r="5521" spans="1:6" x14ac:dyDescent="0.3">
      <c r="A5521" s="1" t="s">
        <v>129</v>
      </c>
    </row>
    <row r="5523" spans="1:6" x14ac:dyDescent="0.3">
      <c r="A5523" s="1" t="s">
        <v>372</v>
      </c>
    </row>
    <row r="5524" spans="1:6" ht="17.25" thickBot="1" x14ac:dyDescent="0.35"/>
    <row r="5525" spans="1:6" ht="16.5" customHeight="1" x14ac:dyDescent="0.3">
      <c r="A5525" s="24" t="s">
        <v>75</v>
      </c>
      <c r="B5525" s="26"/>
    </row>
    <row r="5526" spans="1:6" ht="26.25" thickBot="1" x14ac:dyDescent="0.35">
      <c r="A5526" s="13" t="s">
        <v>76</v>
      </c>
      <c r="B5526" s="2">
        <v>25</v>
      </c>
    </row>
    <row r="5527" spans="1:6" ht="26.25" thickBot="1" x14ac:dyDescent="0.35">
      <c r="A5527" s="13" t="s">
        <v>77</v>
      </c>
      <c r="B5527" s="2">
        <v>576</v>
      </c>
    </row>
    <row r="5528" spans="1:6" ht="39" thickBot="1" x14ac:dyDescent="0.35">
      <c r="A5528" s="13" t="s">
        <v>78</v>
      </c>
      <c r="B5528" s="2">
        <v>13014</v>
      </c>
    </row>
    <row r="5529" spans="1:6" ht="25.5" x14ac:dyDescent="0.3">
      <c r="A5529" s="14" t="s">
        <v>79</v>
      </c>
      <c r="B5529" s="2">
        <v>5429595.0800000001</v>
      </c>
    </row>
    <row r="5530" spans="1:6" ht="17.25" thickBot="1" x14ac:dyDescent="0.35"/>
    <row r="5531" spans="1:6" ht="33" customHeight="1" x14ac:dyDescent="0.3">
      <c r="A5531" s="24" t="s">
        <v>80</v>
      </c>
      <c r="B5531" s="26"/>
    </row>
    <row r="5532" spans="1:6" ht="33.75" thickBot="1" x14ac:dyDescent="0.35">
      <c r="A5532" s="13" t="s">
        <v>81</v>
      </c>
      <c r="B5532" s="2" t="s">
        <v>82</v>
      </c>
    </row>
    <row r="5533" spans="1:6" ht="25.5" x14ac:dyDescent="0.3">
      <c r="A5533" s="14" t="s">
        <v>83</v>
      </c>
      <c r="B5533" s="2" t="s">
        <v>84</v>
      </c>
    </row>
    <row r="5534" spans="1:6" ht="17.25" thickBot="1" x14ac:dyDescent="0.35"/>
    <row r="5535" spans="1:6" ht="16.5" customHeight="1" x14ac:dyDescent="0.3">
      <c r="A5535" s="24" t="s">
        <v>130</v>
      </c>
      <c r="B5535" s="26"/>
      <c r="C5535" s="26"/>
      <c r="D5535" s="26"/>
      <c r="E5535" s="26"/>
      <c r="F5535" s="26"/>
    </row>
    <row r="5536" spans="1:6" x14ac:dyDescent="0.3">
      <c r="A5536" s="25" t="s">
        <v>131</v>
      </c>
      <c r="B5536" s="27" t="s">
        <v>46</v>
      </c>
      <c r="C5536" s="27" t="s">
        <v>132</v>
      </c>
      <c r="D5536" s="3" t="s">
        <v>133</v>
      </c>
      <c r="E5536" s="27" t="s">
        <v>135</v>
      </c>
      <c r="F5536" s="27"/>
    </row>
    <row r="5537" spans="1:8" x14ac:dyDescent="0.3">
      <c r="A5537" s="25"/>
      <c r="B5537" s="27"/>
      <c r="C5537" s="27"/>
      <c r="D5537" s="3" t="s">
        <v>134</v>
      </c>
      <c r="E5537" s="27"/>
      <c r="F5537" s="27"/>
    </row>
    <row r="5538" spans="1:8" ht="17.25" thickBot="1" x14ac:dyDescent="0.35">
      <c r="A5538" s="13" t="s">
        <v>66</v>
      </c>
      <c r="B5538" s="2">
        <v>13014</v>
      </c>
      <c r="C5538" s="2">
        <v>8.5578640000000004</v>
      </c>
      <c r="D5538" s="2">
        <v>8.0610000000000005E-3</v>
      </c>
      <c r="E5538" s="2">
        <v>8.5420307999999991</v>
      </c>
      <c r="F5538" s="2">
        <v>8.5736971000000004</v>
      </c>
      <c r="H5538" s="8" t="str">
        <f t="shared" ref="H5538:H5541" si="230">TEXT(C5538,"0.00")&amp;" ("&amp;TEXT(E5538,"0.00")&amp;" to "&amp;TEXT(F5538,"0.00")&amp;")"</f>
        <v>8.56 (8.54 to 8.57)</v>
      </c>
    </row>
    <row r="5539" spans="1:8" ht="17.25" thickBot="1" x14ac:dyDescent="0.35">
      <c r="A5539" s="13" t="s">
        <v>67</v>
      </c>
      <c r="B5539" s="2">
        <v>13014</v>
      </c>
      <c r="C5539" s="2">
        <v>0.65739000000000003</v>
      </c>
      <c r="D5539" s="2">
        <v>1.013E-3</v>
      </c>
      <c r="E5539" s="2">
        <v>0.65539970000000003</v>
      </c>
      <c r="F5539" s="2">
        <v>0.65938110000000005</v>
      </c>
      <c r="H5539" s="8" t="str">
        <f t="shared" si="230"/>
        <v>0.66 (0.66 to 0.66)</v>
      </c>
    </row>
    <row r="5540" spans="1:8" ht="17.25" thickBot="1" x14ac:dyDescent="0.35">
      <c r="A5540" s="13" t="s">
        <v>68</v>
      </c>
      <c r="B5540" s="2">
        <v>13014</v>
      </c>
      <c r="C5540" s="2">
        <v>0.355883</v>
      </c>
      <c r="D5540" s="2">
        <v>3.7469999999999999E-3</v>
      </c>
      <c r="E5540" s="2">
        <v>0.34852339999999998</v>
      </c>
      <c r="F5540" s="2">
        <v>0.36324279999999998</v>
      </c>
      <c r="H5540" s="8" t="str">
        <f t="shared" si="230"/>
        <v>0.36 (0.35 to 0.36)</v>
      </c>
    </row>
    <row r="5541" spans="1:8" x14ac:dyDescent="0.3">
      <c r="A5541" s="14" t="s">
        <v>69</v>
      </c>
      <c r="B5541" s="2">
        <v>13014</v>
      </c>
      <c r="C5541" s="2">
        <v>35.523404999999997</v>
      </c>
      <c r="D5541" s="2">
        <v>9.1179999999999997E-2</v>
      </c>
      <c r="E5541" s="2">
        <v>35.344302399999997</v>
      </c>
      <c r="F5541" s="2">
        <v>35.702508299999998</v>
      </c>
      <c r="H5541" s="8" t="str">
        <f t="shared" si="230"/>
        <v>35.52 (35.34 to 35.70)</v>
      </c>
    </row>
    <row r="5545" spans="1:8" x14ac:dyDescent="0.3">
      <c r="A5545" s="1" t="s">
        <v>129</v>
      </c>
    </row>
    <row r="5547" spans="1:8" x14ac:dyDescent="0.3">
      <c r="A5547" s="1" t="s">
        <v>373</v>
      </c>
    </row>
    <row r="5548" spans="1:8" ht="17.25" thickBot="1" x14ac:dyDescent="0.35"/>
    <row r="5549" spans="1:8" ht="16.5" customHeight="1" x14ac:dyDescent="0.3">
      <c r="A5549" s="24" t="s">
        <v>75</v>
      </c>
      <c r="B5549" s="26"/>
    </row>
    <row r="5550" spans="1:8" ht="26.25" thickBot="1" x14ac:dyDescent="0.35">
      <c r="A5550" s="13" t="s">
        <v>76</v>
      </c>
      <c r="B5550" s="2">
        <v>24</v>
      </c>
    </row>
    <row r="5551" spans="1:8" ht="26.25" thickBot="1" x14ac:dyDescent="0.35">
      <c r="A5551" s="13" t="s">
        <v>77</v>
      </c>
      <c r="B5551" s="2">
        <v>94</v>
      </c>
    </row>
    <row r="5552" spans="1:8" ht="39" thickBot="1" x14ac:dyDescent="0.35">
      <c r="A5552" s="13" t="s">
        <v>78</v>
      </c>
      <c r="B5552" s="2">
        <v>102</v>
      </c>
    </row>
    <row r="5553" spans="1:8" ht="25.5" x14ac:dyDescent="0.3">
      <c r="A5553" s="14" t="s">
        <v>79</v>
      </c>
      <c r="B5553" s="2">
        <v>31069.863399999998</v>
      </c>
    </row>
    <row r="5554" spans="1:8" ht="17.25" thickBot="1" x14ac:dyDescent="0.35"/>
    <row r="5555" spans="1:8" ht="33" customHeight="1" x14ac:dyDescent="0.3">
      <c r="A5555" s="24" t="s">
        <v>80</v>
      </c>
      <c r="B5555" s="26"/>
    </row>
    <row r="5556" spans="1:8" ht="33.75" thickBot="1" x14ac:dyDescent="0.35">
      <c r="A5556" s="13" t="s">
        <v>81</v>
      </c>
      <c r="B5556" s="2" t="s">
        <v>82</v>
      </c>
    </row>
    <row r="5557" spans="1:8" ht="25.5" x14ac:dyDescent="0.3">
      <c r="A5557" s="14" t="s">
        <v>83</v>
      </c>
      <c r="B5557" s="2" t="s">
        <v>84</v>
      </c>
    </row>
    <row r="5558" spans="1:8" ht="17.25" thickBot="1" x14ac:dyDescent="0.35"/>
    <row r="5559" spans="1:8" ht="16.5" customHeight="1" x14ac:dyDescent="0.3">
      <c r="A5559" s="24" t="s">
        <v>130</v>
      </c>
      <c r="B5559" s="26"/>
      <c r="C5559" s="26"/>
      <c r="D5559" s="26"/>
      <c r="E5559" s="26"/>
      <c r="F5559" s="26"/>
    </row>
    <row r="5560" spans="1:8" x14ac:dyDescent="0.3">
      <c r="A5560" s="25" t="s">
        <v>131</v>
      </c>
      <c r="B5560" s="27" t="s">
        <v>46</v>
      </c>
      <c r="C5560" s="27" t="s">
        <v>132</v>
      </c>
      <c r="D5560" s="3" t="s">
        <v>133</v>
      </c>
      <c r="E5560" s="27" t="s">
        <v>135</v>
      </c>
      <c r="F5560" s="27"/>
    </row>
    <row r="5561" spans="1:8" x14ac:dyDescent="0.3">
      <c r="A5561" s="25"/>
      <c r="B5561" s="27"/>
      <c r="C5561" s="27"/>
      <c r="D5561" s="3" t="s">
        <v>134</v>
      </c>
      <c r="E5561" s="27"/>
      <c r="F5561" s="27"/>
    </row>
    <row r="5562" spans="1:8" ht="17.25" thickBot="1" x14ac:dyDescent="0.35">
      <c r="A5562" s="13" t="s">
        <v>66</v>
      </c>
      <c r="B5562" s="2">
        <v>102</v>
      </c>
      <c r="C5562" s="2">
        <v>8.8514890000000008</v>
      </c>
      <c r="D5562" s="2">
        <v>6.3819000000000001E-2</v>
      </c>
      <c r="E5562" s="2">
        <v>8.7242052999999995</v>
      </c>
      <c r="F5562" s="2">
        <v>8.9787727999999998</v>
      </c>
      <c r="H5562" s="8" t="str">
        <f t="shared" ref="H5562:H5565" si="231">TEXT(C5562,"0.00")&amp;" ("&amp;TEXT(E5562,"0.00")&amp;" to "&amp;TEXT(F5562,"0.00")&amp;")"</f>
        <v>8.85 (8.72 to 8.98)</v>
      </c>
    </row>
    <row r="5563" spans="1:8" ht="17.25" thickBot="1" x14ac:dyDescent="0.35">
      <c r="A5563" s="13" t="s">
        <v>67</v>
      </c>
      <c r="B5563" s="2">
        <v>102</v>
      </c>
      <c r="C5563" s="2">
        <v>0.70513300000000001</v>
      </c>
      <c r="D5563" s="2">
        <v>7.2220000000000001E-3</v>
      </c>
      <c r="E5563" s="2">
        <v>0.69073030000000002</v>
      </c>
      <c r="F5563" s="2">
        <v>0.71953610000000001</v>
      </c>
      <c r="H5563" s="8" t="str">
        <f t="shared" si="231"/>
        <v>0.71 (0.69 to 0.72)</v>
      </c>
    </row>
    <row r="5564" spans="1:8" ht="17.25" thickBot="1" x14ac:dyDescent="0.35">
      <c r="A5564" s="13" t="s">
        <v>68</v>
      </c>
      <c r="B5564" s="2">
        <v>102</v>
      </c>
      <c r="C5564" s="2">
        <v>0.50528899999999999</v>
      </c>
      <c r="D5564" s="2">
        <v>3.1565000000000003E-2</v>
      </c>
      <c r="E5564" s="2">
        <v>0.44233319999999998</v>
      </c>
      <c r="F5564" s="2">
        <v>0.56824399999999997</v>
      </c>
      <c r="H5564" s="8" t="str">
        <f t="shared" si="231"/>
        <v>0.51 (0.44 to 0.57)</v>
      </c>
    </row>
    <row r="5565" spans="1:8" x14ac:dyDescent="0.3">
      <c r="A5565" s="14" t="s">
        <v>69</v>
      </c>
      <c r="B5565" s="2">
        <v>102</v>
      </c>
      <c r="C5565" s="2">
        <v>39.817976000000002</v>
      </c>
      <c r="D5565" s="2">
        <v>0.62214599999999998</v>
      </c>
      <c r="E5565" s="2">
        <v>38.577145000000002</v>
      </c>
      <c r="F5565" s="2">
        <v>41.058806199999999</v>
      </c>
      <c r="H5565" s="8" t="str">
        <f t="shared" si="231"/>
        <v>39.82 (38.58 to 41.06)</v>
      </c>
    </row>
    <row r="5569" spans="1:6" x14ac:dyDescent="0.3">
      <c r="A5569" s="1" t="s">
        <v>129</v>
      </c>
    </row>
    <row r="5571" spans="1:6" x14ac:dyDescent="0.3">
      <c r="A5571" s="1" t="s">
        <v>374</v>
      </c>
    </row>
    <row r="5572" spans="1:6" ht="17.25" thickBot="1" x14ac:dyDescent="0.35"/>
    <row r="5573" spans="1:6" ht="16.5" customHeight="1" x14ac:dyDescent="0.3">
      <c r="A5573" s="24" t="s">
        <v>75</v>
      </c>
      <c r="B5573" s="26"/>
    </row>
    <row r="5574" spans="1:6" ht="26.25" thickBot="1" x14ac:dyDescent="0.35">
      <c r="A5574" s="13" t="s">
        <v>76</v>
      </c>
      <c r="B5574" s="2">
        <v>25</v>
      </c>
    </row>
    <row r="5575" spans="1:6" ht="26.25" thickBot="1" x14ac:dyDescent="0.35">
      <c r="A5575" s="13" t="s">
        <v>77</v>
      </c>
      <c r="B5575" s="2">
        <v>576</v>
      </c>
    </row>
    <row r="5576" spans="1:6" ht="39" thickBot="1" x14ac:dyDescent="0.35">
      <c r="A5576" s="13" t="s">
        <v>78</v>
      </c>
      <c r="B5576" s="2">
        <v>11385</v>
      </c>
    </row>
    <row r="5577" spans="1:6" ht="25.5" x14ac:dyDescent="0.3">
      <c r="A5577" s="14" t="s">
        <v>79</v>
      </c>
      <c r="B5577" s="2">
        <v>5364146.57</v>
      </c>
    </row>
    <row r="5578" spans="1:6" ht="17.25" thickBot="1" x14ac:dyDescent="0.35"/>
    <row r="5579" spans="1:6" ht="33" customHeight="1" x14ac:dyDescent="0.3">
      <c r="A5579" s="24" t="s">
        <v>80</v>
      </c>
      <c r="B5579" s="26"/>
    </row>
    <row r="5580" spans="1:6" ht="33.75" thickBot="1" x14ac:dyDescent="0.35">
      <c r="A5580" s="13" t="s">
        <v>81</v>
      </c>
      <c r="B5580" s="2" t="s">
        <v>82</v>
      </c>
    </row>
    <row r="5581" spans="1:6" ht="25.5" x14ac:dyDescent="0.3">
      <c r="A5581" s="14" t="s">
        <v>83</v>
      </c>
      <c r="B5581" s="2" t="s">
        <v>84</v>
      </c>
    </row>
    <row r="5582" spans="1:6" ht="17.25" thickBot="1" x14ac:dyDescent="0.35"/>
    <row r="5583" spans="1:6" ht="16.5" customHeight="1" x14ac:dyDescent="0.3">
      <c r="A5583" s="24" t="s">
        <v>130</v>
      </c>
      <c r="B5583" s="26"/>
      <c r="C5583" s="26"/>
      <c r="D5583" s="26"/>
      <c r="E5583" s="26"/>
      <c r="F5583" s="26"/>
    </row>
    <row r="5584" spans="1:6" x14ac:dyDescent="0.3">
      <c r="A5584" s="25" t="s">
        <v>131</v>
      </c>
      <c r="B5584" s="27" t="s">
        <v>46</v>
      </c>
      <c r="C5584" s="27" t="s">
        <v>132</v>
      </c>
      <c r="D5584" s="3" t="s">
        <v>133</v>
      </c>
      <c r="E5584" s="27" t="s">
        <v>135</v>
      </c>
      <c r="F5584" s="27"/>
    </row>
    <row r="5585" spans="1:8" x14ac:dyDescent="0.3">
      <c r="A5585" s="25"/>
      <c r="B5585" s="27"/>
      <c r="C5585" s="27"/>
      <c r="D5585" s="3" t="s">
        <v>134</v>
      </c>
      <c r="E5585" s="27"/>
      <c r="F5585" s="27"/>
    </row>
    <row r="5586" spans="1:8" ht="17.25" thickBot="1" x14ac:dyDescent="0.35">
      <c r="A5586" s="13" t="s">
        <v>66</v>
      </c>
      <c r="B5586" s="2">
        <v>11385</v>
      </c>
      <c r="C5586" s="2">
        <v>8.5882149999999999</v>
      </c>
      <c r="D5586" s="2">
        <v>8.2360000000000003E-3</v>
      </c>
      <c r="E5586" s="2">
        <v>8.5720373999999993</v>
      </c>
      <c r="F5586" s="2">
        <v>8.6043929000000006</v>
      </c>
      <c r="H5586" s="8" t="str">
        <f t="shared" ref="H5586:H5589" si="232">TEXT(C5586,"0.00")&amp;" ("&amp;TEXT(E5586,"0.00")&amp;" to "&amp;TEXT(F5586,"0.00")&amp;")"</f>
        <v>8.59 (8.57 to 8.60)</v>
      </c>
    </row>
    <row r="5587" spans="1:8" ht="17.25" thickBot="1" x14ac:dyDescent="0.35">
      <c r="A5587" s="13" t="s">
        <v>67</v>
      </c>
      <c r="B5587" s="2">
        <v>11385</v>
      </c>
      <c r="C5587" s="2">
        <v>0.65865600000000002</v>
      </c>
      <c r="D5587" s="2">
        <v>1.0499999999999999E-3</v>
      </c>
      <c r="E5587" s="2">
        <v>0.6565936</v>
      </c>
      <c r="F5587" s="2">
        <v>0.66071869999999999</v>
      </c>
      <c r="H5587" s="8" t="str">
        <f t="shared" si="232"/>
        <v>0.66 (0.66 to 0.66)</v>
      </c>
    </row>
    <row r="5588" spans="1:8" ht="17.25" thickBot="1" x14ac:dyDescent="0.35">
      <c r="A5588" s="13" t="s">
        <v>68</v>
      </c>
      <c r="B5588" s="2">
        <v>11385</v>
      </c>
      <c r="C5588" s="2">
        <v>0.34797</v>
      </c>
      <c r="D5588" s="2">
        <v>3.8149999999999998E-3</v>
      </c>
      <c r="E5588" s="2">
        <v>0.34047759999999999</v>
      </c>
      <c r="F5588" s="2">
        <v>0.35546309999999998</v>
      </c>
      <c r="H5588" s="8" t="str">
        <f t="shared" si="232"/>
        <v>0.35 (0.34 to 0.36)</v>
      </c>
    </row>
    <row r="5589" spans="1:8" x14ac:dyDescent="0.3">
      <c r="A5589" s="14" t="s">
        <v>69</v>
      </c>
      <c r="B5589" s="2">
        <v>11385</v>
      </c>
      <c r="C5589" s="2">
        <v>35.369031</v>
      </c>
      <c r="D5589" s="2">
        <v>8.4444000000000005E-2</v>
      </c>
      <c r="E5589" s="2">
        <v>35.2031597</v>
      </c>
      <c r="F5589" s="2">
        <v>35.534903200000002</v>
      </c>
      <c r="H5589" s="8" t="str">
        <f t="shared" si="232"/>
        <v>35.37 (35.20 to 35.53)</v>
      </c>
    </row>
    <row r="5593" spans="1:8" x14ac:dyDescent="0.3">
      <c r="A5593" s="1" t="s">
        <v>129</v>
      </c>
    </row>
    <row r="5595" spans="1:8" x14ac:dyDescent="0.3">
      <c r="A5595" s="1" t="s">
        <v>375</v>
      </c>
    </row>
    <row r="5596" spans="1:8" ht="17.25" thickBot="1" x14ac:dyDescent="0.35"/>
    <row r="5597" spans="1:8" ht="16.5" customHeight="1" x14ac:dyDescent="0.3">
      <c r="A5597" s="24" t="s">
        <v>75</v>
      </c>
      <c r="B5597" s="26"/>
    </row>
    <row r="5598" spans="1:8" ht="26.25" thickBot="1" x14ac:dyDescent="0.35">
      <c r="A5598" s="13" t="s">
        <v>76</v>
      </c>
      <c r="B5598" s="2">
        <v>23</v>
      </c>
    </row>
    <row r="5599" spans="1:8" ht="26.25" thickBot="1" x14ac:dyDescent="0.35">
      <c r="A5599" s="13" t="s">
        <v>77</v>
      </c>
      <c r="B5599" s="2">
        <v>86</v>
      </c>
    </row>
    <row r="5600" spans="1:8" ht="39" thickBot="1" x14ac:dyDescent="0.35">
      <c r="A5600" s="13" t="s">
        <v>78</v>
      </c>
      <c r="B5600" s="2">
        <v>90</v>
      </c>
    </row>
    <row r="5601" spans="1:8" ht="25.5" x14ac:dyDescent="0.3">
      <c r="A5601" s="14" t="s">
        <v>79</v>
      </c>
      <c r="B5601" s="2">
        <v>30382.4516</v>
      </c>
    </row>
    <row r="5602" spans="1:8" ht="17.25" thickBot="1" x14ac:dyDescent="0.35"/>
    <row r="5603" spans="1:8" ht="33" customHeight="1" x14ac:dyDescent="0.3">
      <c r="A5603" s="24" t="s">
        <v>80</v>
      </c>
      <c r="B5603" s="26"/>
    </row>
    <row r="5604" spans="1:8" ht="33.75" thickBot="1" x14ac:dyDescent="0.35">
      <c r="A5604" s="13" t="s">
        <v>81</v>
      </c>
      <c r="B5604" s="2" t="s">
        <v>82</v>
      </c>
    </row>
    <row r="5605" spans="1:8" ht="25.5" x14ac:dyDescent="0.3">
      <c r="A5605" s="14" t="s">
        <v>83</v>
      </c>
      <c r="B5605" s="2" t="s">
        <v>84</v>
      </c>
    </row>
    <row r="5606" spans="1:8" ht="17.25" thickBot="1" x14ac:dyDescent="0.35"/>
    <row r="5607" spans="1:8" ht="16.5" customHeight="1" x14ac:dyDescent="0.3">
      <c r="A5607" s="24" t="s">
        <v>130</v>
      </c>
      <c r="B5607" s="26"/>
      <c r="C5607" s="26"/>
      <c r="D5607" s="26"/>
      <c r="E5607" s="26"/>
      <c r="F5607" s="26"/>
    </row>
    <row r="5608" spans="1:8" x14ac:dyDescent="0.3">
      <c r="A5608" s="25" t="s">
        <v>131</v>
      </c>
      <c r="B5608" s="27" t="s">
        <v>46</v>
      </c>
      <c r="C5608" s="27" t="s">
        <v>132</v>
      </c>
      <c r="D5608" s="3" t="s">
        <v>133</v>
      </c>
      <c r="E5608" s="27" t="s">
        <v>135</v>
      </c>
      <c r="F5608" s="27"/>
    </row>
    <row r="5609" spans="1:8" x14ac:dyDescent="0.3">
      <c r="A5609" s="25"/>
      <c r="B5609" s="27"/>
      <c r="C5609" s="27"/>
      <c r="D5609" s="3" t="s">
        <v>134</v>
      </c>
      <c r="E5609" s="27"/>
      <c r="F5609" s="27"/>
    </row>
    <row r="5610" spans="1:8" ht="17.25" thickBot="1" x14ac:dyDescent="0.35">
      <c r="A5610" s="13" t="s">
        <v>66</v>
      </c>
      <c r="B5610" s="2">
        <v>90</v>
      </c>
      <c r="C5610" s="2">
        <v>8.7368690000000004</v>
      </c>
      <c r="D5610" s="2">
        <v>7.5469999999999995E-2</v>
      </c>
      <c r="E5610" s="2">
        <v>8.5860555000000005</v>
      </c>
      <c r="F5610" s="2">
        <v>8.8876831999999997</v>
      </c>
      <c r="H5610" s="8" t="str">
        <f t="shared" ref="H5610:H5613" si="233">TEXT(C5610,"0.00")&amp;" ("&amp;TEXT(E5610,"0.00")&amp;" to "&amp;TEXT(F5610,"0.00")&amp;")"</f>
        <v>8.74 (8.59 to 8.89)</v>
      </c>
    </row>
    <row r="5611" spans="1:8" ht="17.25" thickBot="1" x14ac:dyDescent="0.35">
      <c r="A5611" s="13" t="s">
        <v>67</v>
      </c>
      <c r="B5611" s="2">
        <v>90</v>
      </c>
      <c r="C5611" s="2">
        <v>0.70930700000000002</v>
      </c>
      <c r="D5611" s="2">
        <v>8.3429999999999997E-3</v>
      </c>
      <c r="E5611" s="2">
        <v>0.69263529999999995</v>
      </c>
      <c r="F5611" s="2">
        <v>0.72597809999999996</v>
      </c>
      <c r="H5611" s="8" t="str">
        <f t="shared" si="233"/>
        <v>0.71 (0.69 to 0.73)</v>
      </c>
    </row>
    <row r="5612" spans="1:8" ht="17.25" thickBot="1" x14ac:dyDescent="0.35">
      <c r="A5612" s="13" t="s">
        <v>68</v>
      </c>
      <c r="B5612" s="2">
        <v>90</v>
      </c>
      <c r="C5612" s="2">
        <v>0.42596000000000001</v>
      </c>
      <c r="D5612" s="2">
        <v>3.2580999999999999E-2</v>
      </c>
      <c r="E5612" s="2">
        <v>0.36085200000000001</v>
      </c>
      <c r="F5612" s="2">
        <v>0.49106749999999999</v>
      </c>
      <c r="H5612" s="8" t="str">
        <f t="shared" si="233"/>
        <v>0.43 (0.36 to 0.49)</v>
      </c>
    </row>
    <row r="5613" spans="1:8" x14ac:dyDescent="0.3">
      <c r="A5613" s="14" t="s">
        <v>69</v>
      </c>
      <c r="B5613" s="2">
        <v>90</v>
      </c>
      <c r="C5613" s="2">
        <v>39.008356999999997</v>
      </c>
      <c r="D5613" s="2">
        <v>0.62664900000000001</v>
      </c>
      <c r="E5613" s="2">
        <v>37.756099499999998</v>
      </c>
      <c r="F5613" s="2">
        <v>40.2606137</v>
      </c>
      <c r="H5613" s="8" t="str">
        <f t="shared" si="233"/>
        <v>39.01 (37.76 to 40.26)</v>
      </c>
    </row>
    <row r="5617" spans="1:6" x14ac:dyDescent="0.3">
      <c r="A5617" s="1" t="s">
        <v>129</v>
      </c>
    </row>
    <row r="5619" spans="1:6" x14ac:dyDescent="0.3">
      <c r="A5619" s="1" t="s">
        <v>376</v>
      </c>
    </row>
    <row r="5620" spans="1:6" ht="17.25" thickBot="1" x14ac:dyDescent="0.35"/>
    <row r="5621" spans="1:6" ht="16.5" customHeight="1" x14ac:dyDescent="0.3">
      <c r="A5621" s="24" t="s">
        <v>75</v>
      </c>
      <c r="B5621" s="26"/>
    </row>
    <row r="5622" spans="1:6" ht="26.25" thickBot="1" x14ac:dyDescent="0.35">
      <c r="A5622" s="13" t="s">
        <v>76</v>
      </c>
      <c r="B5622" s="2">
        <v>54</v>
      </c>
    </row>
    <row r="5623" spans="1:6" ht="26.25" thickBot="1" x14ac:dyDescent="0.35">
      <c r="A5623" s="13" t="s">
        <v>77</v>
      </c>
      <c r="B5623" s="2">
        <v>576</v>
      </c>
    </row>
    <row r="5624" spans="1:6" ht="39" thickBot="1" x14ac:dyDescent="0.35">
      <c r="A5624" s="13" t="s">
        <v>78</v>
      </c>
      <c r="B5624" s="2">
        <v>14006</v>
      </c>
    </row>
    <row r="5625" spans="1:6" ht="25.5" x14ac:dyDescent="0.3">
      <c r="A5625" s="14" t="s">
        <v>79</v>
      </c>
      <c r="B5625" s="2">
        <v>6272548.0099999998</v>
      </c>
    </row>
    <row r="5626" spans="1:6" ht="17.25" thickBot="1" x14ac:dyDescent="0.35"/>
    <row r="5627" spans="1:6" ht="33" customHeight="1" x14ac:dyDescent="0.3">
      <c r="A5627" s="24" t="s">
        <v>80</v>
      </c>
      <c r="B5627" s="26"/>
    </row>
    <row r="5628" spans="1:6" ht="33.75" thickBot="1" x14ac:dyDescent="0.35">
      <c r="A5628" s="13" t="s">
        <v>81</v>
      </c>
      <c r="B5628" s="2" t="s">
        <v>82</v>
      </c>
    </row>
    <row r="5629" spans="1:6" ht="25.5" x14ac:dyDescent="0.3">
      <c r="A5629" s="14" t="s">
        <v>83</v>
      </c>
      <c r="B5629" s="2" t="s">
        <v>84</v>
      </c>
    </row>
    <row r="5630" spans="1:6" ht="17.25" thickBot="1" x14ac:dyDescent="0.35"/>
    <row r="5631" spans="1:6" ht="16.5" customHeight="1" x14ac:dyDescent="0.3">
      <c r="A5631" s="24" t="s">
        <v>130</v>
      </c>
      <c r="B5631" s="26"/>
      <c r="C5631" s="26"/>
      <c r="D5631" s="26"/>
      <c r="E5631" s="26"/>
      <c r="F5631" s="26"/>
    </row>
    <row r="5632" spans="1:6" x14ac:dyDescent="0.3">
      <c r="A5632" s="25" t="s">
        <v>131</v>
      </c>
      <c r="B5632" s="27" t="s">
        <v>46</v>
      </c>
      <c r="C5632" s="27" t="s">
        <v>132</v>
      </c>
      <c r="D5632" s="3" t="s">
        <v>133</v>
      </c>
      <c r="E5632" s="27" t="s">
        <v>135</v>
      </c>
      <c r="F5632" s="27"/>
    </row>
    <row r="5633" spans="1:8" x14ac:dyDescent="0.3">
      <c r="A5633" s="25"/>
      <c r="B5633" s="27"/>
      <c r="C5633" s="27"/>
      <c r="D5633" s="3" t="s">
        <v>134</v>
      </c>
      <c r="E5633" s="27"/>
      <c r="F5633" s="27"/>
    </row>
    <row r="5634" spans="1:8" ht="17.25" thickBot="1" x14ac:dyDescent="0.35">
      <c r="A5634" s="13" t="s">
        <v>66</v>
      </c>
      <c r="B5634" s="2">
        <v>14006</v>
      </c>
      <c r="C5634" s="2">
        <v>8.6082870000000007</v>
      </c>
      <c r="D5634" s="2">
        <v>7.6810000000000003E-3</v>
      </c>
      <c r="E5634" s="2">
        <v>8.5931981000000004</v>
      </c>
      <c r="F5634" s="2">
        <v>8.6233758999999992</v>
      </c>
      <c r="H5634" s="8" t="str">
        <f t="shared" ref="H5634:H5637" si="234">TEXT(C5634,"0.00")&amp;" ("&amp;TEXT(E5634,"0.00")&amp;" to "&amp;TEXT(F5634,"0.00")&amp;")"</f>
        <v>8.61 (8.59 to 8.62)</v>
      </c>
    </row>
    <row r="5635" spans="1:8" ht="17.25" thickBot="1" x14ac:dyDescent="0.35">
      <c r="A5635" s="13" t="s">
        <v>67</v>
      </c>
      <c r="B5635" s="2">
        <v>14006</v>
      </c>
      <c r="C5635" s="2">
        <v>0.66417400000000004</v>
      </c>
      <c r="D5635" s="2">
        <v>9.7999999999999997E-4</v>
      </c>
      <c r="E5635" s="2">
        <v>0.66224830000000001</v>
      </c>
      <c r="F5635" s="2">
        <v>0.66609989999999997</v>
      </c>
      <c r="H5635" s="8" t="str">
        <f t="shared" si="234"/>
        <v>0.66 (0.66 to 0.67)</v>
      </c>
    </row>
    <row r="5636" spans="1:8" ht="17.25" thickBot="1" x14ac:dyDescent="0.35">
      <c r="A5636" s="13" t="s">
        <v>68</v>
      </c>
      <c r="B5636" s="2">
        <v>14006</v>
      </c>
      <c r="C5636" s="2">
        <v>0.35242699999999999</v>
      </c>
      <c r="D5636" s="2">
        <v>3.728E-3</v>
      </c>
      <c r="E5636" s="2">
        <v>0.34510380000000002</v>
      </c>
      <c r="F5636" s="2">
        <v>0.35975049999999997</v>
      </c>
      <c r="H5636" s="8" t="str">
        <f t="shared" si="234"/>
        <v>0.35 (0.35 to 0.36)</v>
      </c>
    </row>
    <row r="5637" spans="1:8" x14ac:dyDescent="0.3">
      <c r="A5637" s="14" t="s">
        <v>69</v>
      </c>
      <c r="B5637" s="2">
        <v>14006</v>
      </c>
      <c r="C5637" s="2">
        <v>35.725144999999998</v>
      </c>
      <c r="D5637" s="2">
        <v>8.6846000000000007E-2</v>
      </c>
      <c r="E5637" s="2">
        <v>35.554535000000001</v>
      </c>
      <c r="F5637" s="2">
        <v>35.895754699999998</v>
      </c>
      <c r="H5637" s="8" t="str">
        <f t="shared" si="234"/>
        <v>35.73 (35.55 to 35.90)</v>
      </c>
    </row>
    <row r="5641" spans="1:8" x14ac:dyDescent="0.3">
      <c r="A5641" s="1" t="s">
        <v>129</v>
      </c>
    </row>
    <row r="5643" spans="1:8" x14ac:dyDescent="0.3">
      <c r="A5643" s="1" t="s">
        <v>377</v>
      </c>
    </row>
    <row r="5644" spans="1:8" ht="17.25" thickBot="1" x14ac:dyDescent="0.35"/>
    <row r="5645" spans="1:8" ht="16.5" customHeight="1" x14ac:dyDescent="0.3">
      <c r="A5645" s="24" t="s">
        <v>75</v>
      </c>
      <c r="B5645" s="26"/>
    </row>
    <row r="5646" spans="1:8" ht="26.25" thickBot="1" x14ac:dyDescent="0.35">
      <c r="A5646" s="13" t="s">
        <v>76</v>
      </c>
      <c r="B5646" s="2">
        <v>45</v>
      </c>
    </row>
    <row r="5647" spans="1:8" ht="26.25" thickBot="1" x14ac:dyDescent="0.35">
      <c r="A5647" s="13" t="s">
        <v>77</v>
      </c>
      <c r="B5647" s="2">
        <v>131</v>
      </c>
    </row>
    <row r="5648" spans="1:8" ht="39" thickBot="1" x14ac:dyDescent="0.35">
      <c r="A5648" s="13" t="s">
        <v>78</v>
      </c>
      <c r="B5648" s="2">
        <v>152</v>
      </c>
    </row>
    <row r="5649" spans="1:8" ht="25.5" x14ac:dyDescent="0.3">
      <c r="A5649" s="14" t="s">
        <v>79</v>
      </c>
      <c r="B5649" s="2">
        <v>48412.4997</v>
      </c>
    </row>
    <row r="5650" spans="1:8" ht="17.25" thickBot="1" x14ac:dyDescent="0.35"/>
    <row r="5651" spans="1:8" ht="33" customHeight="1" x14ac:dyDescent="0.3">
      <c r="A5651" s="24" t="s">
        <v>80</v>
      </c>
      <c r="B5651" s="26"/>
    </row>
    <row r="5652" spans="1:8" ht="33.75" thickBot="1" x14ac:dyDescent="0.35">
      <c r="A5652" s="13" t="s">
        <v>81</v>
      </c>
      <c r="B5652" s="2" t="s">
        <v>82</v>
      </c>
    </row>
    <row r="5653" spans="1:8" ht="25.5" x14ac:dyDescent="0.3">
      <c r="A5653" s="14" t="s">
        <v>83</v>
      </c>
      <c r="B5653" s="2" t="s">
        <v>84</v>
      </c>
    </row>
    <row r="5654" spans="1:8" ht="17.25" thickBot="1" x14ac:dyDescent="0.35"/>
    <row r="5655" spans="1:8" ht="16.5" customHeight="1" x14ac:dyDescent="0.3">
      <c r="A5655" s="24" t="s">
        <v>130</v>
      </c>
      <c r="B5655" s="26"/>
      <c r="C5655" s="26"/>
      <c r="D5655" s="26"/>
      <c r="E5655" s="26"/>
      <c r="F5655" s="26"/>
    </row>
    <row r="5656" spans="1:8" x14ac:dyDescent="0.3">
      <c r="A5656" s="25" t="s">
        <v>131</v>
      </c>
      <c r="B5656" s="27" t="s">
        <v>46</v>
      </c>
      <c r="C5656" s="27" t="s">
        <v>132</v>
      </c>
      <c r="D5656" s="3" t="s">
        <v>133</v>
      </c>
      <c r="E5656" s="27" t="s">
        <v>135</v>
      </c>
      <c r="F5656" s="27"/>
    </row>
    <row r="5657" spans="1:8" x14ac:dyDescent="0.3">
      <c r="A5657" s="25"/>
      <c r="B5657" s="27"/>
      <c r="C5657" s="27"/>
      <c r="D5657" s="3" t="s">
        <v>134</v>
      </c>
      <c r="E5657" s="27"/>
      <c r="F5657" s="27"/>
    </row>
    <row r="5658" spans="1:8" ht="17.25" thickBot="1" x14ac:dyDescent="0.35">
      <c r="A5658" s="13" t="s">
        <v>66</v>
      </c>
      <c r="B5658" s="2">
        <v>152</v>
      </c>
      <c r="C5658" s="2">
        <v>8.7920700000000007</v>
      </c>
      <c r="D5658" s="2">
        <v>6.8640999999999994E-2</v>
      </c>
      <c r="E5658" s="2">
        <v>8.6556175</v>
      </c>
      <c r="F5658" s="2">
        <v>8.9285233000000002</v>
      </c>
      <c r="H5658" s="8" t="str">
        <f t="shared" ref="H5658:H5661" si="235">TEXT(C5658,"0.00")&amp;" ("&amp;TEXT(E5658,"0.00")&amp;" to "&amp;TEXT(F5658,"0.00")&amp;")"</f>
        <v>8.79 (8.66 to 8.93)</v>
      </c>
    </row>
    <row r="5659" spans="1:8" ht="17.25" thickBot="1" x14ac:dyDescent="0.35">
      <c r="A5659" s="13" t="s">
        <v>67</v>
      </c>
      <c r="B5659" s="2">
        <v>152</v>
      </c>
      <c r="C5659" s="2">
        <v>0.71265800000000001</v>
      </c>
      <c r="D5659" s="2">
        <v>8.1239999999999993E-3</v>
      </c>
      <c r="E5659" s="2">
        <v>0.69650849999999997</v>
      </c>
      <c r="F5659" s="2">
        <v>0.72880739999999999</v>
      </c>
      <c r="H5659" s="8" t="str">
        <f t="shared" si="235"/>
        <v>0.71 (0.70 to 0.73)</v>
      </c>
    </row>
    <row r="5660" spans="1:8" ht="17.25" thickBot="1" x14ac:dyDescent="0.35">
      <c r="A5660" s="13" t="s">
        <v>68</v>
      </c>
      <c r="B5660" s="2">
        <v>152</v>
      </c>
      <c r="C5660" s="2">
        <v>0.42365799999999998</v>
      </c>
      <c r="D5660" s="2">
        <v>3.2041E-2</v>
      </c>
      <c r="E5660" s="2">
        <v>0.359962</v>
      </c>
      <c r="F5660" s="2">
        <v>0.48735339999999999</v>
      </c>
      <c r="H5660" s="8" t="str">
        <f t="shared" si="235"/>
        <v>0.42 (0.36 to 0.49)</v>
      </c>
    </row>
    <row r="5661" spans="1:8" x14ac:dyDescent="0.3">
      <c r="A5661" s="14" t="s">
        <v>69</v>
      </c>
      <c r="B5661" s="2">
        <v>152</v>
      </c>
      <c r="C5661" s="2">
        <v>37.686278999999999</v>
      </c>
      <c r="D5661" s="2">
        <v>0.62909000000000004</v>
      </c>
      <c r="E5661" s="2">
        <v>36.435690200000003</v>
      </c>
      <c r="F5661" s="2">
        <v>38.936867300000003</v>
      </c>
      <c r="H5661" s="8" t="str">
        <f t="shared" si="235"/>
        <v>37.69 (36.44 to 38.94)</v>
      </c>
    </row>
    <row r="5665" spans="1:6" x14ac:dyDescent="0.3">
      <c r="A5665" s="1" t="s">
        <v>129</v>
      </c>
    </row>
    <row r="5667" spans="1:6" x14ac:dyDescent="0.3">
      <c r="A5667" s="1" t="s">
        <v>378</v>
      </c>
    </row>
    <row r="5668" spans="1:6" ht="17.25" thickBot="1" x14ac:dyDescent="0.35"/>
    <row r="5669" spans="1:6" ht="16.5" customHeight="1" x14ac:dyDescent="0.3">
      <c r="A5669" s="24" t="s">
        <v>75</v>
      </c>
      <c r="B5669" s="26"/>
    </row>
    <row r="5670" spans="1:6" ht="26.25" thickBot="1" x14ac:dyDescent="0.35">
      <c r="A5670" s="13" t="s">
        <v>76</v>
      </c>
      <c r="B5670" s="2">
        <v>27</v>
      </c>
    </row>
    <row r="5671" spans="1:6" ht="26.25" thickBot="1" x14ac:dyDescent="0.35">
      <c r="A5671" s="13" t="s">
        <v>77</v>
      </c>
      <c r="B5671" s="2">
        <v>564</v>
      </c>
    </row>
    <row r="5672" spans="1:6" ht="39" thickBot="1" x14ac:dyDescent="0.35">
      <c r="A5672" s="13" t="s">
        <v>78</v>
      </c>
      <c r="B5672" s="2">
        <v>13405</v>
      </c>
    </row>
    <row r="5673" spans="1:6" ht="25.5" x14ac:dyDescent="0.3">
      <c r="A5673" s="14" t="s">
        <v>79</v>
      </c>
      <c r="B5673" s="2">
        <v>6502340.4500000002</v>
      </c>
    </row>
    <row r="5674" spans="1:6" ht="17.25" thickBot="1" x14ac:dyDescent="0.35"/>
    <row r="5675" spans="1:6" ht="33" customHeight="1" x14ac:dyDescent="0.3">
      <c r="A5675" s="24" t="s">
        <v>80</v>
      </c>
      <c r="B5675" s="26"/>
    </row>
    <row r="5676" spans="1:6" ht="33.75" thickBot="1" x14ac:dyDescent="0.35">
      <c r="A5676" s="13" t="s">
        <v>81</v>
      </c>
      <c r="B5676" s="2" t="s">
        <v>82</v>
      </c>
    </row>
    <row r="5677" spans="1:6" ht="25.5" x14ac:dyDescent="0.3">
      <c r="A5677" s="14" t="s">
        <v>83</v>
      </c>
      <c r="B5677" s="2" t="s">
        <v>84</v>
      </c>
    </row>
    <row r="5678" spans="1:6" ht="17.25" thickBot="1" x14ac:dyDescent="0.35"/>
    <row r="5679" spans="1:6" ht="16.5" customHeight="1" x14ac:dyDescent="0.3">
      <c r="A5679" s="24" t="s">
        <v>130</v>
      </c>
      <c r="B5679" s="26"/>
      <c r="C5679" s="26"/>
      <c r="D5679" s="26"/>
      <c r="E5679" s="26"/>
      <c r="F5679" s="26"/>
    </row>
    <row r="5680" spans="1:6" x14ac:dyDescent="0.3">
      <c r="A5680" s="25" t="s">
        <v>131</v>
      </c>
      <c r="B5680" s="27" t="s">
        <v>46</v>
      </c>
      <c r="C5680" s="27" t="s">
        <v>132</v>
      </c>
      <c r="D5680" s="3" t="s">
        <v>133</v>
      </c>
      <c r="E5680" s="27" t="s">
        <v>135</v>
      </c>
      <c r="F5680" s="27"/>
    </row>
    <row r="5681" spans="1:8" x14ac:dyDescent="0.3">
      <c r="A5681" s="25"/>
      <c r="B5681" s="27"/>
      <c r="C5681" s="27"/>
      <c r="D5681" s="3" t="s">
        <v>134</v>
      </c>
      <c r="E5681" s="27"/>
      <c r="F5681" s="27"/>
    </row>
    <row r="5682" spans="1:8" ht="17.25" thickBot="1" x14ac:dyDescent="0.35">
      <c r="A5682" s="13" t="s">
        <v>66</v>
      </c>
      <c r="B5682" s="2">
        <v>13405</v>
      </c>
      <c r="C5682" s="2">
        <v>8.5840370000000004</v>
      </c>
      <c r="D5682" s="2">
        <v>7.7860000000000004E-3</v>
      </c>
      <c r="E5682" s="2">
        <v>8.5687429000000002</v>
      </c>
      <c r="F5682" s="2">
        <v>8.5993315999999993</v>
      </c>
      <c r="H5682" s="8" t="str">
        <f t="shared" ref="H5682:H5685" si="236">TEXT(C5682,"0.00")&amp;" ("&amp;TEXT(E5682,"0.00")&amp;" to "&amp;TEXT(F5682,"0.00")&amp;")"</f>
        <v>8.58 (8.57 to 8.60)</v>
      </c>
    </row>
    <row r="5683" spans="1:8" ht="17.25" thickBot="1" x14ac:dyDescent="0.35">
      <c r="A5683" s="13" t="s">
        <v>67</v>
      </c>
      <c r="B5683" s="2">
        <v>13405</v>
      </c>
      <c r="C5683" s="2">
        <v>0.671852</v>
      </c>
      <c r="D5683" s="2">
        <v>9.4700000000000003E-4</v>
      </c>
      <c r="E5683" s="2">
        <v>0.66999169999999997</v>
      </c>
      <c r="F5683" s="2">
        <v>0.67371259999999999</v>
      </c>
      <c r="H5683" s="8" t="str">
        <f t="shared" si="236"/>
        <v>0.67 (0.67 to 0.67)</v>
      </c>
    </row>
    <row r="5684" spans="1:8" ht="17.25" thickBot="1" x14ac:dyDescent="0.35">
      <c r="A5684" s="13" t="s">
        <v>68</v>
      </c>
      <c r="B5684" s="2">
        <v>13405</v>
      </c>
      <c r="C5684" s="2">
        <v>0.327482</v>
      </c>
      <c r="D5684" s="2">
        <v>3.8400000000000001E-3</v>
      </c>
      <c r="E5684" s="2">
        <v>0.31993919999999998</v>
      </c>
      <c r="F5684" s="2">
        <v>0.33502480000000001</v>
      </c>
      <c r="H5684" s="8" t="str">
        <f t="shared" si="236"/>
        <v>0.33 (0.32 to 0.34)</v>
      </c>
    </row>
    <row r="5685" spans="1:8" x14ac:dyDescent="0.3">
      <c r="A5685" s="14" t="s">
        <v>69</v>
      </c>
      <c r="B5685" s="2">
        <v>13405</v>
      </c>
      <c r="C5685" s="2">
        <v>35.776200000000003</v>
      </c>
      <c r="D5685" s="2">
        <v>9.2119999999999994E-2</v>
      </c>
      <c r="E5685" s="2">
        <v>35.595240199999999</v>
      </c>
      <c r="F5685" s="2">
        <v>35.957159900000001</v>
      </c>
      <c r="H5685" s="8" t="str">
        <f t="shared" si="236"/>
        <v>35.78 (35.60 to 35.96)</v>
      </c>
    </row>
    <row r="5689" spans="1:8" x14ac:dyDescent="0.3">
      <c r="A5689" s="1" t="s">
        <v>129</v>
      </c>
    </row>
    <row r="5691" spans="1:8" x14ac:dyDescent="0.3">
      <c r="A5691" s="1" t="s">
        <v>379</v>
      </c>
    </row>
    <row r="5692" spans="1:8" ht="17.25" thickBot="1" x14ac:dyDescent="0.35"/>
    <row r="5693" spans="1:8" ht="16.5" customHeight="1" x14ac:dyDescent="0.3">
      <c r="A5693" s="24" t="s">
        <v>75</v>
      </c>
      <c r="B5693" s="26"/>
    </row>
    <row r="5694" spans="1:8" ht="26.25" thickBot="1" x14ac:dyDescent="0.35">
      <c r="A5694" s="13" t="s">
        <v>76</v>
      </c>
      <c r="B5694" s="2">
        <v>25</v>
      </c>
    </row>
    <row r="5695" spans="1:8" ht="26.25" thickBot="1" x14ac:dyDescent="0.35">
      <c r="A5695" s="13" t="s">
        <v>77</v>
      </c>
      <c r="B5695" s="2">
        <v>128</v>
      </c>
    </row>
    <row r="5696" spans="1:8" ht="39" thickBot="1" x14ac:dyDescent="0.35">
      <c r="A5696" s="13" t="s">
        <v>78</v>
      </c>
      <c r="B5696" s="2">
        <v>150</v>
      </c>
    </row>
    <row r="5697" spans="1:8" ht="25.5" x14ac:dyDescent="0.3">
      <c r="A5697" s="14" t="s">
        <v>79</v>
      </c>
      <c r="B5697" s="2">
        <v>52358.362099999998</v>
      </c>
    </row>
    <row r="5698" spans="1:8" ht="17.25" thickBot="1" x14ac:dyDescent="0.35"/>
    <row r="5699" spans="1:8" ht="33" customHeight="1" x14ac:dyDescent="0.3">
      <c r="A5699" s="24" t="s">
        <v>80</v>
      </c>
      <c r="B5699" s="26"/>
    </row>
    <row r="5700" spans="1:8" ht="33.75" thickBot="1" x14ac:dyDescent="0.35">
      <c r="A5700" s="13" t="s">
        <v>81</v>
      </c>
      <c r="B5700" s="2" t="s">
        <v>82</v>
      </c>
    </row>
    <row r="5701" spans="1:8" ht="25.5" x14ac:dyDescent="0.3">
      <c r="A5701" s="14" t="s">
        <v>83</v>
      </c>
      <c r="B5701" s="2" t="s">
        <v>84</v>
      </c>
    </row>
    <row r="5702" spans="1:8" ht="17.25" thickBot="1" x14ac:dyDescent="0.35"/>
    <row r="5703" spans="1:8" ht="16.5" customHeight="1" x14ac:dyDescent="0.3">
      <c r="A5703" s="24" t="s">
        <v>130</v>
      </c>
      <c r="B5703" s="26"/>
      <c r="C5703" s="26"/>
      <c r="D5703" s="26"/>
      <c r="E5703" s="26"/>
      <c r="F5703" s="26"/>
    </row>
    <row r="5704" spans="1:8" x14ac:dyDescent="0.3">
      <c r="A5704" s="25" t="s">
        <v>131</v>
      </c>
      <c r="B5704" s="27" t="s">
        <v>46</v>
      </c>
      <c r="C5704" s="27" t="s">
        <v>132</v>
      </c>
      <c r="D5704" s="3" t="s">
        <v>133</v>
      </c>
      <c r="E5704" s="27" t="s">
        <v>135</v>
      </c>
      <c r="F5704" s="27"/>
    </row>
    <row r="5705" spans="1:8" x14ac:dyDescent="0.3">
      <c r="A5705" s="25"/>
      <c r="B5705" s="27"/>
      <c r="C5705" s="27"/>
      <c r="D5705" s="3" t="s">
        <v>134</v>
      </c>
      <c r="E5705" s="27"/>
      <c r="F5705" s="27"/>
    </row>
    <row r="5706" spans="1:8" ht="17.25" thickBot="1" x14ac:dyDescent="0.35">
      <c r="A5706" s="13" t="s">
        <v>66</v>
      </c>
      <c r="B5706" s="2">
        <v>150</v>
      </c>
      <c r="C5706" s="2">
        <v>8.8183609999999994</v>
      </c>
      <c r="D5706" s="2">
        <v>5.8366000000000001E-2</v>
      </c>
      <c r="E5706" s="2">
        <v>8.7026055000000007</v>
      </c>
      <c r="F5706" s="2">
        <v>8.9341158000000007</v>
      </c>
      <c r="H5706" s="8" t="str">
        <f t="shared" ref="H5706:H5709" si="237">TEXT(C5706,"0.00")&amp;" ("&amp;TEXT(E5706,"0.00")&amp;" to "&amp;TEXT(F5706,"0.00")&amp;")"</f>
        <v>8.82 (8.70 to 8.93)</v>
      </c>
    </row>
    <row r="5707" spans="1:8" ht="17.25" thickBot="1" x14ac:dyDescent="0.35">
      <c r="A5707" s="13" t="s">
        <v>67</v>
      </c>
      <c r="B5707" s="2">
        <v>150</v>
      </c>
      <c r="C5707" s="2">
        <v>0.72984899999999997</v>
      </c>
      <c r="D5707" s="2">
        <v>6.5040000000000002E-3</v>
      </c>
      <c r="E5707" s="2">
        <v>0.71695039999999999</v>
      </c>
      <c r="F5707" s="2">
        <v>0.74274810000000002</v>
      </c>
      <c r="H5707" s="8" t="str">
        <f t="shared" si="237"/>
        <v>0.73 (0.72 to 0.74)</v>
      </c>
    </row>
    <row r="5708" spans="1:8" ht="17.25" thickBot="1" x14ac:dyDescent="0.35">
      <c r="A5708" s="13" t="s">
        <v>68</v>
      </c>
      <c r="B5708" s="2">
        <v>150</v>
      </c>
      <c r="C5708" s="2">
        <v>0.43317800000000001</v>
      </c>
      <c r="D5708" s="2">
        <v>2.3688000000000001E-2</v>
      </c>
      <c r="E5708" s="2">
        <v>0.38619880000000001</v>
      </c>
      <c r="F5708" s="2">
        <v>0.48015629999999998</v>
      </c>
      <c r="H5708" s="8" t="str">
        <f t="shared" si="237"/>
        <v>0.43 (0.39 to 0.48)</v>
      </c>
    </row>
    <row r="5709" spans="1:8" x14ac:dyDescent="0.3">
      <c r="A5709" s="14" t="s">
        <v>69</v>
      </c>
      <c r="B5709" s="2">
        <v>150</v>
      </c>
      <c r="C5709" s="2">
        <v>39.457768000000002</v>
      </c>
      <c r="D5709" s="2">
        <v>0.88474799999999998</v>
      </c>
      <c r="E5709" s="2">
        <v>37.703078400000003</v>
      </c>
      <c r="F5709" s="2">
        <v>41.212457200000003</v>
      </c>
      <c r="H5709" s="8" t="str">
        <f t="shared" si="237"/>
        <v>39.46 (37.70 to 41.21)</v>
      </c>
    </row>
    <row r="5713" spans="1:6" x14ac:dyDescent="0.3">
      <c r="A5713" s="1" t="s">
        <v>129</v>
      </c>
    </row>
    <row r="5715" spans="1:6" x14ac:dyDescent="0.3">
      <c r="A5715" s="1" t="s">
        <v>380</v>
      </c>
    </row>
    <row r="5716" spans="1:6" ht="17.25" thickBot="1" x14ac:dyDescent="0.35"/>
    <row r="5717" spans="1:6" ht="16.5" customHeight="1" x14ac:dyDescent="0.3">
      <c r="A5717" s="24" t="s">
        <v>75</v>
      </c>
      <c r="B5717" s="26"/>
    </row>
    <row r="5718" spans="1:6" ht="26.25" thickBot="1" x14ac:dyDescent="0.35">
      <c r="A5718" s="13" t="s">
        <v>76</v>
      </c>
      <c r="B5718" s="2">
        <v>27</v>
      </c>
    </row>
    <row r="5719" spans="1:6" ht="26.25" thickBot="1" x14ac:dyDescent="0.35">
      <c r="A5719" s="13" t="s">
        <v>77</v>
      </c>
      <c r="B5719" s="2">
        <v>190</v>
      </c>
    </row>
    <row r="5720" spans="1:6" ht="39" thickBot="1" x14ac:dyDescent="0.35">
      <c r="A5720" s="13" t="s">
        <v>78</v>
      </c>
      <c r="B5720" s="2">
        <v>4376</v>
      </c>
    </row>
    <row r="5721" spans="1:6" ht="25.5" x14ac:dyDescent="0.3">
      <c r="A5721" s="14" t="s">
        <v>79</v>
      </c>
      <c r="B5721" s="2">
        <v>2135647.02</v>
      </c>
    </row>
    <row r="5722" spans="1:6" ht="17.25" thickBot="1" x14ac:dyDescent="0.35"/>
    <row r="5723" spans="1:6" ht="33" customHeight="1" x14ac:dyDescent="0.3">
      <c r="A5723" s="24" t="s">
        <v>80</v>
      </c>
      <c r="B5723" s="26"/>
    </row>
    <row r="5724" spans="1:6" ht="33.75" thickBot="1" x14ac:dyDescent="0.35">
      <c r="A5724" s="13" t="s">
        <v>81</v>
      </c>
      <c r="B5724" s="2" t="s">
        <v>82</v>
      </c>
    </row>
    <row r="5725" spans="1:6" ht="25.5" x14ac:dyDescent="0.3">
      <c r="A5725" s="14" t="s">
        <v>83</v>
      </c>
      <c r="B5725" s="2" t="s">
        <v>84</v>
      </c>
    </row>
    <row r="5726" spans="1:6" ht="17.25" thickBot="1" x14ac:dyDescent="0.35"/>
    <row r="5727" spans="1:6" ht="16.5" customHeight="1" x14ac:dyDescent="0.3">
      <c r="A5727" s="24" t="s">
        <v>130</v>
      </c>
      <c r="B5727" s="26"/>
      <c r="C5727" s="26"/>
      <c r="D5727" s="26"/>
      <c r="E5727" s="26"/>
      <c r="F5727" s="26"/>
    </row>
    <row r="5728" spans="1:6" x14ac:dyDescent="0.3">
      <c r="A5728" s="25" t="s">
        <v>131</v>
      </c>
      <c r="B5728" s="27" t="s">
        <v>46</v>
      </c>
      <c r="C5728" s="27" t="s">
        <v>132</v>
      </c>
      <c r="D5728" s="3" t="s">
        <v>133</v>
      </c>
      <c r="E5728" s="27" t="s">
        <v>135</v>
      </c>
      <c r="F5728" s="27"/>
    </row>
    <row r="5729" spans="1:8" x14ac:dyDescent="0.3">
      <c r="A5729" s="25"/>
      <c r="B5729" s="27"/>
      <c r="C5729" s="27"/>
      <c r="D5729" s="3" t="s">
        <v>134</v>
      </c>
      <c r="E5729" s="27"/>
      <c r="F5729" s="27"/>
    </row>
    <row r="5730" spans="1:8" ht="17.25" thickBot="1" x14ac:dyDescent="0.35">
      <c r="A5730" s="13" t="s">
        <v>66</v>
      </c>
      <c r="B5730" s="2">
        <v>4376</v>
      </c>
      <c r="C5730" s="2">
        <v>8.5924899999999997</v>
      </c>
      <c r="D5730" s="2">
        <v>1.2066E-2</v>
      </c>
      <c r="E5730" s="2">
        <v>8.5686643999999994</v>
      </c>
      <c r="F5730" s="2">
        <v>8.6163159</v>
      </c>
      <c r="H5730" s="8" t="str">
        <f t="shared" ref="H5730:H5733" si="238">TEXT(C5730,"0.00")&amp;" ("&amp;TEXT(E5730,"0.00")&amp;" to "&amp;TEXT(F5730,"0.00")&amp;")"</f>
        <v>8.59 (8.57 to 8.62)</v>
      </c>
    </row>
    <row r="5731" spans="1:8" ht="17.25" thickBot="1" x14ac:dyDescent="0.35">
      <c r="A5731" s="13" t="s">
        <v>67</v>
      </c>
      <c r="B5731" s="2">
        <v>4376</v>
      </c>
      <c r="C5731" s="2">
        <v>0.66852800000000001</v>
      </c>
      <c r="D5731" s="2">
        <v>1.622E-3</v>
      </c>
      <c r="E5731" s="2">
        <v>0.66532530000000001</v>
      </c>
      <c r="F5731" s="2">
        <v>0.67172980000000004</v>
      </c>
      <c r="H5731" s="8" t="str">
        <f t="shared" si="238"/>
        <v>0.67 (0.67 to 0.67)</v>
      </c>
    </row>
    <row r="5732" spans="1:8" ht="17.25" thickBot="1" x14ac:dyDescent="0.35">
      <c r="A5732" s="13" t="s">
        <v>68</v>
      </c>
      <c r="B5732" s="2">
        <v>4376</v>
      </c>
      <c r="C5732" s="2">
        <v>0.29044999999999999</v>
      </c>
      <c r="D5732" s="2">
        <v>6.365E-3</v>
      </c>
      <c r="E5732" s="2">
        <v>0.27788099999999999</v>
      </c>
      <c r="F5732" s="2">
        <v>0.30301860000000003</v>
      </c>
      <c r="H5732" s="8" t="str">
        <f t="shared" si="238"/>
        <v>0.29 (0.28 to 0.30)</v>
      </c>
    </row>
    <row r="5733" spans="1:8" x14ac:dyDescent="0.3">
      <c r="A5733" s="14" t="s">
        <v>69</v>
      </c>
      <c r="B5733" s="2">
        <v>4376</v>
      </c>
      <c r="C5733" s="2">
        <v>35.265593000000003</v>
      </c>
      <c r="D5733" s="2">
        <v>0.17302600000000001</v>
      </c>
      <c r="E5733" s="2">
        <v>34.923932600000001</v>
      </c>
      <c r="F5733" s="2">
        <v>35.607253900000003</v>
      </c>
      <c r="H5733" s="8" t="str">
        <f t="shared" si="238"/>
        <v>35.27 (34.92 to 35.61)</v>
      </c>
    </row>
    <row r="5737" spans="1:8" x14ac:dyDescent="0.3">
      <c r="A5737" s="1" t="s">
        <v>129</v>
      </c>
    </row>
    <row r="5739" spans="1:8" x14ac:dyDescent="0.3">
      <c r="A5739" s="1" t="s">
        <v>381</v>
      </c>
    </row>
    <row r="5740" spans="1:8" ht="17.25" thickBot="1" x14ac:dyDescent="0.35"/>
    <row r="5741" spans="1:8" ht="16.5" customHeight="1" x14ac:dyDescent="0.3">
      <c r="A5741" s="24" t="s">
        <v>75</v>
      </c>
      <c r="B5741" s="26"/>
    </row>
    <row r="5742" spans="1:8" ht="26.25" thickBot="1" x14ac:dyDescent="0.35">
      <c r="A5742" s="13" t="s">
        <v>76</v>
      </c>
      <c r="B5742" s="2">
        <v>20</v>
      </c>
    </row>
    <row r="5743" spans="1:8" ht="26.25" thickBot="1" x14ac:dyDescent="0.35">
      <c r="A5743" s="13" t="s">
        <v>77</v>
      </c>
      <c r="B5743" s="2">
        <v>37</v>
      </c>
    </row>
    <row r="5744" spans="1:8" ht="39" thickBot="1" x14ac:dyDescent="0.35">
      <c r="A5744" s="13" t="s">
        <v>78</v>
      </c>
      <c r="B5744" s="2">
        <v>40</v>
      </c>
    </row>
    <row r="5745" spans="1:8" ht="25.5" x14ac:dyDescent="0.3">
      <c r="A5745" s="14" t="s">
        <v>79</v>
      </c>
      <c r="B5745" s="2">
        <v>15266.6507</v>
      </c>
    </row>
    <row r="5746" spans="1:8" ht="17.25" thickBot="1" x14ac:dyDescent="0.35"/>
    <row r="5747" spans="1:8" ht="33" customHeight="1" x14ac:dyDescent="0.3">
      <c r="A5747" s="24" t="s">
        <v>80</v>
      </c>
      <c r="B5747" s="26"/>
    </row>
    <row r="5748" spans="1:8" ht="33.75" thickBot="1" x14ac:dyDescent="0.35">
      <c r="A5748" s="13" t="s">
        <v>81</v>
      </c>
      <c r="B5748" s="2" t="s">
        <v>82</v>
      </c>
    </row>
    <row r="5749" spans="1:8" ht="25.5" x14ac:dyDescent="0.3">
      <c r="A5749" s="14" t="s">
        <v>83</v>
      </c>
      <c r="B5749" s="2" t="s">
        <v>84</v>
      </c>
    </row>
    <row r="5750" spans="1:8" ht="17.25" thickBot="1" x14ac:dyDescent="0.35"/>
    <row r="5751" spans="1:8" ht="16.5" customHeight="1" x14ac:dyDescent="0.3">
      <c r="A5751" s="24" t="s">
        <v>130</v>
      </c>
      <c r="B5751" s="26"/>
      <c r="C5751" s="26"/>
      <c r="D5751" s="26"/>
      <c r="E5751" s="26"/>
      <c r="F5751" s="26"/>
    </row>
    <row r="5752" spans="1:8" x14ac:dyDescent="0.3">
      <c r="A5752" s="25" t="s">
        <v>131</v>
      </c>
      <c r="B5752" s="27" t="s">
        <v>46</v>
      </c>
      <c r="C5752" s="27" t="s">
        <v>132</v>
      </c>
      <c r="D5752" s="3" t="s">
        <v>133</v>
      </c>
      <c r="E5752" s="27" t="s">
        <v>135</v>
      </c>
      <c r="F5752" s="27"/>
    </row>
    <row r="5753" spans="1:8" x14ac:dyDescent="0.3">
      <c r="A5753" s="25"/>
      <c r="B5753" s="27"/>
      <c r="C5753" s="27"/>
      <c r="D5753" s="3" t="s">
        <v>134</v>
      </c>
      <c r="E5753" s="27"/>
      <c r="F5753" s="27"/>
    </row>
    <row r="5754" spans="1:8" ht="17.25" thickBot="1" x14ac:dyDescent="0.35">
      <c r="A5754" s="13" t="s">
        <v>66</v>
      </c>
      <c r="B5754" s="2">
        <v>40</v>
      </c>
      <c r="C5754" s="2">
        <v>8.7385269999999995</v>
      </c>
      <c r="D5754" s="2">
        <v>8.0477999999999994E-2</v>
      </c>
      <c r="E5754" s="2">
        <v>8.5687327</v>
      </c>
      <c r="F5754" s="2">
        <v>8.9083208000000003</v>
      </c>
      <c r="H5754" s="8" t="str">
        <f t="shared" ref="H5754:H5757" si="239">TEXT(C5754,"0.00")&amp;" ("&amp;TEXT(E5754,"0.00")&amp;" to "&amp;TEXT(F5754,"0.00")&amp;")"</f>
        <v>8.74 (8.57 to 8.91)</v>
      </c>
    </row>
    <row r="5755" spans="1:8" ht="17.25" thickBot="1" x14ac:dyDescent="0.35">
      <c r="A5755" s="13" t="s">
        <v>67</v>
      </c>
      <c r="B5755" s="2">
        <v>40</v>
      </c>
      <c r="C5755" s="2">
        <v>0.72471200000000002</v>
      </c>
      <c r="D5755" s="2">
        <v>7.3540000000000003E-3</v>
      </c>
      <c r="E5755" s="2">
        <v>0.70919589999999999</v>
      </c>
      <c r="F5755" s="2">
        <v>0.74022900000000003</v>
      </c>
      <c r="H5755" s="8" t="str">
        <f t="shared" si="239"/>
        <v>0.72 (0.71 to 0.74)</v>
      </c>
    </row>
    <row r="5756" spans="1:8" ht="17.25" thickBot="1" x14ac:dyDescent="0.35">
      <c r="A5756" s="13" t="s">
        <v>68</v>
      </c>
      <c r="B5756" s="2">
        <v>40</v>
      </c>
      <c r="C5756" s="2">
        <v>0.34534300000000001</v>
      </c>
      <c r="D5756" s="2">
        <v>5.0869999999999999E-2</v>
      </c>
      <c r="E5756" s="2">
        <v>0.23801520000000001</v>
      </c>
      <c r="F5756" s="2">
        <v>0.45266980000000001</v>
      </c>
      <c r="H5756" s="8" t="str">
        <f t="shared" si="239"/>
        <v>0.35 (0.24 to 0.45)</v>
      </c>
    </row>
    <row r="5757" spans="1:8" x14ac:dyDescent="0.3">
      <c r="A5757" s="14" t="s">
        <v>69</v>
      </c>
      <c r="B5757" s="2">
        <v>40</v>
      </c>
      <c r="C5757" s="2">
        <v>37.899721</v>
      </c>
      <c r="D5757" s="2">
        <v>1.434615</v>
      </c>
      <c r="E5757" s="2">
        <v>34.872947799999999</v>
      </c>
      <c r="F5757" s="2">
        <v>40.926493899999997</v>
      </c>
      <c r="H5757" s="8" t="str">
        <f t="shared" si="239"/>
        <v>37.90 (34.87 to 40.93)</v>
      </c>
    </row>
    <row r="5761" spans="1:6" x14ac:dyDescent="0.3">
      <c r="A5761" s="1" t="s">
        <v>129</v>
      </c>
    </row>
    <row r="5763" spans="1:6" x14ac:dyDescent="0.3">
      <c r="A5763" s="1" t="s">
        <v>382</v>
      </c>
    </row>
    <row r="5764" spans="1:6" ht="17.25" thickBot="1" x14ac:dyDescent="0.35"/>
    <row r="5765" spans="1:6" ht="16.5" customHeight="1" x14ac:dyDescent="0.3">
      <c r="A5765" s="24" t="s">
        <v>75</v>
      </c>
      <c r="B5765" s="26"/>
    </row>
    <row r="5766" spans="1:6" ht="26.25" thickBot="1" x14ac:dyDescent="0.35">
      <c r="A5766" s="13" t="s">
        <v>76</v>
      </c>
      <c r="B5766" s="2">
        <v>25</v>
      </c>
    </row>
    <row r="5767" spans="1:6" ht="26.25" thickBot="1" x14ac:dyDescent="0.35">
      <c r="A5767" s="13" t="s">
        <v>77</v>
      </c>
      <c r="B5767" s="2">
        <v>500</v>
      </c>
    </row>
    <row r="5768" spans="1:6" ht="39" thickBot="1" x14ac:dyDescent="0.35">
      <c r="A5768" s="13" t="s">
        <v>78</v>
      </c>
      <c r="B5768" s="2">
        <v>11784</v>
      </c>
    </row>
    <row r="5769" spans="1:6" ht="25.5" x14ac:dyDescent="0.3">
      <c r="A5769" s="14" t="s">
        <v>79</v>
      </c>
      <c r="B5769" s="2">
        <v>4335918.33</v>
      </c>
    </row>
    <row r="5770" spans="1:6" ht="17.25" thickBot="1" x14ac:dyDescent="0.35"/>
    <row r="5771" spans="1:6" ht="33" customHeight="1" x14ac:dyDescent="0.3">
      <c r="A5771" s="24" t="s">
        <v>80</v>
      </c>
      <c r="B5771" s="26"/>
    </row>
    <row r="5772" spans="1:6" ht="33.75" thickBot="1" x14ac:dyDescent="0.35">
      <c r="A5772" s="13" t="s">
        <v>81</v>
      </c>
      <c r="B5772" s="2" t="s">
        <v>82</v>
      </c>
    </row>
    <row r="5773" spans="1:6" ht="25.5" x14ac:dyDescent="0.3">
      <c r="A5773" s="14" t="s">
        <v>83</v>
      </c>
      <c r="B5773" s="2" t="s">
        <v>84</v>
      </c>
    </row>
    <row r="5774" spans="1:6" ht="17.25" thickBot="1" x14ac:dyDescent="0.35"/>
    <row r="5775" spans="1:6" ht="16.5" customHeight="1" x14ac:dyDescent="0.3">
      <c r="A5775" s="24" t="s">
        <v>130</v>
      </c>
      <c r="B5775" s="26"/>
      <c r="C5775" s="26"/>
      <c r="D5775" s="26"/>
      <c r="E5775" s="26"/>
      <c r="F5775" s="26"/>
    </row>
    <row r="5776" spans="1:6" x14ac:dyDescent="0.3">
      <c r="A5776" s="25" t="s">
        <v>131</v>
      </c>
      <c r="B5776" s="27" t="s">
        <v>46</v>
      </c>
      <c r="C5776" s="27" t="s">
        <v>132</v>
      </c>
      <c r="D5776" s="3" t="s">
        <v>133</v>
      </c>
      <c r="E5776" s="27" t="s">
        <v>135</v>
      </c>
      <c r="F5776" s="27"/>
    </row>
    <row r="5777" spans="1:8" x14ac:dyDescent="0.3">
      <c r="A5777" s="25"/>
      <c r="B5777" s="27"/>
      <c r="C5777" s="27"/>
      <c r="D5777" s="3" t="s">
        <v>134</v>
      </c>
      <c r="E5777" s="27"/>
      <c r="F5777" s="27"/>
    </row>
    <row r="5778" spans="1:8" ht="17.25" thickBot="1" x14ac:dyDescent="0.35">
      <c r="A5778" s="13" t="s">
        <v>66</v>
      </c>
      <c r="B5778" s="2">
        <v>11784</v>
      </c>
      <c r="C5778" s="2">
        <v>8.552899</v>
      </c>
      <c r="D5778" s="2">
        <v>8.3250000000000008E-3</v>
      </c>
      <c r="E5778" s="2">
        <v>8.5365400000000005</v>
      </c>
      <c r="F5778" s="2">
        <v>8.5692582999999996</v>
      </c>
      <c r="H5778" s="8" t="str">
        <f t="shared" ref="H5778:H5781" si="240">TEXT(C5778,"0.00")&amp;" ("&amp;TEXT(E5778,"0.00")&amp;" to "&amp;TEXT(F5778,"0.00")&amp;")"</f>
        <v>8.55 (8.54 to 8.57)</v>
      </c>
    </row>
    <row r="5779" spans="1:8" ht="17.25" thickBot="1" x14ac:dyDescent="0.35">
      <c r="A5779" s="13" t="s">
        <v>67</v>
      </c>
      <c r="B5779" s="2">
        <v>11784</v>
      </c>
      <c r="C5779" s="2">
        <v>0.66005599999999998</v>
      </c>
      <c r="D5779" s="2">
        <v>1.201E-3</v>
      </c>
      <c r="E5779" s="2">
        <v>0.65769650000000002</v>
      </c>
      <c r="F5779" s="2">
        <v>0.6624158</v>
      </c>
      <c r="H5779" s="8" t="str">
        <f t="shared" si="240"/>
        <v>0.66 (0.66 to 0.66)</v>
      </c>
    </row>
    <row r="5780" spans="1:8" ht="17.25" thickBot="1" x14ac:dyDescent="0.35">
      <c r="A5780" s="13" t="s">
        <v>68</v>
      </c>
      <c r="B5780" s="2">
        <v>11784</v>
      </c>
      <c r="C5780" s="2">
        <v>0.36711199999999999</v>
      </c>
      <c r="D5780" s="2">
        <v>3.8430000000000001E-3</v>
      </c>
      <c r="E5780" s="2">
        <v>0.35956159999999998</v>
      </c>
      <c r="F5780" s="2">
        <v>0.37466250000000001</v>
      </c>
      <c r="H5780" s="8" t="str">
        <f t="shared" si="240"/>
        <v>0.37 (0.36 to 0.37)</v>
      </c>
    </row>
    <row r="5781" spans="1:8" x14ac:dyDescent="0.3">
      <c r="A5781" s="14" t="s">
        <v>69</v>
      </c>
      <c r="B5781" s="2">
        <v>11784</v>
      </c>
      <c r="C5781" s="2">
        <v>35.557080999999997</v>
      </c>
      <c r="D5781" s="2">
        <v>8.5584999999999994E-2</v>
      </c>
      <c r="E5781" s="2">
        <v>35.388908800000003</v>
      </c>
      <c r="F5781" s="2">
        <v>35.725254</v>
      </c>
      <c r="H5781" s="8" t="str">
        <f t="shared" si="240"/>
        <v>35.56 (35.39 to 35.73)</v>
      </c>
    </row>
    <row r="5785" spans="1:8" x14ac:dyDescent="0.3">
      <c r="A5785" s="1" t="s">
        <v>129</v>
      </c>
    </row>
    <row r="5787" spans="1:8" x14ac:dyDescent="0.3">
      <c r="A5787" s="1" t="s">
        <v>383</v>
      </c>
    </row>
    <row r="5788" spans="1:8" ht="17.25" thickBot="1" x14ac:dyDescent="0.35"/>
    <row r="5789" spans="1:8" ht="16.5" customHeight="1" x14ac:dyDescent="0.3">
      <c r="A5789" s="24" t="s">
        <v>75</v>
      </c>
      <c r="B5789" s="26"/>
    </row>
    <row r="5790" spans="1:8" ht="26.25" thickBot="1" x14ac:dyDescent="0.35">
      <c r="A5790" s="13" t="s">
        <v>76</v>
      </c>
      <c r="B5790" s="2">
        <v>24</v>
      </c>
    </row>
    <row r="5791" spans="1:8" ht="26.25" thickBot="1" x14ac:dyDescent="0.35">
      <c r="A5791" s="13" t="s">
        <v>77</v>
      </c>
      <c r="B5791" s="2">
        <v>113</v>
      </c>
    </row>
    <row r="5792" spans="1:8" ht="39" thickBot="1" x14ac:dyDescent="0.35">
      <c r="A5792" s="13" t="s">
        <v>78</v>
      </c>
      <c r="B5792" s="2">
        <v>131</v>
      </c>
    </row>
    <row r="5793" spans="1:8" ht="25.5" x14ac:dyDescent="0.3">
      <c r="A5793" s="14" t="s">
        <v>79</v>
      </c>
      <c r="B5793" s="2">
        <v>34250.3819</v>
      </c>
    </row>
    <row r="5794" spans="1:8" ht="17.25" thickBot="1" x14ac:dyDescent="0.35"/>
    <row r="5795" spans="1:8" ht="33" customHeight="1" x14ac:dyDescent="0.3">
      <c r="A5795" s="24" t="s">
        <v>80</v>
      </c>
      <c r="B5795" s="26"/>
    </row>
    <row r="5796" spans="1:8" ht="33.75" thickBot="1" x14ac:dyDescent="0.35">
      <c r="A5796" s="13" t="s">
        <v>81</v>
      </c>
      <c r="B5796" s="2" t="s">
        <v>82</v>
      </c>
    </row>
    <row r="5797" spans="1:8" ht="25.5" x14ac:dyDescent="0.3">
      <c r="A5797" s="14" t="s">
        <v>83</v>
      </c>
      <c r="B5797" s="2" t="s">
        <v>84</v>
      </c>
    </row>
    <row r="5798" spans="1:8" ht="17.25" thickBot="1" x14ac:dyDescent="0.35"/>
    <row r="5799" spans="1:8" ht="16.5" customHeight="1" x14ac:dyDescent="0.3">
      <c r="A5799" s="24" t="s">
        <v>130</v>
      </c>
      <c r="B5799" s="26"/>
      <c r="C5799" s="26"/>
      <c r="D5799" s="26"/>
      <c r="E5799" s="26"/>
      <c r="F5799" s="26"/>
    </row>
    <row r="5800" spans="1:8" x14ac:dyDescent="0.3">
      <c r="A5800" s="25" t="s">
        <v>131</v>
      </c>
      <c r="B5800" s="27" t="s">
        <v>46</v>
      </c>
      <c r="C5800" s="27" t="s">
        <v>132</v>
      </c>
      <c r="D5800" s="3" t="s">
        <v>133</v>
      </c>
      <c r="E5800" s="27" t="s">
        <v>135</v>
      </c>
      <c r="F5800" s="27"/>
    </row>
    <row r="5801" spans="1:8" x14ac:dyDescent="0.3">
      <c r="A5801" s="25"/>
      <c r="B5801" s="27"/>
      <c r="C5801" s="27"/>
      <c r="D5801" s="3" t="s">
        <v>134</v>
      </c>
      <c r="E5801" s="27"/>
      <c r="F5801" s="27"/>
    </row>
    <row r="5802" spans="1:8" ht="17.25" thickBot="1" x14ac:dyDescent="0.35">
      <c r="A5802" s="13" t="s">
        <v>66</v>
      </c>
      <c r="B5802" s="2">
        <v>131</v>
      </c>
      <c r="C5802" s="2">
        <v>8.8223029999999998</v>
      </c>
      <c r="D5802" s="2">
        <v>9.2413999999999996E-2</v>
      </c>
      <c r="E5802" s="2">
        <v>8.6386778</v>
      </c>
      <c r="F5802" s="2">
        <v>9.0059281000000002</v>
      </c>
      <c r="H5802" s="8" t="str">
        <f t="shared" ref="H5802:H5805" si="241">TEXT(C5802,"0.00")&amp;" ("&amp;TEXT(E5802,"0.00")&amp;" to "&amp;TEXT(F5802,"0.00")&amp;")"</f>
        <v>8.82 (8.64 to 9.01)</v>
      </c>
    </row>
    <row r="5803" spans="1:8" ht="17.25" thickBot="1" x14ac:dyDescent="0.35">
      <c r="A5803" s="13" t="s">
        <v>67</v>
      </c>
      <c r="B5803" s="2">
        <v>131</v>
      </c>
      <c r="C5803" s="2">
        <v>0.71180200000000005</v>
      </c>
      <c r="D5803" s="2">
        <v>8.1960000000000002E-3</v>
      </c>
      <c r="E5803" s="2">
        <v>0.69551750000000001</v>
      </c>
      <c r="F5803" s="2">
        <v>0.72808660000000003</v>
      </c>
      <c r="H5803" s="8" t="str">
        <f t="shared" si="241"/>
        <v>0.71 (0.70 to 0.73)</v>
      </c>
    </row>
    <row r="5804" spans="1:8" ht="17.25" thickBot="1" x14ac:dyDescent="0.35">
      <c r="A5804" s="13" t="s">
        <v>68</v>
      </c>
      <c r="B5804" s="2">
        <v>131</v>
      </c>
      <c r="C5804" s="2">
        <v>0.46750199999999997</v>
      </c>
      <c r="D5804" s="2">
        <v>3.9024000000000003E-2</v>
      </c>
      <c r="E5804" s="2">
        <v>0.38996180000000003</v>
      </c>
      <c r="F5804" s="2">
        <v>0.54504220000000003</v>
      </c>
      <c r="H5804" s="8" t="str">
        <f t="shared" si="241"/>
        <v>0.47 (0.39 to 0.55)</v>
      </c>
    </row>
    <row r="5805" spans="1:8" x14ac:dyDescent="0.3">
      <c r="A5805" s="14" t="s">
        <v>69</v>
      </c>
      <c r="B5805" s="2">
        <v>131</v>
      </c>
      <c r="C5805" s="2">
        <v>38.078477999999997</v>
      </c>
      <c r="D5805" s="2">
        <v>0.77866500000000005</v>
      </c>
      <c r="E5805" s="2">
        <v>36.531287200000001</v>
      </c>
      <c r="F5805" s="2">
        <v>39.625668300000001</v>
      </c>
      <c r="H5805" s="8" t="str">
        <f t="shared" si="241"/>
        <v>38.08 (36.53 to 39.63)</v>
      </c>
    </row>
    <row r="5809" spans="1:6" x14ac:dyDescent="0.3">
      <c r="A5809" s="1" t="s">
        <v>129</v>
      </c>
    </row>
    <row r="5811" spans="1:6" x14ac:dyDescent="0.3">
      <c r="A5811" s="1" t="s">
        <v>384</v>
      </c>
    </row>
    <row r="5812" spans="1:6" ht="17.25" thickBot="1" x14ac:dyDescent="0.35"/>
    <row r="5813" spans="1:6" ht="16.5" customHeight="1" x14ac:dyDescent="0.3">
      <c r="A5813" s="24" t="s">
        <v>75</v>
      </c>
      <c r="B5813" s="26"/>
    </row>
    <row r="5814" spans="1:6" ht="26.25" thickBot="1" x14ac:dyDescent="0.35">
      <c r="A5814" s="13" t="s">
        <v>76</v>
      </c>
      <c r="B5814" s="2">
        <v>25</v>
      </c>
    </row>
    <row r="5815" spans="1:6" ht="26.25" thickBot="1" x14ac:dyDescent="0.35">
      <c r="A5815" s="13" t="s">
        <v>77</v>
      </c>
      <c r="B5815" s="2">
        <v>576</v>
      </c>
    </row>
    <row r="5816" spans="1:6" ht="39" thickBot="1" x14ac:dyDescent="0.35">
      <c r="A5816" s="13" t="s">
        <v>78</v>
      </c>
      <c r="B5816" s="2">
        <v>12865</v>
      </c>
    </row>
    <row r="5817" spans="1:6" ht="25.5" x14ac:dyDescent="0.3">
      <c r="A5817" s="14" t="s">
        <v>79</v>
      </c>
      <c r="B5817" s="2">
        <v>5394688.9900000002</v>
      </c>
    </row>
    <row r="5818" spans="1:6" ht="17.25" thickBot="1" x14ac:dyDescent="0.35"/>
    <row r="5819" spans="1:6" ht="33" customHeight="1" x14ac:dyDescent="0.3">
      <c r="A5819" s="24" t="s">
        <v>80</v>
      </c>
      <c r="B5819" s="26"/>
    </row>
    <row r="5820" spans="1:6" ht="33.75" thickBot="1" x14ac:dyDescent="0.35">
      <c r="A5820" s="13" t="s">
        <v>81</v>
      </c>
      <c r="B5820" s="2" t="s">
        <v>82</v>
      </c>
    </row>
    <row r="5821" spans="1:6" ht="25.5" x14ac:dyDescent="0.3">
      <c r="A5821" s="14" t="s">
        <v>83</v>
      </c>
      <c r="B5821" s="2" t="s">
        <v>84</v>
      </c>
    </row>
    <row r="5822" spans="1:6" ht="17.25" thickBot="1" x14ac:dyDescent="0.35"/>
    <row r="5823" spans="1:6" ht="16.5" customHeight="1" x14ac:dyDescent="0.3">
      <c r="A5823" s="24" t="s">
        <v>130</v>
      </c>
      <c r="B5823" s="26"/>
      <c r="C5823" s="26"/>
      <c r="D5823" s="26"/>
      <c r="E5823" s="26"/>
      <c r="F5823" s="26"/>
    </row>
    <row r="5824" spans="1:6" x14ac:dyDescent="0.3">
      <c r="A5824" s="25" t="s">
        <v>131</v>
      </c>
      <c r="B5824" s="27" t="s">
        <v>46</v>
      </c>
      <c r="C5824" s="27" t="s">
        <v>132</v>
      </c>
      <c r="D5824" s="3" t="s">
        <v>133</v>
      </c>
      <c r="E5824" s="27" t="s">
        <v>135</v>
      </c>
      <c r="F5824" s="27"/>
    </row>
    <row r="5825" spans="1:8" x14ac:dyDescent="0.3">
      <c r="A5825" s="25"/>
      <c r="B5825" s="27"/>
      <c r="C5825" s="27"/>
      <c r="D5825" s="3" t="s">
        <v>134</v>
      </c>
      <c r="E5825" s="27"/>
      <c r="F5825" s="27"/>
    </row>
    <row r="5826" spans="1:8" ht="17.25" thickBot="1" x14ac:dyDescent="0.35">
      <c r="A5826" s="13" t="s">
        <v>66</v>
      </c>
      <c r="B5826" s="2">
        <v>12865</v>
      </c>
      <c r="C5826" s="2">
        <v>8.5573530000000009</v>
      </c>
      <c r="D5826" s="2">
        <v>8.1659999999999996E-3</v>
      </c>
      <c r="E5826" s="2">
        <v>8.5413128999999994</v>
      </c>
      <c r="F5826" s="2">
        <v>8.5733940000000004</v>
      </c>
      <c r="H5826" s="8" t="str">
        <f t="shared" ref="H5826:H5829" si="242">TEXT(C5826,"0.00")&amp;" ("&amp;TEXT(E5826,"0.00")&amp;" to "&amp;TEXT(F5826,"0.00")&amp;")"</f>
        <v>8.56 (8.54 to 8.57)</v>
      </c>
    </row>
    <row r="5827" spans="1:8" ht="17.25" thickBot="1" x14ac:dyDescent="0.35">
      <c r="A5827" s="13" t="s">
        <v>67</v>
      </c>
      <c r="B5827" s="2">
        <v>12865</v>
      </c>
      <c r="C5827" s="2">
        <v>0.65711699999999995</v>
      </c>
      <c r="D5827" s="2">
        <v>1.0169999999999999E-3</v>
      </c>
      <c r="E5827" s="2">
        <v>0.65511960000000002</v>
      </c>
      <c r="F5827" s="2">
        <v>0.65911339999999996</v>
      </c>
      <c r="H5827" s="8" t="str">
        <f t="shared" si="242"/>
        <v>0.66 (0.66 to 0.66)</v>
      </c>
    </row>
    <row r="5828" spans="1:8" ht="17.25" thickBot="1" x14ac:dyDescent="0.35">
      <c r="A5828" s="13" t="s">
        <v>68</v>
      </c>
      <c r="B5828" s="2">
        <v>12865</v>
      </c>
      <c r="C5828" s="2">
        <v>0.35605500000000001</v>
      </c>
      <c r="D5828" s="2">
        <v>3.7940000000000001E-3</v>
      </c>
      <c r="E5828" s="2">
        <v>0.34860279999999999</v>
      </c>
      <c r="F5828" s="2">
        <v>0.363508</v>
      </c>
      <c r="H5828" s="8" t="str">
        <f t="shared" si="242"/>
        <v>0.36 (0.35 to 0.36)</v>
      </c>
    </row>
    <row r="5829" spans="1:8" x14ac:dyDescent="0.3">
      <c r="A5829" s="14" t="s">
        <v>69</v>
      </c>
      <c r="B5829" s="2">
        <v>12865</v>
      </c>
      <c r="C5829" s="2">
        <v>35.518210000000003</v>
      </c>
      <c r="D5829" s="2">
        <v>9.1420000000000001E-2</v>
      </c>
      <c r="E5829" s="2">
        <v>35.338635799999999</v>
      </c>
      <c r="F5829" s="2">
        <v>35.697783399999999</v>
      </c>
      <c r="H5829" s="8" t="str">
        <f t="shared" si="242"/>
        <v>35.52 (35.34 to 35.70)</v>
      </c>
    </row>
    <row r="5833" spans="1:8" x14ac:dyDescent="0.3">
      <c r="A5833" s="1" t="s">
        <v>129</v>
      </c>
    </row>
    <row r="5835" spans="1:8" x14ac:dyDescent="0.3">
      <c r="A5835" s="1" t="s">
        <v>385</v>
      </c>
    </row>
    <row r="5836" spans="1:8" ht="17.25" thickBot="1" x14ac:dyDescent="0.35"/>
    <row r="5837" spans="1:8" ht="16.5" customHeight="1" x14ac:dyDescent="0.3">
      <c r="A5837" s="24" t="s">
        <v>75</v>
      </c>
      <c r="B5837" s="26"/>
    </row>
    <row r="5838" spans="1:8" ht="26.25" thickBot="1" x14ac:dyDescent="0.35">
      <c r="A5838" s="13" t="s">
        <v>76</v>
      </c>
      <c r="B5838" s="2">
        <v>25</v>
      </c>
    </row>
    <row r="5839" spans="1:8" ht="26.25" thickBot="1" x14ac:dyDescent="0.35">
      <c r="A5839" s="13" t="s">
        <v>77</v>
      </c>
      <c r="B5839" s="2">
        <v>201</v>
      </c>
    </row>
    <row r="5840" spans="1:8" ht="39" thickBot="1" x14ac:dyDescent="0.35">
      <c r="A5840" s="13" t="s">
        <v>78</v>
      </c>
      <c r="B5840" s="2">
        <v>251</v>
      </c>
    </row>
    <row r="5841" spans="1:8" ht="25.5" x14ac:dyDescent="0.3">
      <c r="A5841" s="14" t="s">
        <v>79</v>
      </c>
      <c r="B5841" s="2">
        <v>65975.951799999995</v>
      </c>
    </row>
    <row r="5842" spans="1:8" ht="17.25" thickBot="1" x14ac:dyDescent="0.35"/>
    <row r="5843" spans="1:8" ht="33" customHeight="1" x14ac:dyDescent="0.3">
      <c r="A5843" s="24" t="s">
        <v>80</v>
      </c>
      <c r="B5843" s="26"/>
    </row>
    <row r="5844" spans="1:8" ht="33.75" thickBot="1" x14ac:dyDescent="0.35">
      <c r="A5844" s="13" t="s">
        <v>81</v>
      </c>
      <c r="B5844" s="2" t="s">
        <v>82</v>
      </c>
    </row>
    <row r="5845" spans="1:8" ht="25.5" x14ac:dyDescent="0.3">
      <c r="A5845" s="14" t="s">
        <v>83</v>
      </c>
      <c r="B5845" s="2" t="s">
        <v>84</v>
      </c>
    </row>
    <row r="5846" spans="1:8" ht="17.25" thickBot="1" x14ac:dyDescent="0.35"/>
    <row r="5847" spans="1:8" ht="16.5" customHeight="1" x14ac:dyDescent="0.3">
      <c r="A5847" s="24" t="s">
        <v>130</v>
      </c>
      <c r="B5847" s="26"/>
      <c r="C5847" s="26"/>
      <c r="D5847" s="26"/>
      <c r="E5847" s="26"/>
      <c r="F5847" s="26"/>
    </row>
    <row r="5848" spans="1:8" x14ac:dyDescent="0.3">
      <c r="A5848" s="25" t="s">
        <v>131</v>
      </c>
      <c r="B5848" s="27" t="s">
        <v>46</v>
      </c>
      <c r="C5848" s="27" t="s">
        <v>132</v>
      </c>
      <c r="D5848" s="3" t="s">
        <v>133</v>
      </c>
      <c r="E5848" s="27" t="s">
        <v>135</v>
      </c>
      <c r="F5848" s="27"/>
    </row>
    <row r="5849" spans="1:8" x14ac:dyDescent="0.3">
      <c r="A5849" s="25"/>
      <c r="B5849" s="27"/>
      <c r="C5849" s="27"/>
      <c r="D5849" s="3" t="s">
        <v>134</v>
      </c>
      <c r="E5849" s="27"/>
      <c r="F5849" s="27"/>
    </row>
    <row r="5850" spans="1:8" ht="17.25" thickBot="1" x14ac:dyDescent="0.35">
      <c r="A5850" s="13" t="s">
        <v>66</v>
      </c>
      <c r="B5850" s="2">
        <v>251</v>
      </c>
      <c r="C5850" s="2">
        <v>8.7378850000000003</v>
      </c>
      <c r="D5850" s="2">
        <v>5.7625999999999997E-2</v>
      </c>
      <c r="E5850" s="2">
        <v>8.6241573000000002</v>
      </c>
      <c r="F5850" s="2">
        <v>8.8516124000000005</v>
      </c>
      <c r="H5850" s="8" t="str">
        <f t="shared" ref="H5850:H5853" si="243">TEXT(C5850,"0.00")&amp;" ("&amp;TEXT(E5850,"0.00")&amp;" to "&amp;TEXT(F5850,"0.00")&amp;")"</f>
        <v>8.74 (8.62 to 8.85)</v>
      </c>
    </row>
    <row r="5851" spans="1:8" ht="17.25" thickBot="1" x14ac:dyDescent="0.35">
      <c r="A5851" s="13" t="s">
        <v>67</v>
      </c>
      <c r="B5851" s="2">
        <v>251</v>
      </c>
      <c r="C5851" s="2">
        <v>0.70227099999999998</v>
      </c>
      <c r="D5851" s="2">
        <v>5.9420000000000002E-3</v>
      </c>
      <c r="E5851" s="2">
        <v>0.69054369999999998</v>
      </c>
      <c r="F5851" s="2">
        <v>0.71399829999999997</v>
      </c>
      <c r="H5851" s="8" t="str">
        <f t="shared" si="243"/>
        <v>0.70 (0.69 to 0.71)</v>
      </c>
    </row>
    <row r="5852" spans="1:8" ht="17.25" thickBot="1" x14ac:dyDescent="0.35">
      <c r="A5852" s="13" t="s">
        <v>68</v>
      </c>
      <c r="B5852" s="2">
        <v>251</v>
      </c>
      <c r="C5852" s="2">
        <v>0.41215299999999999</v>
      </c>
      <c r="D5852" s="2">
        <v>2.6991000000000001E-2</v>
      </c>
      <c r="E5852" s="2">
        <v>0.3588848</v>
      </c>
      <c r="F5852" s="2">
        <v>0.46542159999999999</v>
      </c>
      <c r="H5852" s="8" t="str">
        <f t="shared" si="243"/>
        <v>0.41 (0.36 to 0.47)</v>
      </c>
    </row>
    <row r="5853" spans="1:8" x14ac:dyDescent="0.3">
      <c r="A5853" s="14" t="s">
        <v>69</v>
      </c>
      <c r="B5853" s="2">
        <v>251</v>
      </c>
      <c r="C5853" s="2">
        <v>37.970677000000002</v>
      </c>
      <c r="D5853" s="2">
        <v>0.52658400000000005</v>
      </c>
      <c r="E5853" s="2">
        <v>36.9314453</v>
      </c>
      <c r="F5853" s="2">
        <v>39.009909700000001</v>
      </c>
      <c r="H5853" s="8" t="str">
        <f t="shared" si="243"/>
        <v>37.97 (36.93 to 39.01)</v>
      </c>
    </row>
    <row r="5857" spans="1:6" x14ac:dyDescent="0.3">
      <c r="A5857" s="1" t="s">
        <v>129</v>
      </c>
    </row>
    <row r="5859" spans="1:6" x14ac:dyDescent="0.3">
      <c r="A5859" s="1" t="s">
        <v>386</v>
      </c>
    </row>
    <row r="5860" spans="1:6" ht="17.25" thickBot="1" x14ac:dyDescent="0.35"/>
    <row r="5861" spans="1:6" ht="16.5" customHeight="1" x14ac:dyDescent="0.3">
      <c r="A5861" s="24" t="s">
        <v>75</v>
      </c>
      <c r="B5861" s="26"/>
    </row>
    <row r="5862" spans="1:6" ht="26.25" thickBot="1" x14ac:dyDescent="0.35">
      <c r="A5862" s="13" t="s">
        <v>76</v>
      </c>
      <c r="B5862" s="2">
        <v>25</v>
      </c>
    </row>
    <row r="5863" spans="1:6" ht="26.25" thickBot="1" x14ac:dyDescent="0.35">
      <c r="A5863" s="13" t="s">
        <v>77</v>
      </c>
      <c r="B5863" s="2">
        <v>576</v>
      </c>
    </row>
    <row r="5864" spans="1:6" ht="39" thickBot="1" x14ac:dyDescent="0.35">
      <c r="A5864" s="13" t="s">
        <v>78</v>
      </c>
      <c r="B5864" s="2">
        <v>11284</v>
      </c>
    </row>
    <row r="5865" spans="1:6" ht="25.5" x14ac:dyDescent="0.3">
      <c r="A5865" s="14" t="s">
        <v>79</v>
      </c>
      <c r="B5865" s="2">
        <v>5329696.7699999996</v>
      </c>
    </row>
    <row r="5866" spans="1:6" ht="17.25" thickBot="1" x14ac:dyDescent="0.35"/>
    <row r="5867" spans="1:6" ht="33" customHeight="1" x14ac:dyDescent="0.3">
      <c r="A5867" s="24" t="s">
        <v>80</v>
      </c>
      <c r="B5867" s="26"/>
    </row>
    <row r="5868" spans="1:6" ht="33.75" thickBot="1" x14ac:dyDescent="0.35">
      <c r="A5868" s="13" t="s">
        <v>81</v>
      </c>
      <c r="B5868" s="2" t="s">
        <v>82</v>
      </c>
    </row>
    <row r="5869" spans="1:6" ht="25.5" x14ac:dyDescent="0.3">
      <c r="A5869" s="14" t="s">
        <v>83</v>
      </c>
      <c r="B5869" s="2" t="s">
        <v>84</v>
      </c>
    </row>
    <row r="5870" spans="1:6" ht="17.25" thickBot="1" x14ac:dyDescent="0.35"/>
    <row r="5871" spans="1:6" ht="16.5" customHeight="1" x14ac:dyDescent="0.3">
      <c r="A5871" s="24" t="s">
        <v>130</v>
      </c>
      <c r="B5871" s="26"/>
      <c r="C5871" s="26"/>
      <c r="D5871" s="26"/>
      <c r="E5871" s="26"/>
      <c r="F5871" s="26"/>
    </row>
    <row r="5872" spans="1:6" x14ac:dyDescent="0.3">
      <c r="A5872" s="25" t="s">
        <v>131</v>
      </c>
      <c r="B5872" s="27" t="s">
        <v>46</v>
      </c>
      <c r="C5872" s="27" t="s">
        <v>132</v>
      </c>
      <c r="D5872" s="3" t="s">
        <v>133</v>
      </c>
      <c r="E5872" s="27" t="s">
        <v>135</v>
      </c>
      <c r="F5872" s="27"/>
    </row>
    <row r="5873" spans="1:8" x14ac:dyDescent="0.3">
      <c r="A5873" s="25"/>
      <c r="B5873" s="27"/>
      <c r="C5873" s="27"/>
      <c r="D5873" s="3" t="s">
        <v>134</v>
      </c>
      <c r="E5873" s="27"/>
      <c r="F5873" s="27"/>
    </row>
    <row r="5874" spans="1:8" ht="17.25" thickBot="1" x14ac:dyDescent="0.35">
      <c r="A5874" s="13" t="s">
        <v>66</v>
      </c>
      <c r="B5874" s="2">
        <v>11284</v>
      </c>
      <c r="C5874" s="2">
        <v>8.5870870000000004</v>
      </c>
      <c r="D5874" s="2">
        <v>8.2269999999999999E-3</v>
      </c>
      <c r="E5874" s="2">
        <v>8.5709274999999998</v>
      </c>
      <c r="F5874" s="2">
        <v>8.6032471000000008</v>
      </c>
      <c r="H5874" s="8" t="str">
        <f t="shared" ref="H5874:H5877" si="244">TEXT(C5874,"0.00")&amp;" ("&amp;TEXT(E5874,"0.00")&amp;" to "&amp;TEXT(F5874,"0.00")&amp;")"</f>
        <v>8.59 (8.57 to 8.60)</v>
      </c>
    </row>
    <row r="5875" spans="1:8" ht="17.25" thickBot="1" x14ac:dyDescent="0.35">
      <c r="A5875" s="13" t="s">
        <v>67</v>
      </c>
      <c r="B5875" s="2">
        <v>11284</v>
      </c>
      <c r="C5875" s="2">
        <v>0.65840600000000005</v>
      </c>
      <c r="D5875" s="2">
        <v>1.047E-3</v>
      </c>
      <c r="E5875" s="2">
        <v>0.65634840000000005</v>
      </c>
      <c r="F5875" s="2">
        <v>0.66046329999999998</v>
      </c>
      <c r="H5875" s="8" t="str">
        <f t="shared" si="244"/>
        <v>0.66 (0.66 to 0.66)</v>
      </c>
    </row>
    <row r="5876" spans="1:8" ht="17.25" thickBot="1" x14ac:dyDescent="0.35">
      <c r="A5876" s="13" t="s">
        <v>68</v>
      </c>
      <c r="B5876" s="2">
        <v>11284</v>
      </c>
      <c r="C5876" s="2">
        <v>0.34767199999999998</v>
      </c>
      <c r="D5876" s="2">
        <v>3.803E-3</v>
      </c>
      <c r="E5876" s="2">
        <v>0.34020159999999999</v>
      </c>
      <c r="F5876" s="2">
        <v>0.35514269999999998</v>
      </c>
      <c r="H5876" s="8" t="str">
        <f t="shared" si="244"/>
        <v>0.35 (0.34 to 0.36)</v>
      </c>
    </row>
    <row r="5877" spans="1:8" x14ac:dyDescent="0.3">
      <c r="A5877" s="14" t="s">
        <v>69</v>
      </c>
      <c r="B5877" s="2">
        <v>11284</v>
      </c>
      <c r="C5877" s="2">
        <v>35.365158999999998</v>
      </c>
      <c r="D5877" s="2">
        <v>8.4392999999999996E-2</v>
      </c>
      <c r="E5877" s="2">
        <v>35.199387399999999</v>
      </c>
      <c r="F5877" s="2">
        <v>35.530930400000003</v>
      </c>
      <c r="H5877" s="8" t="str">
        <f t="shared" si="244"/>
        <v>35.37 (35.20 to 35.53)</v>
      </c>
    </row>
    <row r="5881" spans="1:8" x14ac:dyDescent="0.3">
      <c r="A5881" s="1" t="s">
        <v>129</v>
      </c>
    </row>
    <row r="5883" spans="1:8" x14ac:dyDescent="0.3">
      <c r="A5883" s="1" t="s">
        <v>387</v>
      </c>
    </row>
    <row r="5884" spans="1:8" ht="17.25" thickBot="1" x14ac:dyDescent="0.35"/>
    <row r="5885" spans="1:8" ht="16.5" customHeight="1" x14ac:dyDescent="0.3">
      <c r="A5885" s="24" t="s">
        <v>75</v>
      </c>
      <c r="B5885" s="26"/>
    </row>
    <row r="5886" spans="1:8" ht="26.25" thickBot="1" x14ac:dyDescent="0.35">
      <c r="A5886" s="13" t="s">
        <v>76</v>
      </c>
      <c r="B5886" s="2">
        <v>25</v>
      </c>
    </row>
    <row r="5887" spans="1:8" ht="26.25" thickBot="1" x14ac:dyDescent="0.35">
      <c r="A5887" s="13" t="s">
        <v>77</v>
      </c>
      <c r="B5887" s="2">
        <v>161</v>
      </c>
    </row>
    <row r="5888" spans="1:8" ht="39" thickBot="1" x14ac:dyDescent="0.35">
      <c r="A5888" s="13" t="s">
        <v>78</v>
      </c>
      <c r="B5888" s="2">
        <v>191</v>
      </c>
    </row>
    <row r="5889" spans="1:8" ht="25.5" x14ac:dyDescent="0.3">
      <c r="A5889" s="14" t="s">
        <v>79</v>
      </c>
      <c r="B5889" s="2">
        <v>64832.254200000003</v>
      </c>
    </row>
    <row r="5890" spans="1:8" ht="17.25" thickBot="1" x14ac:dyDescent="0.35"/>
    <row r="5891" spans="1:8" ht="33" customHeight="1" x14ac:dyDescent="0.3">
      <c r="A5891" s="24" t="s">
        <v>80</v>
      </c>
      <c r="B5891" s="26"/>
    </row>
    <row r="5892" spans="1:8" ht="33.75" thickBot="1" x14ac:dyDescent="0.35">
      <c r="A5892" s="13" t="s">
        <v>81</v>
      </c>
      <c r="B5892" s="2" t="s">
        <v>82</v>
      </c>
    </row>
    <row r="5893" spans="1:8" ht="25.5" x14ac:dyDescent="0.3">
      <c r="A5893" s="14" t="s">
        <v>83</v>
      </c>
      <c r="B5893" s="2" t="s">
        <v>84</v>
      </c>
    </row>
    <row r="5894" spans="1:8" ht="17.25" thickBot="1" x14ac:dyDescent="0.35"/>
    <row r="5895" spans="1:8" ht="16.5" customHeight="1" x14ac:dyDescent="0.3">
      <c r="A5895" s="24" t="s">
        <v>130</v>
      </c>
      <c r="B5895" s="26"/>
      <c r="C5895" s="26"/>
      <c r="D5895" s="26"/>
      <c r="E5895" s="26"/>
      <c r="F5895" s="26"/>
    </row>
    <row r="5896" spans="1:8" x14ac:dyDescent="0.3">
      <c r="A5896" s="25" t="s">
        <v>131</v>
      </c>
      <c r="B5896" s="27" t="s">
        <v>46</v>
      </c>
      <c r="C5896" s="27" t="s">
        <v>132</v>
      </c>
      <c r="D5896" s="3" t="s">
        <v>133</v>
      </c>
      <c r="E5896" s="27" t="s">
        <v>135</v>
      </c>
      <c r="F5896" s="27"/>
    </row>
    <row r="5897" spans="1:8" x14ac:dyDescent="0.3">
      <c r="A5897" s="25"/>
      <c r="B5897" s="27"/>
      <c r="C5897" s="27"/>
      <c r="D5897" s="3" t="s">
        <v>134</v>
      </c>
      <c r="E5897" s="27"/>
      <c r="F5897" s="27"/>
    </row>
    <row r="5898" spans="1:8" ht="17.25" thickBot="1" x14ac:dyDescent="0.35">
      <c r="A5898" s="13" t="s">
        <v>66</v>
      </c>
      <c r="B5898" s="2">
        <v>191</v>
      </c>
      <c r="C5898" s="2">
        <v>8.7505970000000008</v>
      </c>
      <c r="D5898" s="2">
        <v>4.9646999999999997E-2</v>
      </c>
      <c r="E5898" s="2">
        <v>8.6524173999999991</v>
      </c>
      <c r="F5898" s="2">
        <v>8.8487758000000003</v>
      </c>
      <c r="H5898" s="8" t="str">
        <f t="shared" ref="H5898:H5901" si="245">TEXT(C5898,"0.00")&amp;" ("&amp;TEXT(E5898,"0.00")&amp;" to "&amp;TEXT(F5898,"0.00")&amp;")"</f>
        <v>8.75 (8.65 to 8.85)</v>
      </c>
    </row>
    <row r="5899" spans="1:8" ht="17.25" thickBot="1" x14ac:dyDescent="0.35">
      <c r="A5899" s="13" t="s">
        <v>67</v>
      </c>
      <c r="B5899" s="2">
        <v>191</v>
      </c>
      <c r="C5899" s="2">
        <v>0.70297299999999996</v>
      </c>
      <c r="D5899" s="2">
        <v>5.8240000000000002E-3</v>
      </c>
      <c r="E5899" s="2">
        <v>0.69145429999999997</v>
      </c>
      <c r="F5899" s="2">
        <v>0.71449079999999998</v>
      </c>
      <c r="H5899" s="8" t="str">
        <f t="shared" si="245"/>
        <v>0.70 (0.69 to 0.71)</v>
      </c>
    </row>
    <row r="5900" spans="1:8" ht="17.25" thickBot="1" x14ac:dyDescent="0.35">
      <c r="A5900" s="13" t="s">
        <v>68</v>
      </c>
      <c r="B5900" s="2">
        <v>191</v>
      </c>
      <c r="C5900" s="2">
        <v>0.40903200000000001</v>
      </c>
      <c r="D5900" s="2">
        <v>2.6679999999999999E-2</v>
      </c>
      <c r="E5900" s="2">
        <v>0.35627180000000003</v>
      </c>
      <c r="F5900" s="2">
        <v>0.46179320000000001</v>
      </c>
      <c r="H5900" s="8" t="str">
        <f t="shared" si="245"/>
        <v>0.41 (0.36 to 0.46)</v>
      </c>
    </row>
    <row r="5901" spans="1:8" x14ac:dyDescent="0.3">
      <c r="A5901" s="14" t="s">
        <v>69</v>
      </c>
      <c r="B5901" s="2">
        <v>191</v>
      </c>
      <c r="C5901" s="2">
        <v>37.392885</v>
      </c>
      <c r="D5901" s="2">
        <v>0.56597699999999995</v>
      </c>
      <c r="E5901" s="2">
        <v>36.273631199999997</v>
      </c>
      <c r="F5901" s="2">
        <v>38.5121392</v>
      </c>
      <c r="H5901" s="8" t="str">
        <f t="shared" si="245"/>
        <v>37.39 (36.27 to 38.51)</v>
      </c>
    </row>
    <row r="5905" spans="1:6" x14ac:dyDescent="0.3">
      <c r="A5905" s="1" t="s">
        <v>129</v>
      </c>
    </row>
    <row r="5907" spans="1:6" x14ac:dyDescent="0.3">
      <c r="A5907" s="1" t="s">
        <v>388</v>
      </c>
    </row>
    <row r="5908" spans="1:6" ht="17.25" thickBot="1" x14ac:dyDescent="0.35"/>
    <row r="5909" spans="1:6" ht="16.5" customHeight="1" x14ac:dyDescent="0.3">
      <c r="A5909" s="24" t="s">
        <v>75</v>
      </c>
      <c r="B5909" s="26"/>
    </row>
    <row r="5910" spans="1:6" ht="26.25" thickBot="1" x14ac:dyDescent="0.35">
      <c r="A5910" s="13" t="s">
        <v>76</v>
      </c>
      <c r="B5910" s="2">
        <v>54</v>
      </c>
    </row>
    <row r="5911" spans="1:6" ht="26.25" thickBot="1" x14ac:dyDescent="0.35">
      <c r="A5911" s="13" t="s">
        <v>77</v>
      </c>
      <c r="B5911" s="2">
        <v>576</v>
      </c>
    </row>
    <row r="5912" spans="1:6" ht="39" thickBot="1" x14ac:dyDescent="0.35">
      <c r="A5912" s="13" t="s">
        <v>78</v>
      </c>
      <c r="B5912" s="2">
        <v>13897</v>
      </c>
    </row>
    <row r="5913" spans="1:6" ht="25.5" x14ac:dyDescent="0.3">
      <c r="A5913" s="14" t="s">
        <v>79</v>
      </c>
      <c r="B5913" s="2">
        <v>6239113.9900000002</v>
      </c>
    </row>
    <row r="5914" spans="1:6" ht="17.25" thickBot="1" x14ac:dyDescent="0.35"/>
    <row r="5915" spans="1:6" ht="33" customHeight="1" x14ac:dyDescent="0.3">
      <c r="A5915" s="24" t="s">
        <v>80</v>
      </c>
      <c r="B5915" s="26"/>
    </row>
    <row r="5916" spans="1:6" ht="33.75" thickBot="1" x14ac:dyDescent="0.35">
      <c r="A5916" s="13" t="s">
        <v>81</v>
      </c>
      <c r="B5916" s="2" t="s">
        <v>82</v>
      </c>
    </row>
    <row r="5917" spans="1:6" ht="25.5" x14ac:dyDescent="0.3">
      <c r="A5917" s="14" t="s">
        <v>83</v>
      </c>
      <c r="B5917" s="2" t="s">
        <v>84</v>
      </c>
    </row>
    <row r="5918" spans="1:6" ht="17.25" thickBot="1" x14ac:dyDescent="0.35"/>
    <row r="5919" spans="1:6" ht="16.5" customHeight="1" x14ac:dyDescent="0.3">
      <c r="A5919" s="24" t="s">
        <v>130</v>
      </c>
      <c r="B5919" s="26"/>
      <c r="C5919" s="26"/>
      <c r="D5919" s="26"/>
      <c r="E5919" s="26"/>
      <c r="F5919" s="26"/>
    </row>
    <row r="5920" spans="1:6" x14ac:dyDescent="0.3">
      <c r="A5920" s="25" t="s">
        <v>131</v>
      </c>
      <c r="B5920" s="27" t="s">
        <v>46</v>
      </c>
      <c r="C5920" s="27" t="s">
        <v>132</v>
      </c>
      <c r="D5920" s="3" t="s">
        <v>133</v>
      </c>
      <c r="E5920" s="27" t="s">
        <v>135</v>
      </c>
      <c r="F5920" s="27"/>
    </row>
    <row r="5921" spans="1:8" x14ac:dyDescent="0.3">
      <c r="A5921" s="25"/>
      <c r="B5921" s="27"/>
      <c r="C5921" s="27"/>
      <c r="D5921" s="3" t="s">
        <v>134</v>
      </c>
      <c r="E5921" s="27"/>
      <c r="F5921" s="27"/>
    </row>
    <row r="5922" spans="1:8" ht="17.25" thickBot="1" x14ac:dyDescent="0.35">
      <c r="A5922" s="13" t="s">
        <v>66</v>
      </c>
      <c r="B5922" s="2">
        <v>13897</v>
      </c>
      <c r="C5922" s="2">
        <v>8.6073409999999999</v>
      </c>
      <c r="D5922" s="2">
        <v>7.6639999999999998E-3</v>
      </c>
      <c r="E5922" s="2">
        <v>8.5922842999999993</v>
      </c>
      <c r="F5922" s="2">
        <v>8.6223974999999999</v>
      </c>
      <c r="H5922" s="8" t="str">
        <f t="shared" ref="H5922:H5925" si="246">TEXT(C5922,"0.00")&amp;" ("&amp;TEXT(E5922,"0.00")&amp;" to "&amp;TEXT(F5922,"0.00")&amp;")"</f>
        <v>8.61 (8.59 to 8.62)</v>
      </c>
    </row>
    <row r="5923" spans="1:8" ht="17.25" thickBot="1" x14ac:dyDescent="0.35">
      <c r="A5923" s="13" t="s">
        <v>67</v>
      </c>
      <c r="B5923" s="2">
        <v>13897</v>
      </c>
      <c r="C5923" s="2">
        <v>0.66395499999999996</v>
      </c>
      <c r="D5923" s="2">
        <v>9.7799999999999992E-4</v>
      </c>
      <c r="E5923" s="2">
        <v>0.66203429999999996</v>
      </c>
      <c r="F5923" s="2">
        <v>0.66587629999999998</v>
      </c>
      <c r="H5923" s="8" t="str">
        <f t="shared" si="246"/>
        <v>0.66 (0.66 to 0.67)</v>
      </c>
    </row>
    <row r="5924" spans="1:8" ht="17.25" thickBot="1" x14ac:dyDescent="0.35">
      <c r="A5924" s="13" t="s">
        <v>68</v>
      </c>
      <c r="B5924" s="2">
        <v>13897</v>
      </c>
      <c r="C5924" s="2">
        <v>0.35192600000000002</v>
      </c>
      <c r="D5924" s="2">
        <v>3.7160000000000001E-3</v>
      </c>
      <c r="E5924" s="2">
        <v>0.34462569999999998</v>
      </c>
      <c r="F5924" s="2">
        <v>0.3592262</v>
      </c>
      <c r="H5924" s="8" t="str">
        <f t="shared" si="246"/>
        <v>0.35 (0.34 to 0.36)</v>
      </c>
    </row>
    <row r="5925" spans="1:8" x14ac:dyDescent="0.3">
      <c r="A5925" s="14" t="s">
        <v>69</v>
      </c>
      <c r="B5925" s="2">
        <v>13897</v>
      </c>
      <c r="C5925" s="2">
        <v>35.708230999999998</v>
      </c>
      <c r="D5925" s="2">
        <v>8.7157999999999999E-2</v>
      </c>
      <c r="E5925" s="2">
        <v>35.537007299999999</v>
      </c>
      <c r="F5925" s="2">
        <v>35.879454899999999</v>
      </c>
      <c r="H5925" s="8" t="str">
        <f t="shared" si="246"/>
        <v>35.71 (35.54 to 35.88)</v>
      </c>
    </row>
    <row r="5929" spans="1:8" x14ac:dyDescent="0.3">
      <c r="A5929" s="1" t="s">
        <v>129</v>
      </c>
    </row>
    <row r="5931" spans="1:8" x14ac:dyDescent="0.3">
      <c r="A5931" s="1" t="s">
        <v>389</v>
      </c>
    </row>
    <row r="5932" spans="1:8" ht="17.25" thickBot="1" x14ac:dyDescent="0.35"/>
    <row r="5933" spans="1:8" ht="16.5" customHeight="1" x14ac:dyDescent="0.3">
      <c r="A5933" s="24" t="s">
        <v>75</v>
      </c>
      <c r="B5933" s="26"/>
    </row>
    <row r="5934" spans="1:8" ht="26.25" thickBot="1" x14ac:dyDescent="0.35">
      <c r="A5934" s="13" t="s">
        <v>76</v>
      </c>
      <c r="B5934" s="2">
        <v>53</v>
      </c>
    </row>
    <row r="5935" spans="1:8" ht="26.25" thickBot="1" x14ac:dyDescent="0.35">
      <c r="A5935" s="13" t="s">
        <v>77</v>
      </c>
      <c r="B5935" s="2">
        <v>200</v>
      </c>
    </row>
    <row r="5936" spans="1:8" ht="39" thickBot="1" x14ac:dyDescent="0.35">
      <c r="A5936" s="13" t="s">
        <v>78</v>
      </c>
      <c r="B5936" s="2">
        <v>261</v>
      </c>
    </row>
    <row r="5937" spans="1:8" ht="25.5" x14ac:dyDescent="0.3">
      <c r="A5937" s="14" t="s">
        <v>79</v>
      </c>
      <c r="B5937" s="2">
        <v>81846.525999999998</v>
      </c>
    </row>
    <row r="5938" spans="1:8" ht="17.25" thickBot="1" x14ac:dyDescent="0.35"/>
    <row r="5939" spans="1:8" ht="33" customHeight="1" x14ac:dyDescent="0.3">
      <c r="A5939" s="24" t="s">
        <v>80</v>
      </c>
      <c r="B5939" s="26"/>
    </row>
    <row r="5940" spans="1:8" ht="33.75" thickBot="1" x14ac:dyDescent="0.35">
      <c r="A5940" s="13" t="s">
        <v>81</v>
      </c>
      <c r="B5940" s="2" t="s">
        <v>82</v>
      </c>
    </row>
    <row r="5941" spans="1:8" ht="25.5" x14ac:dyDescent="0.3">
      <c r="A5941" s="14" t="s">
        <v>83</v>
      </c>
      <c r="B5941" s="2" t="s">
        <v>84</v>
      </c>
    </row>
    <row r="5942" spans="1:8" ht="17.25" thickBot="1" x14ac:dyDescent="0.35"/>
    <row r="5943" spans="1:8" ht="16.5" customHeight="1" x14ac:dyDescent="0.3">
      <c r="A5943" s="24" t="s">
        <v>130</v>
      </c>
      <c r="B5943" s="26"/>
      <c r="C5943" s="26"/>
      <c r="D5943" s="26"/>
      <c r="E5943" s="26"/>
      <c r="F5943" s="26"/>
    </row>
    <row r="5944" spans="1:8" x14ac:dyDescent="0.3">
      <c r="A5944" s="25" t="s">
        <v>131</v>
      </c>
      <c r="B5944" s="27" t="s">
        <v>46</v>
      </c>
      <c r="C5944" s="27" t="s">
        <v>132</v>
      </c>
      <c r="D5944" s="3" t="s">
        <v>133</v>
      </c>
      <c r="E5944" s="27" t="s">
        <v>135</v>
      </c>
      <c r="F5944" s="27"/>
    </row>
    <row r="5945" spans="1:8" x14ac:dyDescent="0.3">
      <c r="A5945" s="25"/>
      <c r="B5945" s="27"/>
      <c r="C5945" s="27"/>
      <c r="D5945" s="3" t="s">
        <v>134</v>
      </c>
      <c r="E5945" s="27"/>
      <c r="F5945" s="27"/>
    </row>
    <row r="5946" spans="1:8" ht="17.25" thickBot="1" x14ac:dyDescent="0.35">
      <c r="A5946" s="13" t="s">
        <v>66</v>
      </c>
      <c r="B5946" s="2">
        <v>261</v>
      </c>
      <c r="C5946" s="2">
        <v>8.7891130000000004</v>
      </c>
      <c r="D5946" s="2">
        <v>5.2583999999999999E-2</v>
      </c>
      <c r="E5946" s="2">
        <v>8.6851947000000003</v>
      </c>
      <c r="F5946" s="2">
        <v>8.8930322999999998</v>
      </c>
      <c r="H5946" s="8" t="str">
        <f t="shared" ref="H5946:H5949" si="247">TEXT(C5946,"0.00")&amp;" ("&amp;TEXT(E5946,"0.00")&amp;" to "&amp;TEXT(F5946,"0.00")&amp;")"</f>
        <v>8.79 (8.69 to 8.89)</v>
      </c>
    </row>
    <row r="5947" spans="1:8" ht="17.25" thickBot="1" x14ac:dyDescent="0.35">
      <c r="A5947" s="13" t="s">
        <v>67</v>
      </c>
      <c r="B5947" s="2">
        <v>261</v>
      </c>
      <c r="C5947" s="2">
        <v>0.70953500000000003</v>
      </c>
      <c r="D5947" s="2">
        <v>5.8609999999999999E-3</v>
      </c>
      <c r="E5947" s="2">
        <v>0.69795169999999995</v>
      </c>
      <c r="F5947" s="2">
        <v>0.72111809999999998</v>
      </c>
      <c r="H5947" s="8" t="str">
        <f t="shared" si="247"/>
        <v>0.71 (0.70 to 0.72)</v>
      </c>
    </row>
    <row r="5948" spans="1:8" ht="17.25" thickBot="1" x14ac:dyDescent="0.35">
      <c r="A5948" s="13" t="s">
        <v>68</v>
      </c>
      <c r="B5948" s="2">
        <v>261</v>
      </c>
      <c r="C5948" s="2">
        <v>0.43276599999999998</v>
      </c>
      <c r="D5948" s="2">
        <v>2.2786000000000001E-2</v>
      </c>
      <c r="E5948" s="2">
        <v>0.38773619999999998</v>
      </c>
      <c r="F5948" s="2">
        <v>0.47779529999999998</v>
      </c>
      <c r="H5948" s="8" t="str">
        <f t="shared" si="247"/>
        <v>0.43 (0.39 to 0.48)</v>
      </c>
    </row>
    <row r="5949" spans="1:8" x14ac:dyDescent="0.3">
      <c r="A5949" s="14" t="s">
        <v>69</v>
      </c>
      <c r="B5949" s="2">
        <v>261</v>
      </c>
      <c r="C5949" s="2">
        <v>38.174494000000003</v>
      </c>
      <c r="D5949" s="2">
        <v>0.48041299999999998</v>
      </c>
      <c r="E5949" s="2">
        <v>37.225084699999996</v>
      </c>
      <c r="F5949" s="2">
        <v>39.1239025</v>
      </c>
      <c r="H5949" s="8" t="str">
        <f t="shared" si="247"/>
        <v>38.17 (37.23 to 39.12)</v>
      </c>
    </row>
    <row r="5953" spans="1:6" x14ac:dyDescent="0.3">
      <c r="A5953" s="1" t="s">
        <v>129</v>
      </c>
    </row>
    <row r="5955" spans="1:6" x14ac:dyDescent="0.3">
      <c r="A5955" s="1" t="s">
        <v>390</v>
      </c>
    </row>
    <row r="5956" spans="1:6" ht="17.25" thickBot="1" x14ac:dyDescent="0.35"/>
    <row r="5957" spans="1:6" ht="16.5" customHeight="1" x14ac:dyDescent="0.3">
      <c r="A5957" s="24" t="s">
        <v>75</v>
      </c>
      <c r="B5957" s="26"/>
    </row>
    <row r="5958" spans="1:6" ht="26.25" thickBot="1" x14ac:dyDescent="0.35">
      <c r="A5958" s="13" t="s">
        <v>76</v>
      </c>
      <c r="B5958" s="2">
        <v>27</v>
      </c>
    </row>
    <row r="5959" spans="1:6" ht="26.25" thickBot="1" x14ac:dyDescent="0.35">
      <c r="A5959" s="13" t="s">
        <v>77</v>
      </c>
      <c r="B5959" s="2">
        <v>564</v>
      </c>
    </row>
    <row r="5960" spans="1:6" ht="39" thickBot="1" x14ac:dyDescent="0.35">
      <c r="A5960" s="13" t="s">
        <v>78</v>
      </c>
      <c r="B5960" s="2">
        <v>13287</v>
      </c>
    </row>
    <row r="5961" spans="1:6" ht="25.5" x14ac:dyDescent="0.3">
      <c r="A5961" s="14" t="s">
        <v>79</v>
      </c>
      <c r="B5961" s="2">
        <v>6460982.9100000001</v>
      </c>
    </row>
    <row r="5962" spans="1:6" ht="17.25" thickBot="1" x14ac:dyDescent="0.35"/>
    <row r="5963" spans="1:6" ht="33" customHeight="1" x14ac:dyDescent="0.3">
      <c r="A5963" s="24" t="s">
        <v>80</v>
      </c>
      <c r="B5963" s="26"/>
    </row>
    <row r="5964" spans="1:6" ht="33.75" thickBot="1" x14ac:dyDescent="0.35">
      <c r="A5964" s="13" t="s">
        <v>81</v>
      </c>
      <c r="B5964" s="2" t="s">
        <v>82</v>
      </c>
    </row>
    <row r="5965" spans="1:6" ht="25.5" x14ac:dyDescent="0.3">
      <c r="A5965" s="14" t="s">
        <v>83</v>
      </c>
      <c r="B5965" s="2" t="s">
        <v>84</v>
      </c>
    </row>
    <row r="5966" spans="1:6" ht="17.25" thickBot="1" x14ac:dyDescent="0.35"/>
    <row r="5967" spans="1:6" ht="16.5" customHeight="1" x14ac:dyDescent="0.3">
      <c r="A5967" s="24" t="s">
        <v>130</v>
      </c>
      <c r="B5967" s="26"/>
      <c r="C5967" s="26"/>
      <c r="D5967" s="26"/>
      <c r="E5967" s="26"/>
      <c r="F5967" s="26"/>
    </row>
    <row r="5968" spans="1:6" x14ac:dyDescent="0.3">
      <c r="A5968" s="25" t="s">
        <v>131</v>
      </c>
      <c r="B5968" s="27" t="s">
        <v>46</v>
      </c>
      <c r="C5968" s="27" t="s">
        <v>132</v>
      </c>
      <c r="D5968" s="3" t="s">
        <v>133</v>
      </c>
      <c r="E5968" s="27" t="s">
        <v>135</v>
      </c>
      <c r="F5968" s="27"/>
    </row>
    <row r="5969" spans="1:8" x14ac:dyDescent="0.3">
      <c r="A5969" s="25"/>
      <c r="B5969" s="27"/>
      <c r="C5969" s="27"/>
      <c r="D5969" s="3" t="s">
        <v>134</v>
      </c>
      <c r="E5969" s="27"/>
      <c r="F5969" s="27"/>
    </row>
    <row r="5970" spans="1:8" ht="17.25" thickBot="1" x14ac:dyDescent="0.35">
      <c r="A5970" s="13" t="s">
        <v>66</v>
      </c>
      <c r="B5970" s="2">
        <v>13287</v>
      </c>
      <c r="C5970" s="2">
        <v>8.5828360000000004</v>
      </c>
      <c r="D5970" s="2">
        <v>7.8230000000000001E-3</v>
      </c>
      <c r="E5970" s="2">
        <v>8.5674691000000003</v>
      </c>
      <c r="F5970" s="2">
        <v>8.5982029999999998</v>
      </c>
      <c r="H5970" s="8" t="str">
        <f t="shared" ref="H5970:H5973" si="248">TEXT(C5970,"0.00")&amp;" ("&amp;TEXT(E5970,"0.00")&amp;" to "&amp;TEXT(F5970,"0.00")&amp;")"</f>
        <v>8.58 (8.57 to 8.60)</v>
      </c>
    </row>
    <row r="5971" spans="1:8" ht="17.25" thickBot="1" x14ac:dyDescent="0.35">
      <c r="A5971" s="13" t="s">
        <v>67</v>
      </c>
      <c r="B5971" s="2">
        <v>13287</v>
      </c>
      <c r="C5971" s="2">
        <v>0.67159100000000005</v>
      </c>
      <c r="D5971" s="2">
        <v>9.5100000000000002E-4</v>
      </c>
      <c r="E5971" s="2">
        <v>0.66972410000000004</v>
      </c>
      <c r="F5971" s="2">
        <v>0.67345849999999996</v>
      </c>
      <c r="H5971" s="8" t="str">
        <f t="shared" si="248"/>
        <v>0.67 (0.67 to 0.67)</v>
      </c>
    </row>
    <row r="5972" spans="1:8" ht="17.25" thickBot="1" x14ac:dyDescent="0.35">
      <c r="A5972" s="13" t="s">
        <v>68</v>
      </c>
      <c r="B5972" s="2">
        <v>13287</v>
      </c>
      <c r="C5972" s="2">
        <v>0.32692300000000002</v>
      </c>
      <c r="D5972" s="2">
        <v>3.8430000000000001E-3</v>
      </c>
      <c r="E5972" s="2">
        <v>0.31937339999999997</v>
      </c>
      <c r="F5972" s="2">
        <v>0.33447310000000002</v>
      </c>
      <c r="H5972" s="8" t="str">
        <f t="shared" si="248"/>
        <v>0.33 (0.32 to 0.33)</v>
      </c>
    </row>
    <row r="5973" spans="1:8" x14ac:dyDescent="0.3">
      <c r="A5973" s="14" t="s">
        <v>69</v>
      </c>
      <c r="B5973" s="2">
        <v>13287</v>
      </c>
      <c r="C5973" s="2">
        <v>35.760213999999998</v>
      </c>
      <c r="D5973" s="2">
        <v>9.1647000000000006E-2</v>
      </c>
      <c r="E5973" s="2">
        <v>35.580184099999997</v>
      </c>
      <c r="F5973" s="2">
        <v>35.940243299999999</v>
      </c>
      <c r="H5973" s="8" t="str">
        <f t="shared" si="248"/>
        <v>35.76 (35.58 to 35.94)</v>
      </c>
    </row>
    <row r="5977" spans="1:8" x14ac:dyDescent="0.3">
      <c r="A5977" s="1" t="s">
        <v>129</v>
      </c>
    </row>
    <row r="5979" spans="1:8" x14ac:dyDescent="0.3">
      <c r="A5979" s="1" t="s">
        <v>391</v>
      </c>
    </row>
    <row r="5980" spans="1:8" ht="17.25" thickBot="1" x14ac:dyDescent="0.35"/>
    <row r="5981" spans="1:8" ht="16.5" customHeight="1" x14ac:dyDescent="0.3">
      <c r="A5981" s="24" t="s">
        <v>75</v>
      </c>
      <c r="B5981" s="26"/>
    </row>
    <row r="5982" spans="1:8" ht="26.25" thickBot="1" x14ac:dyDescent="0.35">
      <c r="A5982" s="13" t="s">
        <v>76</v>
      </c>
      <c r="B5982" s="2">
        <v>27</v>
      </c>
    </row>
    <row r="5983" spans="1:8" ht="26.25" thickBot="1" x14ac:dyDescent="0.35">
      <c r="A5983" s="13" t="s">
        <v>77</v>
      </c>
      <c r="B5983" s="2">
        <v>207</v>
      </c>
    </row>
    <row r="5984" spans="1:8" ht="39" thickBot="1" x14ac:dyDescent="0.35">
      <c r="A5984" s="13" t="s">
        <v>78</v>
      </c>
      <c r="B5984" s="2">
        <v>268</v>
      </c>
    </row>
    <row r="5985" spans="1:8" ht="25.5" x14ac:dyDescent="0.3">
      <c r="A5985" s="14" t="s">
        <v>79</v>
      </c>
      <c r="B5985" s="2">
        <v>93715.900399999999</v>
      </c>
    </row>
    <row r="5986" spans="1:8" ht="17.25" thickBot="1" x14ac:dyDescent="0.35"/>
    <row r="5987" spans="1:8" ht="33" customHeight="1" x14ac:dyDescent="0.3">
      <c r="A5987" s="24" t="s">
        <v>80</v>
      </c>
      <c r="B5987" s="26"/>
    </row>
    <row r="5988" spans="1:8" ht="33.75" thickBot="1" x14ac:dyDescent="0.35">
      <c r="A5988" s="13" t="s">
        <v>81</v>
      </c>
      <c r="B5988" s="2" t="s">
        <v>82</v>
      </c>
    </row>
    <row r="5989" spans="1:8" ht="25.5" x14ac:dyDescent="0.3">
      <c r="A5989" s="14" t="s">
        <v>83</v>
      </c>
      <c r="B5989" s="2" t="s">
        <v>84</v>
      </c>
    </row>
    <row r="5990" spans="1:8" ht="17.25" thickBot="1" x14ac:dyDescent="0.35"/>
    <row r="5991" spans="1:8" ht="16.5" customHeight="1" x14ac:dyDescent="0.3">
      <c r="A5991" s="24" t="s">
        <v>130</v>
      </c>
      <c r="B5991" s="26"/>
      <c r="C5991" s="26"/>
      <c r="D5991" s="26"/>
      <c r="E5991" s="26"/>
      <c r="F5991" s="26"/>
    </row>
    <row r="5992" spans="1:8" x14ac:dyDescent="0.3">
      <c r="A5992" s="25" t="s">
        <v>131</v>
      </c>
      <c r="B5992" s="27" t="s">
        <v>46</v>
      </c>
      <c r="C5992" s="27" t="s">
        <v>132</v>
      </c>
      <c r="D5992" s="3" t="s">
        <v>133</v>
      </c>
      <c r="E5992" s="27" t="s">
        <v>135</v>
      </c>
      <c r="F5992" s="27"/>
    </row>
    <row r="5993" spans="1:8" x14ac:dyDescent="0.3">
      <c r="A5993" s="25"/>
      <c r="B5993" s="27"/>
      <c r="C5993" s="27"/>
      <c r="D5993" s="3" t="s">
        <v>134</v>
      </c>
      <c r="E5993" s="27"/>
      <c r="F5993" s="27"/>
    </row>
    <row r="5994" spans="1:8" ht="17.25" thickBot="1" x14ac:dyDescent="0.35">
      <c r="A5994" s="13" t="s">
        <v>66</v>
      </c>
      <c r="B5994" s="2">
        <v>268</v>
      </c>
      <c r="C5994" s="2">
        <v>8.7977629999999998</v>
      </c>
      <c r="D5994" s="2">
        <v>4.2168999999999998E-2</v>
      </c>
      <c r="E5994" s="2">
        <v>8.7145533999999998</v>
      </c>
      <c r="F5994" s="2">
        <v>8.8809731999999997</v>
      </c>
      <c r="H5994" s="8" t="str">
        <f t="shared" ref="H5994:H5997" si="249">TEXT(C5994,"0.00")&amp;" ("&amp;TEXT(E5994,"0.00")&amp;" to "&amp;TEXT(F5994,"0.00")&amp;")"</f>
        <v>8.80 (8.71 to 8.88)</v>
      </c>
    </row>
    <row r="5995" spans="1:8" ht="17.25" thickBot="1" x14ac:dyDescent="0.35">
      <c r="A5995" s="13" t="s">
        <v>67</v>
      </c>
      <c r="B5995" s="2">
        <v>268</v>
      </c>
      <c r="C5995" s="2">
        <v>0.72223899999999996</v>
      </c>
      <c r="D5995" s="2">
        <v>4.3070000000000001E-3</v>
      </c>
      <c r="E5995" s="2">
        <v>0.71374020000000005</v>
      </c>
      <c r="F5995" s="2">
        <v>0.73073739999999998</v>
      </c>
      <c r="H5995" s="8" t="str">
        <f t="shared" si="249"/>
        <v>0.72 (0.71 to 0.73)</v>
      </c>
    </row>
    <row r="5996" spans="1:8" ht="17.25" thickBot="1" x14ac:dyDescent="0.35">
      <c r="A5996" s="13" t="s">
        <v>68</v>
      </c>
      <c r="B5996" s="2">
        <v>268</v>
      </c>
      <c r="C5996" s="2">
        <v>0.42505500000000002</v>
      </c>
      <c r="D5996" s="2">
        <v>2.1138000000000001E-2</v>
      </c>
      <c r="E5996" s="2">
        <v>0.3833452</v>
      </c>
      <c r="F5996" s="2">
        <v>0.46676400000000001</v>
      </c>
      <c r="H5996" s="8" t="str">
        <f t="shared" si="249"/>
        <v>0.43 (0.38 to 0.47)</v>
      </c>
    </row>
    <row r="5997" spans="1:8" x14ac:dyDescent="0.3">
      <c r="A5997" s="14" t="s">
        <v>69</v>
      </c>
      <c r="B5997" s="2">
        <v>268</v>
      </c>
      <c r="C5997" s="2">
        <v>38.935200999999999</v>
      </c>
      <c r="D5997" s="2">
        <v>0.53419099999999997</v>
      </c>
      <c r="E5997" s="2">
        <v>37.881119300000002</v>
      </c>
      <c r="F5997" s="2">
        <v>39.989283100000002</v>
      </c>
      <c r="H5997" s="8" t="str">
        <f t="shared" si="249"/>
        <v>38.94 (37.88 to 39.99)</v>
      </c>
    </row>
    <row r="6001" spans="1:6" x14ac:dyDescent="0.3">
      <c r="A6001" s="1" t="s">
        <v>129</v>
      </c>
    </row>
    <row r="6003" spans="1:6" x14ac:dyDescent="0.3">
      <c r="A6003" s="1" t="s">
        <v>392</v>
      </c>
    </row>
    <row r="6004" spans="1:6" ht="17.25" thickBot="1" x14ac:dyDescent="0.35"/>
    <row r="6005" spans="1:6" ht="16.5" customHeight="1" x14ac:dyDescent="0.3">
      <c r="A6005" s="24" t="s">
        <v>75</v>
      </c>
      <c r="B6005" s="26"/>
    </row>
    <row r="6006" spans="1:6" ht="26.25" thickBot="1" x14ac:dyDescent="0.35">
      <c r="A6006" s="13" t="s">
        <v>76</v>
      </c>
      <c r="B6006" s="2">
        <v>27</v>
      </c>
    </row>
    <row r="6007" spans="1:6" ht="26.25" thickBot="1" x14ac:dyDescent="0.35">
      <c r="A6007" s="13" t="s">
        <v>77</v>
      </c>
      <c r="B6007" s="2">
        <v>190</v>
      </c>
    </row>
    <row r="6008" spans="1:6" ht="39" thickBot="1" x14ac:dyDescent="0.35">
      <c r="A6008" s="13" t="s">
        <v>78</v>
      </c>
      <c r="B6008" s="2">
        <v>4317</v>
      </c>
    </row>
    <row r="6009" spans="1:6" ht="25.5" x14ac:dyDescent="0.3">
      <c r="A6009" s="14" t="s">
        <v>79</v>
      </c>
      <c r="B6009" s="2">
        <v>2113789.83</v>
      </c>
    </row>
    <row r="6010" spans="1:6" ht="17.25" thickBot="1" x14ac:dyDescent="0.35"/>
    <row r="6011" spans="1:6" ht="33" customHeight="1" x14ac:dyDescent="0.3">
      <c r="A6011" s="24" t="s">
        <v>80</v>
      </c>
      <c r="B6011" s="26"/>
    </row>
    <row r="6012" spans="1:6" ht="33.75" thickBot="1" x14ac:dyDescent="0.35">
      <c r="A6012" s="13" t="s">
        <v>81</v>
      </c>
      <c r="B6012" s="2" t="s">
        <v>82</v>
      </c>
    </row>
    <row r="6013" spans="1:6" ht="25.5" x14ac:dyDescent="0.3">
      <c r="A6013" s="14" t="s">
        <v>83</v>
      </c>
      <c r="B6013" s="2" t="s">
        <v>84</v>
      </c>
    </row>
    <row r="6014" spans="1:6" ht="17.25" thickBot="1" x14ac:dyDescent="0.35"/>
    <row r="6015" spans="1:6" ht="16.5" customHeight="1" x14ac:dyDescent="0.3">
      <c r="A6015" s="24" t="s">
        <v>130</v>
      </c>
      <c r="B6015" s="26"/>
      <c r="C6015" s="26"/>
      <c r="D6015" s="26"/>
      <c r="E6015" s="26"/>
      <c r="F6015" s="26"/>
    </row>
    <row r="6016" spans="1:6" x14ac:dyDescent="0.3">
      <c r="A6016" s="25" t="s">
        <v>131</v>
      </c>
      <c r="B6016" s="27" t="s">
        <v>46</v>
      </c>
      <c r="C6016" s="27" t="s">
        <v>132</v>
      </c>
      <c r="D6016" s="3" t="s">
        <v>133</v>
      </c>
      <c r="E6016" s="27" t="s">
        <v>135</v>
      </c>
      <c r="F6016" s="27"/>
    </row>
    <row r="6017" spans="1:8" x14ac:dyDescent="0.3">
      <c r="A6017" s="25"/>
      <c r="B6017" s="27"/>
      <c r="C6017" s="27"/>
      <c r="D6017" s="3" t="s">
        <v>134</v>
      </c>
      <c r="E6017" s="27"/>
      <c r="F6017" s="27"/>
    </row>
    <row r="6018" spans="1:8" ht="17.25" thickBot="1" x14ac:dyDescent="0.35">
      <c r="A6018" s="13" t="s">
        <v>66</v>
      </c>
      <c r="B6018" s="2">
        <v>4317</v>
      </c>
      <c r="C6018" s="2">
        <v>8.5924630000000004</v>
      </c>
      <c r="D6018" s="2">
        <v>1.2067E-2</v>
      </c>
      <c r="E6018" s="2">
        <v>8.5686356000000004</v>
      </c>
      <c r="F6018" s="2">
        <v>8.6162896</v>
      </c>
      <c r="H6018" s="8" t="str">
        <f t="shared" ref="H6018:H6021" si="250">TEXT(C6018,"0.00")&amp;" ("&amp;TEXT(E6018,"0.00")&amp;" to "&amp;TEXT(F6018,"0.00")&amp;")"</f>
        <v>8.59 (8.57 to 8.62)</v>
      </c>
    </row>
    <row r="6019" spans="1:8" ht="17.25" thickBot="1" x14ac:dyDescent="0.35">
      <c r="A6019" s="13" t="s">
        <v>67</v>
      </c>
      <c r="B6019" s="2">
        <v>4317</v>
      </c>
      <c r="C6019" s="2">
        <v>0.66835100000000003</v>
      </c>
      <c r="D6019" s="2">
        <v>1.6280000000000001E-3</v>
      </c>
      <c r="E6019" s="2">
        <v>0.66513630000000001</v>
      </c>
      <c r="F6019" s="2">
        <v>0.67156470000000001</v>
      </c>
      <c r="H6019" s="8" t="str">
        <f t="shared" si="250"/>
        <v>0.67 (0.67 to 0.67)</v>
      </c>
    </row>
    <row r="6020" spans="1:8" ht="17.25" thickBot="1" x14ac:dyDescent="0.35">
      <c r="A6020" s="13" t="s">
        <v>68</v>
      </c>
      <c r="B6020" s="2">
        <v>4317</v>
      </c>
      <c r="C6020" s="2">
        <v>0.29023599999999999</v>
      </c>
      <c r="D6020" s="2">
        <v>6.3600000000000002E-3</v>
      </c>
      <c r="E6020" s="2">
        <v>0.27767789999999998</v>
      </c>
      <c r="F6020" s="2">
        <v>0.30279420000000001</v>
      </c>
      <c r="H6020" s="8" t="str">
        <f t="shared" si="250"/>
        <v>0.29 (0.28 to 0.30)</v>
      </c>
    </row>
    <row r="6021" spans="1:8" x14ac:dyDescent="0.3">
      <c r="A6021" s="14" t="s">
        <v>69</v>
      </c>
      <c r="B6021" s="2">
        <v>4317</v>
      </c>
      <c r="C6021" s="2">
        <v>35.267209999999999</v>
      </c>
      <c r="D6021" s="2">
        <v>0.175703</v>
      </c>
      <c r="E6021" s="2">
        <v>34.920262200000003</v>
      </c>
      <c r="F6021" s="2">
        <v>35.614158699999997</v>
      </c>
      <c r="H6021" s="8" t="str">
        <f t="shared" si="250"/>
        <v>35.27 (34.92 to 35.61)</v>
      </c>
    </row>
    <row r="6025" spans="1:8" x14ac:dyDescent="0.3">
      <c r="A6025" s="1" t="s">
        <v>129</v>
      </c>
    </row>
    <row r="6027" spans="1:8" x14ac:dyDescent="0.3">
      <c r="A6027" s="1" t="s">
        <v>393</v>
      </c>
    </row>
    <row r="6028" spans="1:8" ht="17.25" thickBot="1" x14ac:dyDescent="0.35"/>
    <row r="6029" spans="1:8" ht="16.5" customHeight="1" x14ac:dyDescent="0.3">
      <c r="A6029" s="24" t="s">
        <v>75</v>
      </c>
      <c r="B6029" s="26"/>
    </row>
    <row r="6030" spans="1:8" ht="26.25" thickBot="1" x14ac:dyDescent="0.35">
      <c r="A6030" s="13" t="s">
        <v>76</v>
      </c>
      <c r="B6030" s="2">
        <v>22</v>
      </c>
    </row>
    <row r="6031" spans="1:8" ht="26.25" thickBot="1" x14ac:dyDescent="0.35">
      <c r="A6031" s="13" t="s">
        <v>77</v>
      </c>
      <c r="B6031" s="2">
        <v>76</v>
      </c>
    </row>
    <row r="6032" spans="1:8" ht="39" thickBot="1" x14ac:dyDescent="0.35">
      <c r="A6032" s="13" t="s">
        <v>78</v>
      </c>
      <c r="B6032" s="2">
        <v>99</v>
      </c>
    </row>
    <row r="6033" spans="1:8" ht="25.5" x14ac:dyDescent="0.3">
      <c r="A6033" s="14" t="s">
        <v>79</v>
      </c>
      <c r="B6033" s="2">
        <v>37123.844700000001</v>
      </c>
    </row>
    <row r="6034" spans="1:8" ht="17.25" thickBot="1" x14ac:dyDescent="0.35"/>
    <row r="6035" spans="1:8" ht="33" customHeight="1" x14ac:dyDescent="0.3">
      <c r="A6035" s="24" t="s">
        <v>80</v>
      </c>
      <c r="B6035" s="26"/>
    </row>
    <row r="6036" spans="1:8" ht="33.75" thickBot="1" x14ac:dyDescent="0.35">
      <c r="A6036" s="13" t="s">
        <v>81</v>
      </c>
      <c r="B6036" s="2" t="s">
        <v>82</v>
      </c>
    </row>
    <row r="6037" spans="1:8" ht="25.5" x14ac:dyDescent="0.3">
      <c r="A6037" s="14" t="s">
        <v>83</v>
      </c>
      <c r="B6037" s="2" t="s">
        <v>84</v>
      </c>
    </row>
    <row r="6038" spans="1:8" ht="17.25" thickBot="1" x14ac:dyDescent="0.35"/>
    <row r="6039" spans="1:8" ht="16.5" customHeight="1" x14ac:dyDescent="0.3">
      <c r="A6039" s="24" t="s">
        <v>130</v>
      </c>
      <c r="B6039" s="26"/>
      <c r="C6039" s="26"/>
      <c r="D6039" s="26"/>
      <c r="E6039" s="26"/>
      <c r="F6039" s="26"/>
    </row>
    <row r="6040" spans="1:8" x14ac:dyDescent="0.3">
      <c r="A6040" s="25" t="s">
        <v>131</v>
      </c>
      <c r="B6040" s="27" t="s">
        <v>46</v>
      </c>
      <c r="C6040" s="27" t="s">
        <v>132</v>
      </c>
      <c r="D6040" s="3" t="s">
        <v>133</v>
      </c>
      <c r="E6040" s="27" t="s">
        <v>135</v>
      </c>
      <c r="F6040" s="27"/>
    </row>
    <row r="6041" spans="1:8" x14ac:dyDescent="0.3">
      <c r="A6041" s="25"/>
      <c r="B6041" s="27"/>
      <c r="C6041" s="27"/>
      <c r="D6041" s="3" t="s">
        <v>134</v>
      </c>
      <c r="E6041" s="27"/>
      <c r="F6041" s="27"/>
    </row>
    <row r="6042" spans="1:8" ht="17.25" thickBot="1" x14ac:dyDescent="0.35">
      <c r="A6042" s="13" t="s">
        <v>66</v>
      </c>
      <c r="B6042" s="2">
        <v>99</v>
      </c>
      <c r="C6042" s="2">
        <v>8.6541099999999993</v>
      </c>
      <c r="D6042" s="2">
        <v>6.2429999999999999E-2</v>
      </c>
      <c r="E6042" s="2">
        <v>8.5289462999999994</v>
      </c>
      <c r="F6042" s="2">
        <v>8.7792741999999997</v>
      </c>
      <c r="H6042" s="8" t="str">
        <f t="shared" ref="H6042:H6045" si="251">TEXT(C6042,"0.00")&amp;" ("&amp;TEXT(E6042,"0.00")&amp;" to "&amp;TEXT(F6042,"0.00")&amp;")"</f>
        <v>8.65 (8.53 to 8.78)</v>
      </c>
    </row>
    <row r="6043" spans="1:8" ht="17.25" thickBot="1" x14ac:dyDescent="0.35">
      <c r="A6043" s="13" t="s">
        <v>67</v>
      </c>
      <c r="B6043" s="2">
        <v>99</v>
      </c>
      <c r="C6043" s="2">
        <v>0.70171300000000003</v>
      </c>
      <c r="D6043" s="2">
        <v>6.4180000000000001E-3</v>
      </c>
      <c r="E6043" s="2">
        <v>0.68884619999999996</v>
      </c>
      <c r="F6043" s="2">
        <v>0.71458069999999996</v>
      </c>
      <c r="H6043" s="8" t="str">
        <f t="shared" si="251"/>
        <v>0.70 (0.69 to 0.71)</v>
      </c>
    </row>
    <row r="6044" spans="1:8" ht="17.25" thickBot="1" x14ac:dyDescent="0.35">
      <c r="A6044" s="13" t="s">
        <v>68</v>
      </c>
      <c r="B6044" s="2">
        <v>99</v>
      </c>
      <c r="C6044" s="2">
        <v>0.32519599999999999</v>
      </c>
      <c r="D6044" s="2">
        <v>3.4463000000000001E-2</v>
      </c>
      <c r="E6044" s="2">
        <v>0.25610119999999997</v>
      </c>
      <c r="F6044" s="2">
        <v>0.39429009999999998</v>
      </c>
      <c r="H6044" s="8" t="str">
        <f t="shared" si="251"/>
        <v>0.33 (0.26 to 0.39)</v>
      </c>
    </row>
    <row r="6045" spans="1:8" x14ac:dyDescent="0.3">
      <c r="A6045" s="14" t="s">
        <v>69</v>
      </c>
      <c r="B6045" s="2">
        <v>99</v>
      </c>
      <c r="C6045" s="2">
        <v>36.256759000000002</v>
      </c>
      <c r="D6045" s="2">
        <v>0.66949099999999995</v>
      </c>
      <c r="E6045" s="2">
        <v>34.914511500000003</v>
      </c>
      <c r="F6045" s="2">
        <v>37.599006899999999</v>
      </c>
      <c r="H6045" s="8" t="str">
        <f t="shared" si="251"/>
        <v>36.26 (34.91 to 37.60)</v>
      </c>
    </row>
  </sheetData>
  <autoFilter ref="A1:A6045" xr:uid="{9DDB08C7-C1AD-44B4-86A7-09E1315F9F58}"/>
  <mergeCells count="1764">
    <mergeCell ref="A53:B53"/>
    <mergeCell ref="A59:B59"/>
    <mergeCell ref="A63:F63"/>
    <mergeCell ref="A64:A65"/>
    <mergeCell ref="B64:B65"/>
    <mergeCell ref="C64:C65"/>
    <mergeCell ref="E64:F65"/>
    <mergeCell ref="A29:B29"/>
    <mergeCell ref="A35:B35"/>
    <mergeCell ref="A39:F39"/>
    <mergeCell ref="A40:A41"/>
    <mergeCell ref="B40:B41"/>
    <mergeCell ref="C40:C41"/>
    <mergeCell ref="E40:F41"/>
    <mergeCell ref="A5:B5"/>
    <mergeCell ref="A11:B11"/>
    <mergeCell ref="A15:F15"/>
    <mergeCell ref="A16:A17"/>
    <mergeCell ref="B16:B17"/>
    <mergeCell ref="C16:C17"/>
    <mergeCell ref="E16:F17"/>
    <mergeCell ref="A125:B125"/>
    <mergeCell ref="A131:B131"/>
    <mergeCell ref="A135:F135"/>
    <mergeCell ref="A136:A137"/>
    <mergeCell ref="B136:B137"/>
    <mergeCell ref="C136:C137"/>
    <mergeCell ref="E136:F137"/>
    <mergeCell ref="A101:B101"/>
    <mergeCell ref="A107:B107"/>
    <mergeCell ref="A111:F111"/>
    <mergeCell ref="A112:A113"/>
    <mergeCell ref="B112:B113"/>
    <mergeCell ref="C112:C113"/>
    <mergeCell ref="E112:F113"/>
    <mergeCell ref="A77:B77"/>
    <mergeCell ref="A83:B83"/>
    <mergeCell ref="A87:F87"/>
    <mergeCell ref="A88:A89"/>
    <mergeCell ref="B88:B89"/>
    <mergeCell ref="C88:C89"/>
    <mergeCell ref="E88:F89"/>
    <mergeCell ref="A197:B197"/>
    <mergeCell ref="A203:B203"/>
    <mergeCell ref="A207:F207"/>
    <mergeCell ref="A208:A209"/>
    <mergeCell ref="B208:B209"/>
    <mergeCell ref="C208:C209"/>
    <mergeCell ref="E208:F209"/>
    <mergeCell ref="A173:B173"/>
    <mergeCell ref="A179:B179"/>
    <mergeCell ref="A183:F183"/>
    <mergeCell ref="A184:A185"/>
    <mergeCell ref="B184:B185"/>
    <mergeCell ref="C184:C185"/>
    <mergeCell ref="E184:F185"/>
    <mergeCell ref="A149:B149"/>
    <mergeCell ref="A155:B155"/>
    <mergeCell ref="A159:F159"/>
    <mergeCell ref="A160:A161"/>
    <mergeCell ref="B160:B161"/>
    <mergeCell ref="C160:C161"/>
    <mergeCell ref="E160:F161"/>
    <mergeCell ref="A269:B269"/>
    <mergeCell ref="A275:B275"/>
    <mergeCell ref="A279:F279"/>
    <mergeCell ref="A280:A281"/>
    <mergeCell ref="B280:B281"/>
    <mergeCell ref="C280:C281"/>
    <mergeCell ref="E280:F281"/>
    <mergeCell ref="A245:B245"/>
    <mergeCell ref="A251:B251"/>
    <mergeCell ref="A255:F255"/>
    <mergeCell ref="A256:A257"/>
    <mergeCell ref="B256:B257"/>
    <mergeCell ref="C256:C257"/>
    <mergeCell ref="E256:F257"/>
    <mergeCell ref="A221:B221"/>
    <mergeCell ref="A227:B227"/>
    <mergeCell ref="A231:F231"/>
    <mergeCell ref="A232:A233"/>
    <mergeCell ref="B232:B233"/>
    <mergeCell ref="C232:C233"/>
    <mergeCell ref="E232:F233"/>
    <mergeCell ref="A341:B341"/>
    <mergeCell ref="A347:B347"/>
    <mergeCell ref="A351:F351"/>
    <mergeCell ref="A352:A353"/>
    <mergeCell ref="B352:B353"/>
    <mergeCell ref="C352:C353"/>
    <mergeCell ref="E352:F353"/>
    <mergeCell ref="A317:B317"/>
    <mergeCell ref="A323:B323"/>
    <mergeCell ref="A327:F327"/>
    <mergeCell ref="A328:A329"/>
    <mergeCell ref="B328:B329"/>
    <mergeCell ref="C328:C329"/>
    <mergeCell ref="E328:F329"/>
    <mergeCell ref="A293:B293"/>
    <mergeCell ref="A299:B299"/>
    <mergeCell ref="A303:F303"/>
    <mergeCell ref="A304:A305"/>
    <mergeCell ref="B304:B305"/>
    <mergeCell ref="C304:C305"/>
    <mergeCell ref="E304:F305"/>
    <mergeCell ref="A413:B413"/>
    <mergeCell ref="A419:B419"/>
    <mergeCell ref="A423:F423"/>
    <mergeCell ref="A424:A425"/>
    <mergeCell ref="B424:B425"/>
    <mergeCell ref="C424:C425"/>
    <mergeCell ref="E424:F425"/>
    <mergeCell ref="A389:B389"/>
    <mergeCell ref="A395:B395"/>
    <mergeCell ref="A399:F399"/>
    <mergeCell ref="A400:A401"/>
    <mergeCell ref="B400:B401"/>
    <mergeCell ref="C400:C401"/>
    <mergeCell ref="E400:F401"/>
    <mergeCell ref="A365:B365"/>
    <mergeCell ref="A371:B371"/>
    <mergeCell ref="A375:F375"/>
    <mergeCell ref="A376:A377"/>
    <mergeCell ref="B376:B377"/>
    <mergeCell ref="C376:C377"/>
    <mergeCell ref="E376:F377"/>
    <mergeCell ref="A485:B485"/>
    <mergeCell ref="A491:B491"/>
    <mergeCell ref="A495:F495"/>
    <mergeCell ref="A496:A497"/>
    <mergeCell ref="B496:B497"/>
    <mergeCell ref="C496:C497"/>
    <mergeCell ref="E496:F497"/>
    <mergeCell ref="A461:B461"/>
    <mergeCell ref="A467:B467"/>
    <mergeCell ref="A471:F471"/>
    <mergeCell ref="A472:A473"/>
    <mergeCell ref="B472:B473"/>
    <mergeCell ref="C472:C473"/>
    <mergeCell ref="E472:F473"/>
    <mergeCell ref="A437:B437"/>
    <mergeCell ref="A443:B443"/>
    <mergeCell ref="A447:F447"/>
    <mergeCell ref="A448:A449"/>
    <mergeCell ref="B448:B449"/>
    <mergeCell ref="C448:C449"/>
    <mergeCell ref="E448:F449"/>
    <mergeCell ref="A557:B557"/>
    <mergeCell ref="A563:B563"/>
    <mergeCell ref="A567:F567"/>
    <mergeCell ref="A568:A569"/>
    <mergeCell ref="B568:B569"/>
    <mergeCell ref="C568:C569"/>
    <mergeCell ref="E568:F569"/>
    <mergeCell ref="A533:B533"/>
    <mergeCell ref="A539:B539"/>
    <mergeCell ref="A543:F543"/>
    <mergeCell ref="A544:A545"/>
    <mergeCell ref="B544:B545"/>
    <mergeCell ref="C544:C545"/>
    <mergeCell ref="E544:F545"/>
    <mergeCell ref="A509:B509"/>
    <mergeCell ref="A515:B515"/>
    <mergeCell ref="A519:F519"/>
    <mergeCell ref="A520:A521"/>
    <mergeCell ref="B520:B521"/>
    <mergeCell ref="C520:C521"/>
    <mergeCell ref="E520:F521"/>
    <mergeCell ref="A629:B629"/>
    <mergeCell ref="A635:B635"/>
    <mergeCell ref="A639:F639"/>
    <mergeCell ref="A640:A641"/>
    <mergeCell ref="B640:B641"/>
    <mergeCell ref="C640:C641"/>
    <mergeCell ref="E640:F641"/>
    <mergeCell ref="A605:B605"/>
    <mergeCell ref="A611:B611"/>
    <mergeCell ref="A615:F615"/>
    <mergeCell ref="A616:A617"/>
    <mergeCell ref="B616:B617"/>
    <mergeCell ref="C616:C617"/>
    <mergeCell ref="E616:F617"/>
    <mergeCell ref="A581:B581"/>
    <mergeCell ref="A587:B587"/>
    <mergeCell ref="A591:F591"/>
    <mergeCell ref="A592:A593"/>
    <mergeCell ref="B592:B593"/>
    <mergeCell ref="C592:C593"/>
    <mergeCell ref="E592:F593"/>
    <mergeCell ref="A701:B701"/>
    <mergeCell ref="A707:B707"/>
    <mergeCell ref="A711:F711"/>
    <mergeCell ref="A712:A713"/>
    <mergeCell ref="B712:B713"/>
    <mergeCell ref="C712:C713"/>
    <mergeCell ref="E712:F713"/>
    <mergeCell ref="A677:B677"/>
    <mergeCell ref="A683:B683"/>
    <mergeCell ref="A687:F687"/>
    <mergeCell ref="A688:A689"/>
    <mergeCell ref="B688:B689"/>
    <mergeCell ref="C688:C689"/>
    <mergeCell ref="E688:F689"/>
    <mergeCell ref="A653:B653"/>
    <mergeCell ref="A659:B659"/>
    <mergeCell ref="A663:F663"/>
    <mergeCell ref="A664:A665"/>
    <mergeCell ref="B664:B665"/>
    <mergeCell ref="C664:C665"/>
    <mergeCell ref="E664:F665"/>
    <mergeCell ref="A773:B773"/>
    <mergeCell ref="A779:B779"/>
    <mergeCell ref="A783:F783"/>
    <mergeCell ref="A784:A785"/>
    <mergeCell ref="B784:B785"/>
    <mergeCell ref="C784:C785"/>
    <mergeCell ref="E784:F785"/>
    <mergeCell ref="A749:B749"/>
    <mergeCell ref="A755:B755"/>
    <mergeCell ref="A759:F759"/>
    <mergeCell ref="A760:A761"/>
    <mergeCell ref="B760:B761"/>
    <mergeCell ref="C760:C761"/>
    <mergeCell ref="E760:F761"/>
    <mergeCell ref="A725:B725"/>
    <mergeCell ref="A731:B731"/>
    <mergeCell ref="A735:F735"/>
    <mergeCell ref="A736:A737"/>
    <mergeCell ref="B736:B737"/>
    <mergeCell ref="C736:C737"/>
    <mergeCell ref="E736:F737"/>
    <mergeCell ref="A845:B845"/>
    <mergeCell ref="A851:B851"/>
    <mergeCell ref="A855:F855"/>
    <mergeCell ref="A856:A857"/>
    <mergeCell ref="B856:B857"/>
    <mergeCell ref="C856:C857"/>
    <mergeCell ref="E856:F857"/>
    <mergeCell ref="A821:B821"/>
    <mergeCell ref="A827:B827"/>
    <mergeCell ref="A831:F831"/>
    <mergeCell ref="A832:A833"/>
    <mergeCell ref="B832:B833"/>
    <mergeCell ref="C832:C833"/>
    <mergeCell ref="E832:F833"/>
    <mergeCell ref="A797:B797"/>
    <mergeCell ref="A803:B803"/>
    <mergeCell ref="A807:F807"/>
    <mergeCell ref="A808:A809"/>
    <mergeCell ref="B808:B809"/>
    <mergeCell ref="C808:C809"/>
    <mergeCell ref="E808:F809"/>
    <mergeCell ref="A917:B917"/>
    <mergeCell ref="A923:B923"/>
    <mergeCell ref="A927:F927"/>
    <mergeCell ref="A928:A929"/>
    <mergeCell ref="B928:B929"/>
    <mergeCell ref="C928:C929"/>
    <mergeCell ref="E928:F929"/>
    <mergeCell ref="A893:B893"/>
    <mergeCell ref="A899:B899"/>
    <mergeCell ref="A903:F903"/>
    <mergeCell ref="A904:A905"/>
    <mergeCell ref="B904:B905"/>
    <mergeCell ref="C904:C905"/>
    <mergeCell ref="E904:F905"/>
    <mergeCell ref="A869:B869"/>
    <mergeCell ref="A875:B875"/>
    <mergeCell ref="A879:F879"/>
    <mergeCell ref="A880:A881"/>
    <mergeCell ref="B880:B881"/>
    <mergeCell ref="C880:C881"/>
    <mergeCell ref="E880:F881"/>
    <mergeCell ref="A989:B989"/>
    <mergeCell ref="A995:B995"/>
    <mergeCell ref="A999:F999"/>
    <mergeCell ref="A1000:A1001"/>
    <mergeCell ref="B1000:B1001"/>
    <mergeCell ref="C1000:C1001"/>
    <mergeCell ref="E1000:F1001"/>
    <mergeCell ref="A965:B965"/>
    <mergeCell ref="A971:B971"/>
    <mergeCell ref="A975:F975"/>
    <mergeCell ref="A976:A977"/>
    <mergeCell ref="B976:B977"/>
    <mergeCell ref="C976:C977"/>
    <mergeCell ref="E976:F977"/>
    <mergeCell ref="A941:B941"/>
    <mergeCell ref="A947:B947"/>
    <mergeCell ref="A951:F951"/>
    <mergeCell ref="A952:A953"/>
    <mergeCell ref="B952:B953"/>
    <mergeCell ref="C952:C953"/>
    <mergeCell ref="E952:F953"/>
    <mergeCell ref="A1061:B1061"/>
    <mergeCell ref="A1067:B1067"/>
    <mergeCell ref="A1071:F1071"/>
    <mergeCell ref="A1072:A1073"/>
    <mergeCell ref="B1072:B1073"/>
    <mergeCell ref="C1072:C1073"/>
    <mergeCell ref="E1072:F1073"/>
    <mergeCell ref="A1037:B1037"/>
    <mergeCell ref="A1043:B1043"/>
    <mergeCell ref="A1047:F1047"/>
    <mergeCell ref="A1048:A1049"/>
    <mergeCell ref="B1048:B1049"/>
    <mergeCell ref="C1048:C1049"/>
    <mergeCell ref="E1048:F1049"/>
    <mergeCell ref="A1013:B1013"/>
    <mergeCell ref="A1019:B1019"/>
    <mergeCell ref="A1023:F1023"/>
    <mergeCell ref="A1024:A1025"/>
    <mergeCell ref="B1024:B1025"/>
    <mergeCell ref="C1024:C1025"/>
    <mergeCell ref="E1024:F1025"/>
    <mergeCell ref="A1133:B1133"/>
    <mergeCell ref="A1139:B1139"/>
    <mergeCell ref="A1143:F1143"/>
    <mergeCell ref="A1144:A1145"/>
    <mergeCell ref="B1144:B1145"/>
    <mergeCell ref="C1144:C1145"/>
    <mergeCell ref="E1144:F1145"/>
    <mergeCell ref="A1109:B1109"/>
    <mergeCell ref="A1115:B1115"/>
    <mergeCell ref="A1119:F1119"/>
    <mergeCell ref="A1120:A1121"/>
    <mergeCell ref="B1120:B1121"/>
    <mergeCell ref="C1120:C1121"/>
    <mergeCell ref="E1120:F1121"/>
    <mergeCell ref="A1085:B1085"/>
    <mergeCell ref="A1091:B1091"/>
    <mergeCell ref="A1095:F1095"/>
    <mergeCell ref="A1096:A1097"/>
    <mergeCell ref="B1096:B1097"/>
    <mergeCell ref="C1096:C1097"/>
    <mergeCell ref="E1096:F1097"/>
    <mergeCell ref="A1205:B1205"/>
    <mergeCell ref="A1211:B1211"/>
    <mergeCell ref="A1215:F1215"/>
    <mergeCell ref="A1216:A1217"/>
    <mergeCell ref="B1216:B1217"/>
    <mergeCell ref="C1216:C1217"/>
    <mergeCell ref="E1216:F1217"/>
    <mergeCell ref="A1181:B1181"/>
    <mergeCell ref="A1187:B1187"/>
    <mergeCell ref="A1191:F1191"/>
    <mergeCell ref="A1192:A1193"/>
    <mergeCell ref="B1192:B1193"/>
    <mergeCell ref="C1192:C1193"/>
    <mergeCell ref="E1192:F1193"/>
    <mergeCell ref="A1157:B1157"/>
    <mergeCell ref="A1163:B1163"/>
    <mergeCell ref="A1167:F1167"/>
    <mergeCell ref="A1168:A1169"/>
    <mergeCell ref="B1168:B1169"/>
    <mergeCell ref="C1168:C1169"/>
    <mergeCell ref="E1168:F1169"/>
    <mergeCell ref="A1277:B1277"/>
    <mergeCell ref="A1283:B1283"/>
    <mergeCell ref="A1287:F1287"/>
    <mergeCell ref="A1288:A1289"/>
    <mergeCell ref="B1288:B1289"/>
    <mergeCell ref="C1288:C1289"/>
    <mergeCell ref="E1288:F1289"/>
    <mergeCell ref="A1253:B1253"/>
    <mergeCell ref="A1259:B1259"/>
    <mergeCell ref="A1263:F1263"/>
    <mergeCell ref="A1264:A1265"/>
    <mergeCell ref="B1264:B1265"/>
    <mergeCell ref="C1264:C1265"/>
    <mergeCell ref="E1264:F1265"/>
    <mergeCell ref="A1229:B1229"/>
    <mergeCell ref="A1235:B1235"/>
    <mergeCell ref="A1239:F1239"/>
    <mergeCell ref="A1240:A1241"/>
    <mergeCell ref="B1240:B1241"/>
    <mergeCell ref="C1240:C1241"/>
    <mergeCell ref="E1240:F1241"/>
    <mergeCell ref="A1349:B1349"/>
    <mergeCell ref="A1355:B1355"/>
    <mergeCell ref="A1359:F1359"/>
    <mergeCell ref="A1360:A1361"/>
    <mergeCell ref="B1360:B1361"/>
    <mergeCell ref="C1360:C1361"/>
    <mergeCell ref="E1360:F1361"/>
    <mergeCell ref="A1325:B1325"/>
    <mergeCell ref="A1331:B1331"/>
    <mergeCell ref="A1335:F1335"/>
    <mergeCell ref="A1336:A1337"/>
    <mergeCell ref="B1336:B1337"/>
    <mergeCell ref="C1336:C1337"/>
    <mergeCell ref="E1336:F1337"/>
    <mergeCell ref="A1301:B1301"/>
    <mergeCell ref="A1307:B1307"/>
    <mergeCell ref="A1311:F1311"/>
    <mergeCell ref="A1312:A1313"/>
    <mergeCell ref="B1312:B1313"/>
    <mergeCell ref="C1312:C1313"/>
    <mergeCell ref="E1312:F1313"/>
    <mergeCell ref="A1421:B1421"/>
    <mergeCell ref="A1427:B1427"/>
    <mergeCell ref="A1431:F1431"/>
    <mergeCell ref="A1432:A1433"/>
    <mergeCell ref="B1432:B1433"/>
    <mergeCell ref="C1432:C1433"/>
    <mergeCell ref="E1432:F1433"/>
    <mergeCell ref="A1397:B1397"/>
    <mergeCell ref="A1403:B1403"/>
    <mergeCell ref="A1407:F1407"/>
    <mergeCell ref="A1408:A1409"/>
    <mergeCell ref="B1408:B1409"/>
    <mergeCell ref="C1408:C1409"/>
    <mergeCell ref="E1408:F1409"/>
    <mergeCell ref="A1373:B1373"/>
    <mergeCell ref="A1379:B1379"/>
    <mergeCell ref="A1383:F1383"/>
    <mergeCell ref="A1384:A1385"/>
    <mergeCell ref="B1384:B1385"/>
    <mergeCell ref="C1384:C1385"/>
    <mergeCell ref="E1384:F1385"/>
    <mergeCell ref="A1493:B1493"/>
    <mergeCell ref="A1499:B1499"/>
    <mergeCell ref="A1503:F1503"/>
    <mergeCell ref="A1504:A1505"/>
    <mergeCell ref="B1504:B1505"/>
    <mergeCell ref="C1504:C1505"/>
    <mergeCell ref="E1504:F1505"/>
    <mergeCell ref="A1469:B1469"/>
    <mergeCell ref="A1475:B1475"/>
    <mergeCell ref="A1479:F1479"/>
    <mergeCell ref="A1480:A1481"/>
    <mergeCell ref="B1480:B1481"/>
    <mergeCell ref="C1480:C1481"/>
    <mergeCell ref="E1480:F1481"/>
    <mergeCell ref="A1445:B1445"/>
    <mergeCell ref="A1451:B1451"/>
    <mergeCell ref="A1455:F1455"/>
    <mergeCell ref="A1456:A1457"/>
    <mergeCell ref="B1456:B1457"/>
    <mergeCell ref="C1456:C1457"/>
    <mergeCell ref="E1456:F1457"/>
    <mergeCell ref="A1565:B1565"/>
    <mergeCell ref="A1571:B1571"/>
    <mergeCell ref="A1575:F1575"/>
    <mergeCell ref="A1576:A1577"/>
    <mergeCell ref="B1576:B1577"/>
    <mergeCell ref="C1576:C1577"/>
    <mergeCell ref="E1576:F1577"/>
    <mergeCell ref="A1541:B1541"/>
    <mergeCell ref="A1547:B1547"/>
    <mergeCell ref="A1551:F1551"/>
    <mergeCell ref="A1552:A1553"/>
    <mergeCell ref="B1552:B1553"/>
    <mergeCell ref="C1552:C1553"/>
    <mergeCell ref="E1552:F1553"/>
    <mergeCell ref="A1517:B1517"/>
    <mergeCell ref="A1523:B1523"/>
    <mergeCell ref="A1527:F1527"/>
    <mergeCell ref="A1528:A1529"/>
    <mergeCell ref="B1528:B1529"/>
    <mergeCell ref="C1528:C1529"/>
    <mergeCell ref="E1528:F1529"/>
    <mergeCell ref="A1637:B1637"/>
    <mergeCell ref="A1643:B1643"/>
    <mergeCell ref="A1647:F1647"/>
    <mergeCell ref="A1648:A1649"/>
    <mergeCell ref="B1648:B1649"/>
    <mergeCell ref="C1648:C1649"/>
    <mergeCell ref="E1648:F1649"/>
    <mergeCell ref="A1613:B1613"/>
    <mergeCell ref="A1619:B1619"/>
    <mergeCell ref="A1623:F1623"/>
    <mergeCell ref="A1624:A1625"/>
    <mergeCell ref="B1624:B1625"/>
    <mergeCell ref="C1624:C1625"/>
    <mergeCell ref="E1624:F1625"/>
    <mergeCell ref="A1589:B1589"/>
    <mergeCell ref="A1595:B1595"/>
    <mergeCell ref="A1599:F1599"/>
    <mergeCell ref="A1600:A1601"/>
    <mergeCell ref="B1600:B1601"/>
    <mergeCell ref="C1600:C1601"/>
    <mergeCell ref="E1600:F1601"/>
    <mergeCell ref="A1709:B1709"/>
    <mergeCell ref="A1715:B1715"/>
    <mergeCell ref="A1719:F1719"/>
    <mergeCell ref="A1720:A1721"/>
    <mergeCell ref="B1720:B1721"/>
    <mergeCell ref="C1720:C1721"/>
    <mergeCell ref="E1720:F1721"/>
    <mergeCell ref="A1685:B1685"/>
    <mergeCell ref="A1691:B1691"/>
    <mergeCell ref="A1695:F1695"/>
    <mergeCell ref="A1696:A1697"/>
    <mergeCell ref="B1696:B1697"/>
    <mergeCell ref="C1696:C1697"/>
    <mergeCell ref="E1696:F1697"/>
    <mergeCell ref="A1661:B1661"/>
    <mergeCell ref="A1667:B1667"/>
    <mergeCell ref="A1671:F1671"/>
    <mergeCell ref="A1672:A1673"/>
    <mergeCell ref="B1672:B1673"/>
    <mergeCell ref="C1672:C1673"/>
    <mergeCell ref="E1672:F1673"/>
    <mergeCell ref="A1781:B1781"/>
    <mergeCell ref="A1787:B1787"/>
    <mergeCell ref="A1791:F1791"/>
    <mergeCell ref="A1792:A1793"/>
    <mergeCell ref="B1792:B1793"/>
    <mergeCell ref="C1792:C1793"/>
    <mergeCell ref="E1792:F1793"/>
    <mergeCell ref="A1757:B1757"/>
    <mergeCell ref="A1763:B1763"/>
    <mergeCell ref="A1767:F1767"/>
    <mergeCell ref="A1768:A1769"/>
    <mergeCell ref="B1768:B1769"/>
    <mergeCell ref="C1768:C1769"/>
    <mergeCell ref="E1768:F1769"/>
    <mergeCell ref="A1733:B1733"/>
    <mergeCell ref="A1739:B1739"/>
    <mergeCell ref="A1743:F1743"/>
    <mergeCell ref="A1744:A1745"/>
    <mergeCell ref="B1744:B1745"/>
    <mergeCell ref="C1744:C1745"/>
    <mergeCell ref="E1744:F1745"/>
    <mergeCell ref="A1853:B1853"/>
    <mergeCell ref="A1859:B1859"/>
    <mergeCell ref="A1863:F1863"/>
    <mergeCell ref="A1864:A1865"/>
    <mergeCell ref="B1864:B1865"/>
    <mergeCell ref="C1864:C1865"/>
    <mergeCell ref="E1864:F1865"/>
    <mergeCell ref="A1829:B1829"/>
    <mergeCell ref="A1835:B1835"/>
    <mergeCell ref="A1839:F1839"/>
    <mergeCell ref="A1840:A1841"/>
    <mergeCell ref="B1840:B1841"/>
    <mergeCell ref="C1840:C1841"/>
    <mergeCell ref="E1840:F1841"/>
    <mergeCell ref="A1805:B1805"/>
    <mergeCell ref="A1811:B1811"/>
    <mergeCell ref="A1815:F1815"/>
    <mergeCell ref="A1816:A1817"/>
    <mergeCell ref="B1816:B1817"/>
    <mergeCell ref="C1816:C1817"/>
    <mergeCell ref="E1816:F1817"/>
    <mergeCell ref="A1925:B1925"/>
    <mergeCell ref="A1931:B1931"/>
    <mergeCell ref="A1935:F1935"/>
    <mergeCell ref="A1936:A1937"/>
    <mergeCell ref="B1936:B1937"/>
    <mergeCell ref="C1936:C1937"/>
    <mergeCell ref="E1936:F1937"/>
    <mergeCell ref="A1901:B1901"/>
    <mergeCell ref="A1907:B1907"/>
    <mergeCell ref="A1911:F1911"/>
    <mergeCell ref="A1912:A1913"/>
    <mergeCell ref="B1912:B1913"/>
    <mergeCell ref="C1912:C1913"/>
    <mergeCell ref="E1912:F1913"/>
    <mergeCell ref="A1877:B1877"/>
    <mergeCell ref="A1883:B1883"/>
    <mergeCell ref="A1887:F1887"/>
    <mergeCell ref="A1888:A1889"/>
    <mergeCell ref="B1888:B1889"/>
    <mergeCell ref="C1888:C1889"/>
    <mergeCell ref="E1888:F1889"/>
    <mergeCell ref="A1997:B1997"/>
    <mergeCell ref="A2003:B2003"/>
    <mergeCell ref="A2007:F2007"/>
    <mergeCell ref="A2008:A2009"/>
    <mergeCell ref="B2008:B2009"/>
    <mergeCell ref="C2008:C2009"/>
    <mergeCell ref="E2008:F2009"/>
    <mergeCell ref="A1973:B1973"/>
    <mergeCell ref="A1979:B1979"/>
    <mergeCell ref="A1983:F1983"/>
    <mergeCell ref="A1984:A1985"/>
    <mergeCell ref="B1984:B1985"/>
    <mergeCell ref="C1984:C1985"/>
    <mergeCell ref="E1984:F1985"/>
    <mergeCell ref="A1949:B1949"/>
    <mergeCell ref="A1955:B1955"/>
    <mergeCell ref="A1959:F1959"/>
    <mergeCell ref="A1960:A1961"/>
    <mergeCell ref="B1960:B1961"/>
    <mergeCell ref="C1960:C1961"/>
    <mergeCell ref="E1960:F1961"/>
    <mergeCell ref="A2069:B2069"/>
    <mergeCell ref="A2075:B2075"/>
    <mergeCell ref="A2079:F2079"/>
    <mergeCell ref="A2080:A2081"/>
    <mergeCell ref="B2080:B2081"/>
    <mergeCell ref="C2080:C2081"/>
    <mergeCell ref="E2080:F2081"/>
    <mergeCell ref="A2045:B2045"/>
    <mergeCell ref="A2051:B2051"/>
    <mergeCell ref="A2055:F2055"/>
    <mergeCell ref="A2056:A2057"/>
    <mergeCell ref="B2056:B2057"/>
    <mergeCell ref="C2056:C2057"/>
    <mergeCell ref="E2056:F2057"/>
    <mergeCell ref="A2021:B2021"/>
    <mergeCell ref="A2027:B2027"/>
    <mergeCell ref="A2031:F2031"/>
    <mergeCell ref="A2032:A2033"/>
    <mergeCell ref="B2032:B2033"/>
    <mergeCell ref="C2032:C2033"/>
    <mergeCell ref="E2032:F2033"/>
    <mergeCell ref="A2141:B2141"/>
    <mergeCell ref="A2147:B2147"/>
    <mergeCell ref="A2151:F2151"/>
    <mergeCell ref="A2152:A2153"/>
    <mergeCell ref="B2152:B2153"/>
    <mergeCell ref="C2152:C2153"/>
    <mergeCell ref="E2152:F2153"/>
    <mergeCell ref="A2117:B2117"/>
    <mergeCell ref="A2123:B2123"/>
    <mergeCell ref="A2127:F2127"/>
    <mergeCell ref="A2128:A2129"/>
    <mergeCell ref="B2128:B2129"/>
    <mergeCell ref="C2128:C2129"/>
    <mergeCell ref="E2128:F2129"/>
    <mergeCell ref="A2093:B2093"/>
    <mergeCell ref="A2099:B2099"/>
    <mergeCell ref="A2103:F2103"/>
    <mergeCell ref="A2104:A2105"/>
    <mergeCell ref="B2104:B2105"/>
    <mergeCell ref="C2104:C2105"/>
    <mergeCell ref="E2104:F2105"/>
    <mergeCell ref="A2213:B2213"/>
    <mergeCell ref="A2219:B2219"/>
    <mergeCell ref="A2223:F2223"/>
    <mergeCell ref="A2224:A2225"/>
    <mergeCell ref="B2224:B2225"/>
    <mergeCell ref="C2224:C2225"/>
    <mergeCell ref="E2224:F2225"/>
    <mergeCell ref="A2189:B2189"/>
    <mergeCell ref="A2195:B2195"/>
    <mergeCell ref="A2199:F2199"/>
    <mergeCell ref="A2200:A2201"/>
    <mergeCell ref="B2200:B2201"/>
    <mergeCell ref="C2200:C2201"/>
    <mergeCell ref="E2200:F2201"/>
    <mergeCell ref="A2165:B2165"/>
    <mergeCell ref="A2171:B2171"/>
    <mergeCell ref="A2175:F2175"/>
    <mergeCell ref="A2176:A2177"/>
    <mergeCell ref="B2176:B2177"/>
    <mergeCell ref="C2176:C2177"/>
    <mergeCell ref="E2176:F2177"/>
    <mergeCell ref="A2285:B2285"/>
    <mergeCell ref="A2291:B2291"/>
    <mergeCell ref="A2295:F2295"/>
    <mergeCell ref="A2296:A2297"/>
    <mergeCell ref="B2296:B2297"/>
    <mergeCell ref="C2296:C2297"/>
    <mergeCell ref="E2296:F2297"/>
    <mergeCell ref="A2261:B2261"/>
    <mergeCell ref="A2267:B2267"/>
    <mergeCell ref="A2271:F2271"/>
    <mergeCell ref="A2272:A2273"/>
    <mergeCell ref="B2272:B2273"/>
    <mergeCell ref="C2272:C2273"/>
    <mergeCell ref="E2272:F2273"/>
    <mergeCell ref="A2237:B2237"/>
    <mergeCell ref="A2243:B2243"/>
    <mergeCell ref="A2247:F2247"/>
    <mergeCell ref="A2248:A2249"/>
    <mergeCell ref="B2248:B2249"/>
    <mergeCell ref="C2248:C2249"/>
    <mergeCell ref="E2248:F2249"/>
    <mergeCell ref="A2357:B2357"/>
    <mergeCell ref="A2363:B2363"/>
    <mergeCell ref="A2367:F2367"/>
    <mergeCell ref="A2368:A2369"/>
    <mergeCell ref="B2368:B2369"/>
    <mergeCell ref="C2368:C2369"/>
    <mergeCell ref="E2368:F2369"/>
    <mergeCell ref="A2333:B2333"/>
    <mergeCell ref="A2339:B2339"/>
    <mergeCell ref="A2343:F2343"/>
    <mergeCell ref="A2344:A2345"/>
    <mergeCell ref="B2344:B2345"/>
    <mergeCell ref="C2344:C2345"/>
    <mergeCell ref="E2344:F2345"/>
    <mergeCell ref="A2309:B2309"/>
    <mergeCell ref="A2315:B2315"/>
    <mergeCell ref="A2319:F2319"/>
    <mergeCell ref="A2320:A2321"/>
    <mergeCell ref="B2320:B2321"/>
    <mergeCell ref="C2320:C2321"/>
    <mergeCell ref="E2320:F2321"/>
    <mergeCell ref="A2429:B2429"/>
    <mergeCell ref="A2435:B2435"/>
    <mergeCell ref="A2439:F2439"/>
    <mergeCell ref="A2440:A2441"/>
    <mergeCell ref="B2440:B2441"/>
    <mergeCell ref="C2440:C2441"/>
    <mergeCell ref="E2440:F2441"/>
    <mergeCell ref="A2405:B2405"/>
    <mergeCell ref="A2411:B2411"/>
    <mergeCell ref="A2415:F2415"/>
    <mergeCell ref="A2416:A2417"/>
    <mergeCell ref="B2416:B2417"/>
    <mergeCell ref="C2416:C2417"/>
    <mergeCell ref="E2416:F2417"/>
    <mergeCell ref="A2381:B2381"/>
    <mergeCell ref="A2387:B2387"/>
    <mergeCell ref="A2391:F2391"/>
    <mergeCell ref="A2392:A2393"/>
    <mergeCell ref="B2392:B2393"/>
    <mergeCell ref="C2392:C2393"/>
    <mergeCell ref="E2392:F2393"/>
    <mergeCell ref="A2501:B2501"/>
    <mergeCell ref="A2507:B2507"/>
    <mergeCell ref="A2511:F2511"/>
    <mergeCell ref="A2512:A2513"/>
    <mergeCell ref="B2512:B2513"/>
    <mergeCell ref="C2512:C2513"/>
    <mergeCell ref="E2512:F2513"/>
    <mergeCell ref="A2477:B2477"/>
    <mergeCell ref="A2483:B2483"/>
    <mergeCell ref="A2487:F2487"/>
    <mergeCell ref="A2488:A2489"/>
    <mergeCell ref="B2488:B2489"/>
    <mergeCell ref="C2488:C2489"/>
    <mergeCell ref="E2488:F2489"/>
    <mergeCell ref="A2453:B2453"/>
    <mergeCell ref="A2459:B2459"/>
    <mergeCell ref="A2463:F2463"/>
    <mergeCell ref="A2464:A2465"/>
    <mergeCell ref="B2464:B2465"/>
    <mergeCell ref="C2464:C2465"/>
    <mergeCell ref="E2464:F2465"/>
    <mergeCell ref="A2573:B2573"/>
    <mergeCell ref="A2579:B2579"/>
    <mergeCell ref="A2583:F2583"/>
    <mergeCell ref="A2584:A2585"/>
    <mergeCell ref="B2584:B2585"/>
    <mergeCell ref="C2584:C2585"/>
    <mergeCell ref="E2584:F2585"/>
    <mergeCell ref="A2549:B2549"/>
    <mergeCell ref="A2555:B2555"/>
    <mergeCell ref="A2559:F2559"/>
    <mergeCell ref="A2560:A2561"/>
    <mergeCell ref="B2560:B2561"/>
    <mergeCell ref="C2560:C2561"/>
    <mergeCell ref="E2560:F2561"/>
    <mergeCell ref="A2525:B2525"/>
    <mergeCell ref="A2531:B2531"/>
    <mergeCell ref="A2535:F2535"/>
    <mergeCell ref="A2536:A2537"/>
    <mergeCell ref="B2536:B2537"/>
    <mergeCell ref="C2536:C2537"/>
    <mergeCell ref="E2536:F2537"/>
    <mergeCell ref="A2645:B2645"/>
    <mergeCell ref="A2651:B2651"/>
    <mergeCell ref="A2655:F2655"/>
    <mergeCell ref="A2656:A2657"/>
    <mergeCell ref="B2656:B2657"/>
    <mergeCell ref="C2656:C2657"/>
    <mergeCell ref="E2656:F2657"/>
    <mergeCell ref="A2621:B2621"/>
    <mergeCell ref="A2627:B2627"/>
    <mergeCell ref="A2631:F2631"/>
    <mergeCell ref="A2632:A2633"/>
    <mergeCell ref="B2632:B2633"/>
    <mergeCell ref="C2632:C2633"/>
    <mergeCell ref="E2632:F2633"/>
    <mergeCell ref="A2597:B2597"/>
    <mergeCell ref="A2603:B2603"/>
    <mergeCell ref="A2607:F2607"/>
    <mergeCell ref="A2608:A2609"/>
    <mergeCell ref="B2608:B2609"/>
    <mergeCell ref="C2608:C2609"/>
    <mergeCell ref="E2608:F2609"/>
    <mergeCell ref="A2717:B2717"/>
    <mergeCell ref="A2723:B2723"/>
    <mergeCell ref="A2727:F2727"/>
    <mergeCell ref="A2728:A2729"/>
    <mergeCell ref="B2728:B2729"/>
    <mergeCell ref="C2728:C2729"/>
    <mergeCell ref="E2728:F2729"/>
    <mergeCell ref="A2693:B2693"/>
    <mergeCell ref="A2699:B2699"/>
    <mergeCell ref="A2703:F2703"/>
    <mergeCell ref="A2704:A2705"/>
    <mergeCell ref="B2704:B2705"/>
    <mergeCell ref="C2704:C2705"/>
    <mergeCell ref="E2704:F2705"/>
    <mergeCell ref="A2669:B2669"/>
    <mergeCell ref="A2675:B2675"/>
    <mergeCell ref="A2679:F2679"/>
    <mergeCell ref="A2680:A2681"/>
    <mergeCell ref="B2680:B2681"/>
    <mergeCell ref="C2680:C2681"/>
    <mergeCell ref="E2680:F2681"/>
    <mergeCell ref="A2789:B2789"/>
    <mergeCell ref="A2795:B2795"/>
    <mergeCell ref="A2799:F2799"/>
    <mergeCell ref="A2800:A2801"/>
    <mergeCell ref="B2800:B2801"/>
    <mergeCell ref="C2800:C2801"/>
    <mergeCell ref="E2800:F2801"/>
    <mergeCell ref="A2765:B2765"/>
    <mergeCell ref="A2771:B2771"/>
    <mergeCell ref="A2775:F2775"/>
    <mergeCell ref="A2776:A2777"/>
    <mergeCell ref="B2776:B2777"/>
    <mergeCell ref="C2776:C2777"/>
    <mergeCell ref="E2776:F2777"/>
    <mergeCell ref="A2741:B2741"/>
    <mergeCell ref="A2747:B2747"/>
    <mergeCell ref="A2751:F2751"/>
    <mergeCell ref="A2752:A2753"/>
    <mergeCell ref="B2752:B2753"/>
    <mergeCell ref="C2752:C2753"/>
    <mergeCell ref="E2752:F2753"/>
    <mergeCell ref="A2861:B2861"/>
    <mergeCell ref="A2867:B2867"/>
    <mergeCell ref="A2871:F2871"/>
    <mergeCell ref="A2872:A2873"/>
    <mergeCell ref="B2872:B2873"/>
    <mergeCell ref="C2872:C2873"/>
    <mergeCell ref="E2872:F2873"/>
    <mergeCell ref="A2837:B2837"/>
    <mergeCell ref="A2843:B2843"/>
    <mergeCell ref="A2847:F2847"/>
    <mergeCell ref="A2848:A2849"/>
    <mergeCell ref="B2848:B2849"/>
    <mergeCell ref="C2848:C2849"/>
    <mergeCell ref="E2848:F2849"/>
    <mergeCell ref="A2813:B2813"/>
    <mergeCell ref="A2819:B2819"/>
    <mergeCell ref="A2823:F2823"/>
    <mergeCell ref="A2824:A2825"/>
    <mergeCell ref="B2824:B2825"/>
    <mergeCell ref="C2824:C2825"/>
    <mergeCell ref="E2824:F2825"/>
    <mergeCell ref="A2933:B2933"/>
    <mergeCell ref="A2939:B2939"/>
    <mergeCell ref="A2943:F2943"/>
    <mergeCell ref="A2944:A2945"/>
    <mergeCell ref="B2944:B2945"/>
    <mergeCell ref="C2944:C2945"/>
    <mergeCell ref="E2944:F2945"/>
    <mergeCell ref="A2909:B2909"/>
    <mergeCell ref="A2915:B2915"/>
    <mergeCell ref="A2919:F2919"/>
    <mergeCell ref="A2920:A2921"/>
    <mergeCell ref="B2920:B2921"/>
    <mergeCell ref="C2920:C2921"/>
    <mergeCell ref="E2920:F2921"/>
    <mergeCell ref="A2885:B2885"/>
    <mergeCell ref="A2891:B2891"/>
    <mergeCell ref="A2895:F2895"/>
    <mergeCell ref="A2896:A2897"/>
    <mergeCell ref="B2896:B2897"/>
    <mergeCell ref="C2896:C2897"/>
    <mergeCell ref="E2896:F2897"/>
    <mergeCell ref="A3005:B3005"/>
    <mergeCell ref="A3011:B3011"/>
    <mergeCell ref="A3015:F3015"/>
    <mergeCell ref="A3016:A3017"/>
    <mergeCell ref="B3016:B3017"/>
    <mergeCell ref="C3016:C3017"/>
    <mergeCell ref="E3016:F3017"/>
    <mergeCell ref="A2981:B2981"/>
    <mergeCell ref="A2987:B2987"/>
    <mergeCell ref="A2991:F2991"/>
    <mergeCell ref="A2992:A2993"/>
    <mergeCell ref="B2992:B2993"/>
    <mergeCell ref="C2992:C2993"/>
    <mergeCell ref="E2992:F2993"/>
    <mergeCell ref="A2957:B2957"/>
    <mergeCell ref="A2963:B2963"/>
    <mergeCell ref="A2967:F2967"/>
    <mergeCell ref="A2968:A2969"/>
    <mergeCell ref="B2968:B2969"/>
    <mergeCell ref="C2968:C2969"/>
    <mergeCell ref="E2968:F2969"/>
    <mergeCell ref="A3077:B3077"/>
    <mergeCell ref="A3083:B3083"/>
    <mergeCell ref="A3087:F3087"/>
    <mergeCell ref="A3088:A3089"/>
    <mergeCell ref="B3088:B3089"/>
    <mergeCell ref="C3088:C3089"/>
    <mergeCell ref="E3088:F3089"/>
    <mergeCell ref="A3053:B3053"/>
    <mergeCell ref="A3059:B3059"/>
    <mergeCell ref="A3063:F3063"/>
    <mergeCell ref="A3064:A3065"/>
    <mergeCell ref="B3064:B3065"/>
    <mergeCell ref="C3064:C3065"/>
    <mergeCell ref="E3064:F3065"/>
    <mergeCell ref="A3029:B3029"/>
    <mergeCell ref="A3035:B3035"/>
    <mergeCell ref="A3039:F3039"/>
    <mergeCell ref="A3040:A3041"/>
    <mergeCell ref="B3040:B3041"/>
    <mergeCell ref="C3040:C3041"/>
    <mergeCell ref="E3040:F3041"/>
    <mergeCell ref="A3149:B3149"/>
    <mergeCell ref="A3155:B3155"/>
    <mergeCell ref="A3159:F3159"/>
    <mergeCell ref="A3160:A3161"/>
    <mergeCell ref="B3160:B3161"/>
    <mergeCell ref="C3160:C3161"/>
    <mergeCell ref="E3160:F3161"/>
    <mergeCell ref="A3125:B3125"/>
    <mergeCell ref="A3131:B3131"/>
    <mergeCell ref="A3135:F3135"/>
    <mergeCell ref="A3136:A3137"/>
    <mergeCell ref="B3136:B3137"/>
    <mergeCell ref="C3136:C3137"/>
    <mergeCell ref="E3136:F3137"/>
    <mergeCell ref="A3101:B3101"/>
    <mergeCell ref="A3107:B3107"/>
    <mergeCell ref="A3111:F3111"/>
    <mergeCell ref="A3112:A3113"/>
    <mergeCell ref="B3112:B3113"/>
    <mergeCell ref="C3112:C3113"/>
    <mergeCell ref="E3112:F3113"/>
    <mergeCell ref="A3221:B3221"/>
    <mergeCell ref="A3227:B3227"/>
    <mergeCell ref="A3231:F3231"/>
    <mergeCell ref="A3232:A3233"/>
    <mergeCell ref="B3232:B3233"/>
    <mergeCell ref="C3232:C3233"/>
    <mergeCell ref="E3232:F3233"/>
    <mergeCell ref="A3197:B3197"/>
    <mergeCell ref="A3203:B3203"/>
    <mergeCell ref="A3207:F3207"/>
    <mergeCell ref="A3208:A3209"/>
    <mergeCell ref="B3208:B3209"/>
    <mergeCell ref="C3208:C3209"/>
    <mergeCell ref="E3208:F3209"/>
    <mergeCell ref="A3173:B3173"/>
    <mergeCell ref="A3179:B3179"/>
    <mergeCell ref="A3183:F3183"/>
    <mergeCell ref="A3184:A3185"/>
    <mergeCell ref="B3184:B3185"/>
    <mergeCell ref="C3184:C3185"/>
    <mergeCell ref="E3184:F3185"/>
    <mergeCell ref="A3293:B3293"/>
    <mergeCell ref="A3299:B3299"/>
    <mergeCell ref="A3303:F3303"/>
    <mergeCell ref="A3304:A3305"/>
    <mergeCell ref="B3304:B3305"/>
    <mergeCell ref="C3304:C3305"/>
    <mergeCell ref="E3304:F3305"/>
    <mergeCell ref="A3269:B3269"/>
    <mergeCell ref="A3275:B3275"/>
    <mergeCell ref="A3279:F3279"/>
    <mergeCell ref="A3280:A3281"/>
    <mergeCell ref="B3280:B3281"/>
    <mergeCell ref="C3280:C3281"/>
    <mergeCell ref="E3280:F3281"/>
    <mergeCell ref="A3245:B3245"/>
    <mergeCell ref="A3251:B3251"/>
    <mergeCell ref="A3255:F3255"/>
    <mergeCell ref="A3256:A3257"/>
    <mergeCell ref="B3256:B3257"/>
    <mergeCell ref="C3256:C3257"/>
    <mergeCell ref="E3256:F3257"/>
    <mergeCell ref="A3365:B3365"/>
    <mergeCell ref="A3371:B3371"/>
    <mergeCell ref="A3375:F3375"/>
    <mergeCell ref="A3376:A3377"/>
    <mergeCell ref="B3376:B3377"/>
    <mergeCell ref="C3376:C3377"/>
    <mergeCell ref="E3376:F3377"/>
    <mergeCell ref="A3341:B3341"/>
    <mergeCell ref="A3347:B3347"/>
    <mergeCell ref="A3351:F3351"/>
    <mergeCell ref="A3352:A3353"/>
    <mergeCell ref="B3352:B3353"/>
    <mergeCell ref="C3352:C3353"/>
    <mergeCell ref="E3352:F3353"/>
    <mergeCell ref="A3317:B3317"/>
    <mergeCell ref="A3323:B3323"/>
    <mergeCell ref="A3327:F3327"/>
    <mergeCell ref="A3328:A3329"/>
    <mergeCell ref="B3328:B3329"/>
    <mergeCell ref="C3328:C3329"/>
    <mergeCell ref="E3328:F3329"/>
    <mergeCell ref="A3437:B3437"/>
    <mergeCell ref="A3443:B3443"/>
    <mergeCell ref="A3447:F3447"/>
    <mergeCell ref="A3448:A3449"/>
    <mergeCell ref="B3448:B3449"/>
    <mergeCell ref="C3448:C3449"/>
    <mergeCell ref="E3448:F3449"/>
    <mergeCell ref="A3413:B3413"/>
    <mergeCell ref="A3419:B3419"/>
    <mergeCell ref="A3423:F3423"/>
    <mergeCell ref="A3424:A3425"/>
    <mergeCell ref="B3424:B3425"/>
    <mergeCell ref="C3424:C3425"/>
    <mergeCell ref="E3424:F3425"/>
    <mergeCell ref="A3389:B3389"/>
    <mergeCell ref="A3395:B3395"/>
    <mergeCell ref="A3399:F3399"/>
    <mergeCell ref="A3400:A3401"/>
    <mergeCell ref="B3400:B3401"/>
    <mergeCell ref="C3400:C3401"/>
    <mergeCell ref="E3400:F3401"/>
    <mergeCell ref="A3509:B3509"/>
    <mergeCell ref="A3515:B3515"/>
    <mergeCell ref="A3519:F3519"/>
    <mergeCell ref="A3520:A3521"/>
    <mergeCell ref="B3520:B3521"/>
    <mergeCell ref="C3520:C3521"/>
    <mergeCell ref="E3520:F3521"/>
    <mergeCell ref="A3485:B3485"/>
    <mergeCell ref="A3491:B3491"/>
    <mergeCell ref="A3495:F3495"/>
    <mergeCell ref="A3496:A3497"/>
    <mergeCell ref="B3496:B3497"/>
    <mergeCell ref="C3496:C3497"/>
    <mergeCell ref="E3496:F3497"/>
    <mergeCell ref="A3461:B3461"/>
    <mergeCell ref="A3467:B3467"/>
    <mergeCell ref="A3471:F3471"/>
    <mergeCell ref="A3472:A3473"/>
    <mergeCell ref="B3472:B3473"/>
    <mergeCell ref="C3472:C3473"/>
    <mergeCell ref="E3472:F3473"/>
    <mergeCell ref="A3581:B3581"/>
    <mergeCell ref="A3587:B3587"/>
    <mergeCell ref="A3591:F3591"/>
    <mergeCell ref="A3592:A3593"/>
    <mergeCell ref="B3592:B3593"/>
    <mergeCell ref="C3592:C3593"/>
    <mergeCell ref="E3592:F3593"/>
    <mergeCell ref="A3557:B3557"/>
    <mergeCell ref="A3563:B3563"/>
    <mergeCell ref="A3567:F3567"/>
    <mergeCell ref="A3568:A3569"/>
    <mergeCell ref="B3568:B3569"/>
    <mergeCell ref="C3568:C3569"/>
    <mergeCell ref="E3568:F3569"/>
    <mergeCell ref="A3533:B3533"/>
    <mergeCell ref="A3539:B3539"/>
    <mergeCell ref="A3543:F3543"/>
    <mergeCell ref="A3544:A3545"/>
    <mergeCell ref="B3544:B3545"/>
    <mergeCell ref="C3544:C3545"/>
    <mergeCell ref="E3544:F3545"/>
    <mergeCell ref="A3653:B3653"/>
    <mergeCell ref="A3659:B3659"/>
    <mergeCell ref="A3663:F3663"/>
    <mergeCell ref="A3664:A3665"/>
    <mergeCell ref="B3664:B3665"/>
    <mergeCell ref="C3664:C3665"/>
    <mergeCell ref="E3664:F3665"/>
    <mergeCell ref="A3629:B3629"/>
    <mergeCell ref="A3635:B3635"/>
    <mergeCell ref="A3639:F3639"/>
    <mergeCell ref="A3640:A3641"/>
    <mergeCell ref="B3640:B3641"/>
    <mergeCell ref="C3640:C3641"/>
    <mergeCell ref="E3640:F3641"/>
    <mergeCell ref="A3605:B3605"/>
    <mergeCell ref="A3611:B3611"/>
    <mergeCell ref="A3615:F3615"/>
    <mergeCell ref="A3616:A3617"/>
    <mergeCell ref="B3616:B3617"/>
    <mergeCell ref="C3616:C3617"/>
    <mergeCell ref="E3616:F3617"/>
    <mergeCell ref="A3725:B3725"/>
    <mergeCell ref="A3731:B3731"/>
    <mergeCell ref="A3735:F3735"/>
    <mergeCell ref="A3736:A3737"/>
    <mergeCell ref="B3736:B3737"/>
    <mergeCell ref="C3736:C3737"/>
    <mergeCell ref="E3736:F3737"/>
    <mergeCell ref="A3701:B3701"/>
    <mergeCell ref="A3707:B3707"/>
    <mergeCell ref="A3711:F3711"/>
    <mergeCell ref="A3712:A3713"/>
    <mergeCell ref="B3712:B3713"/>
    <mergeCell ref="C3712:C3713"/>
    <mergeCell ref="E3712:F3713"/>
    <mergeCell ref="A3677:B3677"/>
    <mergeCell ref="A3683:B3683"/>
    <mergeCell ref="A3687:F3687"/>
    <mergeCell ref="A3688:A3689"/>
    <mergeCell ref="B3688:B3689"/>
    <mergeCell ref="C3688:C3689"/>
    <mergeCell ref="E3688:F3689"/>
    <mergeCell ref="A3797:B3797"/>
    <mergeCell ref="A3803:B3803"/>
    <mergeCell ref="A3807:F3807"/>
    <mergeCell ref="A3808:A3809"/>
    <mergeCell ref="B3808:B3809"/>
    <mergeCell ref="C3808:C3809"/>
    <mergeCell ref="E3808:F3809"/>
    <mergeCell ref="A3773:B3773"/>
    <mergeCell ref="A3779:B3779"/>
    <mergeCell ref="A3783:F3783"/>
    <mergeCell ref="A3784:A3785"/>
    <mergeCell ref="B3784:B3785"/>
    <mergeCell ref="C3784:C3785"/>
    <mergeCell ref="E3784:F3785"/>
    <mergeCell ref="A3749:B3749"/>
    <mergeCell ref="A3755:B3755"/>
    <mergeCell ref="A3759:F3759"/>
    <mergeCell ref="A3760:A3761"/>
    <mergeCell ref="B3760:B3761"/>
    <mergeCell ref="C3760:C3761"/>
    <mergeCell ref="E3760:F3761"/>
    <mergeCell ref="A3869:B3869"/>
    <mergeCell ref="A3875:B3875"/>
    <mergeCell ref="A3879:F3879"/>
    <mergeCell ref="A3880:A3881"/>
    <mergeCell ref="B3880:B3881"/>
    <mergeCell ref="C3880:C3881"/>
    <mergeCell ref="E3880:F3881"/>
    <mergeCell ref="A3845:B3845"/>
    <mergeCell ref="A3851:B3851"/>
    <mergeCell ref="A3855:F3855"/>
    <mergeCell ref="A3856:A3857"/>
    <mergeCell ref="B3856:B3857"/>
    <mergeCell ref="C3856:C3857"/>
    <mergeCell ref="E3856:F3857"/>
    <mergeCell ref="A3821:B3821"/>
    <mergeCell ref="A3827:B3827"/>
    <mergeCell ref="A3831:F3831"/>
    <mergeCell ref="A3832:A3833"/>
    <mergeCell ref="B3832:B3833"/>
    <mergeCell ref="C3832:C3833"/>
    <mergeCell ref="E3832:F3833"/>
    <mergeCell ref="A3941:B3941"/>
    <mergeCell ref="A3947:B3947"/>
    <mergeCell ref="A3951:F3951"/>
    <mergeCell ref="A3952:A3953"/>
    <mergeCell ref="B3952:B3953"/>
    <mergeCell ref="C3952:C3953"/>
    <mergeCell ref="E3952:F3953"/>
    <mergeCell ref="A3917:B3917"/>
    <mergeCell ref="A3923:B3923"/>
    <mergeCell ref="A3927:F3927"/>
    <mergeCell ref="A3928:A3929"/>
    <mergeCell ref="B3928:B3929"/>
    <mergeCell ref="C3928:C3929"/>
    <mergeCell ref="E3928:F3929"/>
    <mergeCell ref="A3893:B3893"/>
    <mergeCell ref="A3899:B3899"/>
    <mergeCell ref="A3903:F3903"/>
    <mergeCell ref="A3904:A3905"/>
    <mergeCell ref="B3904:B3905"/>
    <mergeCell ref="C3904:C3905"/>
    <mergeCell ref="E3904:F3905"/>
    <mergeCell ref="A4013:B4013"/>
    <mergeCell ref="A4019:B4019"/>
    <mergeCell ref="A4023:F4023"/>
    <mergeCell ref="A4024:A4025"/>
    <mergeCell ref="B4024:B4025"/>
    <mergeCell ref="C4024:C4025"/>
    <mergeCell ref="E4024:F4025"/>
    <mergeCell ref="A3989:B3989"/>
    <mergeCell ref="A3995:B3995"/>
    <mergeCell ref="A3999:F3999"/>
    <mergeCell ref="A4000:A4001"/>
    <mergeCell ref="B4000:B4001"/>
    <mergeCell ref="C4000:C4001"/>
    <mergeCell ref="E4000:F4001"/>
    <mergeCell ref="A3965:B3965"/>
    <mergeCell ref="A3971:B3971"/>
    <mergeCell ref="A3975:F3975"/>
    <mergeCell ref="A3976:A3977"/>
    <mergeCell ref="B3976:B3977"/>
    <mergeCell ref="C3976:C3977"/>
    <mergeCell ref="E3976:F3977"/>
    <mergeCell ref="A4085:B4085"/>
    <mergeCell ref="A4091:B4091"/>
    <mergeCell ref="A4095:F4095"/>
    <mergeCell ref="A4096:A4097"/>
    <mergeCell ref="B4096:B4097"/>
    <mergeCell ref="C4096:C4097"/>
    <mergeCell ref="E4096:F4097"/>
    <mergeCell ref="A4061:B4061"/>
    <mergeCell ref="A4067:B4067"/>
    <mergeCell ref="A4071:F4071"/>
    <mergeCell ref="A4072:A4073"/>
    <mergeCell ref="B4072:B4073"/>
    <mergeCell ref="C4072:C4073"/>
    <mergeCell ref="E4072:F4073"/>
    <mergeCell ref="A4037:B4037"/>
    <mergeCell ref="A4043:B4043"/>
    <mergeCell ref="A4047:F4047"/>
    <mergeCell ref="A4048:A4049"/>
    <mergeCell ref="B4048:B4049"/>
    <mergeCell ref="C4048:C4049"/>
    <mergeCell ref="E4048:F4049"/>
    <mergeCell ref="A4157:B4157"/>
    <mergeCell ref="A4163:B4163"/>
    <mergeCell ref="A4167:F4167"/>
    <mergeCell ref="A4168:A4169"/>
    <mergeCell ref="B4168:B4169"/>
    <mergeCell ref="C4168:C4169"/>
    <mergeCell ref="E4168:F4169"/>
    <mergeCell ref="A4133:B4133"/>
    <mergeCell ref="A4139:B4139"/>
    <mergeCell ref="A4143:F4143"/>
    <mergeCell ref="A4144:A4145"/>
    <mergeCell ref="B4144:B4145"/>
    <mergeCell ref="C4144:C4145"/>
    <mergeCell ref="E4144:F4145"/>
    <mergeCell ref="A4109:B4109"/>
    <mergeCell ref="A4115:B4115"/>
    <mergeCell ref="A4119:F4119"/>
    <mergeCell ref="A4120:A4121"/>
    <mergeCell ref="B4120:B4121"/>
    <mergeCell ref="C4120:C4121"/>
    <mergeCell ref="E4120:F4121"/>
    <mergeCell ref="A4229:B4229"/>
    <mergeCell ref="A4235:B4235"/>
    <mergeCell ref="A4239:F4239"/>
    <mergeCell ref="A4240:A4241"/>
    <mergeCell ref="B4240:B4241"/>
    <mergeCell ref="C4240:C4241"/>
    <mergeCell ref="E4240:F4241"/>
    <mergeCell ref="A4205:B4205"/>
    <mergeCell ref="A4211:B4211"/>
    <mergeCell ref="A4215:F4215"/>
    <mergeCell ref="A4216:A4217"/>
    <mergeCell ref="B4216:B4217"/>
    <mergeCell ref="C4216:C4217"/>
    <mergeCell ref="E4216:F4217"/>
    <mergeCell ref="A4181:B4181"/>
    <mergeCell ref="A4187:B4187"/>
    <mergeCell ref="A4191:F4191"/>
    <mergeCell ref="A4192:A4193"/>
    <mergeCell ref="B4192:B4193"/>
    <mergeCell ref="C4192:C4193"/>
    <mergeCell ref="E4192:F4193"/>
    <mergeCell ref="A4301:B4301"/>
    <mergeCell ref="A4307:B4307"/>
    <mergeCell ref="A4311:F4311"/>
    <mergeCell ref="A4312:A4313"/>
    <mergeCell ref="B4312:B4313"/>
    <mergeCell ref="C4312:C4313"/>
    <mergeCell ref="E4312:F4313"/>
    <mergeCell ref="A4277:B4277"/>
    <mergeCell ref="A4283:B4283"/>
    <mergeCell ref="A4287:F4287"/>
    <mergeCell ref="A4288:A4289"/>
    <mergeCell ref="B4288:B4289"/>
    <mergeCell ref="C4288:C4289"/>
    <mergeCell ref="E4288:F4289"/>
    <mergeCell ref="A4253:B4253"/>
    <mergeCell ref="A4259:B4259"/>
    <mergeCell ref="A4263:F4263"/>
    <mergeCell ref="A4264:A4265"/>
    <mergeCell ref="B4264:B4265"/>
    <mergeCell ref="C4264:C4265"/>
    <mergeCell ref="E4264:F4265"/>
    <mergeCell ref="A4373:B4373"/>
    <mergeCell ref="A4379:B4379"/>
    <mergeCell ref="A4383:F4383"/>
    <mergeCell ref="A4384:A4385"/>
    <mergeCell ref="B4384:B4385"/>
    <mergeCell ref="C4384:C4385"/>
    <mergeCell ref="E4384:F4385"/>
    <mergeCell ref="A4349:B4349"/>
    <mergeCell ref="A4355:B4355"/>
    <mergeCell ref="A4359:F4359"/>
    <mergeCell ref="A4360:A4361"/>
    <mergeCell ref="B4360:B4361"/>
    <mergeCell ref="C4360:C4361"/>
    <mergeCell ref="E4360:F4361"/>
    <mergeCell ref="A4325:B4325"/>
    <mergeCell ref="A4331:B4331"/>
    <mergeCell ref="A4335:F4335"/>
    <mergeCell ref="A4336:A4337"/>
    <mergeCell ref="B4336:B4337"/>
    <mergeCell ref="C4336:C4337"/>
    <mergeCell ref="E4336:F4337"/>
    <mergeCell ref="A4445:B4445"/>
    <mergeCell ref="A4451:B4451"/>
    <mergeCell ref="A4455:F4455"/>
    <mergeCell ref="A4456:A4457"/>
    <mergeCell ref="B4456:B4457"/>
    <mergeCell ref="C4456:C4457"/>
    <mergeCell ref="E4456:F4457"/>
    <mergeCell ref="A4421:B4421"/>
    <mergeCell ref="A4427:B4427"/>
    <mergeCell ref="A4431:F4431"/>
    <mergeCell ref="A4432:A4433"/>
    <mergeCell ref="B4432:B4433"/>
    <mergeCell ref="C4432:C4433"/>
    <mergeCell ref="E4432:F4433"/>
    <mergeCell ref="A4397:B4397"/>
    <mergeCell ref="A4403:B4403"/>
    <mergeCell ref="A4407:F4407"/>
    <mergeCell ref="A4408:A4409"/>
    <mergeCell ref="B4408:B4409"/>
    <mergeCell ref="C4408:C4409"/>
    <mergeCell ref="E4408:F4409"/>
    <mergeCell ref="A4517:B4517"/>
    <mergeCell ref="A4523:B4523"/>
    <mergeCell ref="A4527:F4527"/>
    <mergeCell ref="A4528:A4529"/>
    <mergeCell ref="B4528:B4529"/>
    <mergeCell ref="C4528:C4529"/>
    <mergeCell ref="E4528:F4529"/>
    <mergeCell ref="A4493:B4493"/>
    <mergeCell ref="A4499:B4499"/>
    <mergeCell ref="A4503:F4503"/>
    <mergeCell ref="A4504:A4505"/>
    <mergeCell ref="B4504:B4505"/>
    <mergeCell ref="C4504:C4505"/>
    <mergeCell ref="E4504:F4505"/>
    <mergeCell ref="A4469:B4469"/>
    <mergeCell ref="A4475:B4475"/>
    <mergeCell ref="A4479:F4479"/>
    <mergeCell ref="A4480:A4481"/>
    <mergeCell ref="B4480:B4481"/>
    <mergeCell ref="C4480:C4481"/>
    <mergeCell ref="E4480:F4481"/>
    <mergeCell ref="A4589:B4589"/>
    <mergeCell ref="A4595:B4595"/>
    <mergeCell ref="A4599:F4599"/>
    <mergeCell ref="A4600:A4601"/>
    <mergeCell ref="B4600:B4601"/>
    <mergeCell ref="C4600:C4601"/>
    <mergeCell ref="E4600:F4601"/>
    <mergeCell ref="A4565:B4565"/>
    <mergeCell ref="A4571:B4571"/>
    <mergeCell ref="A4575:F4575"/>
    <mergeCell ref="A4576:A4577"/>
    <mergeCell ref="B4576:B4577"/>
    <mergeCell ref="C4576:C4577"/>
    <mergeCell ref="E4576:F4577"/>
    <mergeCell ref="A4541:B4541"/>
    <mergeCell ref="A4547:B4547"/>
    <mergeCell ref="A4551:F4551"/>
    <mergeCell ref="A4552:A4553"/>
    <mergeCell ref="B4552:B4553"/>
    <mergeCell ref="C4552:C4553"/>
    <mergeCell ref="E4552:F4553"/>
    <mergeCell ref="A4661:B4661"/>
    <mergeCell ref="A4667:B4667"/>
    <mergeCell ref="A4671:F4671"/>
    <mergeCell ref="A4672:A4673"/>
    <mergeCell ref="B4672:B4673"/>
    <mergeCell ref="C4672:C4673"/>
    <mergeCell ref="E4672:F4673"/>
    <mergeCell ref="A4637:B4637"/>
    <mergeCell ref="A4643:B4643"/>
    <mergeCell ref="A4647:F4647"/>
    <mergeCell ref="A4648:A4649"/>
    <mergeCell ref="B4648:B4649"/>
    <mergeCell ref="C4648:C4649"/>
    <mergeCell ref="E4648:F4649"/>
    <mergeCell ref="A4613:B4613"/>
    <mergeCell ref="A4619:B4619"/>
    <mergeCell ref="A4623:F4623"/>
    <mergeCell ref="A4624:A4625"/>
    <mergeCell ref="B4624:B4625"/>
    <mergeCell ref="C4624:C4625"/>
    <mergeCell ref="E4624:F4625"/>
    <mergeCell ref="A4733:B4733"/>
    <mergeCell ref="A4739:B4739"/>
    <mergeCell ref="A4743:F4743"/>
    <mergeCell ref="A4744:A4745"/>
    <mergeCell ref="B4744:B4745"/>
    <mergeCell ref="C4744:C4745"/>
    <mergeCell ref="E4744:F4745"/>
    <mergeCell ref="A4709:B4709"/>
    <mergeCell ref="A4715:B4715"/>
    <mergeCell ref="A4719:F4719"/>
    <mergeCell ref="A4720:A4721"/>
    <mergeCell ref="B4720:B4721"/>
    <mergeCell ref="C4720:C4721"/>
    <mergeCell ref="E4720:F4721"/>
    <mergeCell ref="A4685:B4685"/>
    <mergeCell ref="A4691:B4691"/>
    <mergeCell ref="A4695:F4695"/>
    <mergeCell ref="A4696:A4697"/>
    <mergeCell ref="B4696:B4697"/>
    <mergeCell ref="C4696:C4697"/>
    <mergeCell ref="E4696:F4697"/>
    <mergeCell ref="A4805:B4805"/>
    <mergeCell ref="A4811:B4811"/>
    <mergeCell ref="A4815:F4815"/>
    <mergeCell ref="A4816:A4817"/>
    <mergeCell ref="B4816:B4817"/>
    <mergeCell ref="C4816:C4817"/>
    <mergeCell ref="E4816:F4817"/>
    <mergeCell ref="A4781:B4781"/>
    <mergeCell ref="A4787:B4787"/>
    <mergeCell ref="A4791:F4791"/>
    <mergeCell ref="A4792:A4793"/>
    <mergeCell ref="B4792:B4793"/>
    <mergeCell ref="C4792:C4793"/>
    <mergeCell ref="E4792:F4793"/>
    <mergeCell ref="A4757:B4757"/>
    <mergeCell ref="A4763:B4763"/>
    <mergeCell ref="A4767:F4767"/>
    <mergeCell ref="A4768:A4769"/>
    <mergeCell ref="B4768:B4769"/>
    <mergeCell ref="C4768:C4769"/>
    <mergeCell ref="E4768:F4769"/>
    <mergeCell ref="A4877:B4877"/>
    <mergeCell ref="A4883:B4883"/>
    <mergeCell ref="A4887:F4887"/>
    <mergeCell ref="A4888:A4889"/>
    <mergeCell ref="B4888:B4889"/>
    <mergeCell ref="C4888:C4889"/>
    <mergeCell ref="E4888:F4889"/>
    <mergeCell ref="A4853:B4853"/>
    <mergeCell ref="A4859:B4859"/>
    <mergeCell ref="A4863:F4863"/>
    <mergeCell ref="A4864:A4865"/>
    <mergeCell ref="B4864:B4865"/>
    <mergeCell ref="C4864:C4865"/>
    <mergeCell ref="E4864:F4865"/>
    <mergeCell ref="A4829:B4829"/>
    <mergeCell ref="A4835:B4835"/>
    <mergeCell ref="A4839:F4839"/>
    <mergeCell ref="A4840:A4841"/>
    <mergeCell ref="B4840:B4841"/>
    <mergeCell ref="C4840:C4841"/>
    <mergeCell ref="E4840:F4841"/>
    <mergeCell ref="A4949:B4949"/>
    <mergeCell ref="A4955:B4955"/>
    <mergeCell ref="A4959:F4959"/>
    <mergeCell ref="A4960:A4961"/>
    <mergeCell ref="B4960:B4961"/>
    <mergeCell ref="C4960:C4961"/>
    <mergeCell ref="E4960:F4961"/>
    <mergeCell ref="A4925:B4925"/>
    <mergeCell ref="A4931:B4931"/>
    <mergeCell ref="A4935:F4935"/>
    <mergeCell ref="A4936:A4937"/>
    <mergeCell ref="B4936:B4937"/>
    <mergeCell ref="C4936:C4937"/>
    <mergeCell ref="E4936:F4937"/>
    <mergeCell ref="A4901:B4901"/>
    <mergeCell ref="A4907:B4907"/>
    <mergeCell ref="A4911:F4911"/>
    <mergeCell ref="A4912:A4913"/>
    <mergeCell ref="B4912:B4913"/>
    <mergeCell ref="C4912:C4913"/>
    <mergeCell ref="E4912:F4913"/>
    <mergeCell ref="A5021:B5021"/>
    <mergeCell ref="A5027:B5027"/>
    <mergeCell ref="A5031:F5031"/>
    <mergeCell ref="A5032:A5033"/>
    <mergeCell ref="B5032:B5033"/>
    <mergeCell ref="C5032:C5033"/>
    <mergeCell ref="E5032:F5033"/>
    <mergeCell ref="A4997:B4997"/>
    <mergeCell ref="A5003:B5003"/>
    <mergeCell ref="A5007:F5007"/>
    <mergeCell ref="A5008:A5009"/>
    <mergeCell ref="B5008:B5009"/>
    <mergeCell ref="C5008:C5009"/>
    <mergeCell ref="E5008:F5009"/>
    <mergeCell ref="A4973:B4973"/>
    <mergeCell ref="A4979:B4979"/>
    <mergeCell ref="A4983:F4983"/>
    <mergeCell ref="A4984:A4985"/>
    <mergeCell ref="B4984:B4985"/>
    <mergeCell ref="C4984:C4985"/>
    <mergeCell ref="E4984:F4985"/>
    <mergeCell ref="A5093:B5093"/>
    <mergeCell ref="A5099:B5099"/>
    <mergeCell ref="A5103:F5103"/>
    <mergeCell ref="A5104:A5105"/>
    <mergeCell ref="B5104:B5105"/>
    <mergeCell ref="C5104:C5105"/>
    <mergeCell ref="E5104:F5105"/>
    <mergeCell ref="A5069:B5069"/>
    <mergeCell ref="A5075:B5075"/>
    <mergeCell ref="A5079:F5079"/>
    <mergeCell ref="A5080:A5081"/>
    <mergeCell ref="B5080:B5081"/>
    <mergeCell ref="C5080:C5081"/>
    <mergeCell ref="E5080:F5081"/>
    <mergeCell ref="A5045:B5045"/>
    <mergeCell ref="A5051:B5051"/>
    <mergeCell ref="A5055:F5055"/>
    <mergeCell ref="A5056:A5057"/>
    <mergeCell ref="B5056:B5057"/>
    <mergeCell ref="C5056:C5057"/>
    <mergeCell ref="E5056:F5057"/>
    <mergeCell ref="A5165:B5165"/>
    <mergeCell ref="A5171:B5171"/>
    <mergeCell ref="A5175:F5175"/>
    <mergeCell ref="A5176:A5177"/>
    <mergeCell ref="B5176:B5177"/>
    <mergeCell ref="C5176:C5177"/>
    <mergeCell ref="E5176:F5177"/>
    <mergeCell ref="A5141:B5141"/>
    <mergeCell ref="A5147:B5147"/>
    <mergeCell ref="A5151:F5151"/>
    <mergeCell ref="A5152:A5153"/>
    <mergeCell ref="B5152:B5153"/>
    <mergeCell ref="C5152:C5153"/>
    <mergeCell ref="E5152:F5153"/>
    <mergeCell ref="A5117:B5117"/>
    <mergeCell ref="A5123:B5123"/>
    <mergeCell ref="A5127:F5127"/>
    <mergeCell ref="A5128:A5129"/>
    <mergeCell ref="B5128:B5129"/>
    <mergeCell ref="C5128:C5129"/>
    <mergeCell ref="E5128:F5129"/>
    <mergeCell ref="A5237:B5237"/>
    <mergeCell ref="A5243:B5243"/>
    <mergeCell ref="A5247:F5247"/>
    <mergeCell ref="A5248:A5249"/>
    <mergeCell ref="B5248:B5249"/>
    <mergeCell ref="C5248:C5249"/>
    <mergeCell ref="E5248:F5249"/>
    <mergeCell ref="A5213:B5213"/>
    <mergeCell ref="A5219:B5219"/>
    <mergeCell ref="A5223:F5223"/>
    <mergeCell ref="A5224:A5225"/>
    <mergeCell ref="B5224:B5225"/>
    <mergeCell ref="C5224:C5225"/>
    <mergeCell ref="E5224:F5225"/>
    <mergeCell ref="A5189:B5189"/>
    <mergeCell ref="A5195:B5195"/>
    <mergeCell ref="A5199:F5199"/>
    <mergeCell ref="A5200:A5201"/>
    <mergeCell ref="B5200:B5201"/>
    <mergeCell ref="C5200:C5201"/>
    <mergeCell ref="E5200:F5201"/>
    <mergeCell ref="A5309:B5309"/>
    <mergeCell ref="A5315:B5315"/>
    <mergeCell ref="A5319:F5319"/>
    <mergeCell ref="A5320:A5321"/>
    <mergeCell ref="B5320:B5321"/>
    <mergeCell ref="C5320:C5321"/>
    <mergeCell ref="E5320:F5321"/>
    <mergeCell ref="A5285:B5285"/>
    <mergeCell ref="A5291:B5291"/>
    <mergeCell ref="A5295:F5295"/>
    <mergeCell ref="A5296:A5297"/>
    <mergeCell ref="B5296:B5297"/>
    <mergeCell ref="C5296:C5297"/>
    <mergeCell ref="E5296:F5297"/>
    <mergeCell ref="A5261:B5261"/>
    <mergeCell ref="A5267:B5267"/>
    <mergeCell ref="A5271:F5271"/>
    <mergeCell ref="A5272:A5273"/>
    <mergeCell ref="B5272:B5273"/>
    <mergeCell ref="C5272:C5273"/>
    <mergeCell ref="E5272:F5273"/>
    <mergeCell ref="A5381:B5381"/>
    <mergeCell ref="A5387:B5387"/>
    <mergeCell ref="A5391:F5391"/>
    <mergeCell ref="A5392:A5393"/>
    <mergeCell ref="B5392:B5393"/>
    <mergeCell ref="C5392:C5393"/>
    <mergeCell ref="E5392:F5393"/>
    <mergeCell ref="A5357:B5357"/>
    <mergeCell ref="A5363:B5363"/>
    <mergeCell ref="A5367:F5367"/>
    <mergeCell ref="A5368:A5369"/>
    <mergeCell ref="B5368:B5369"/>
    <mergeCell ref="C5368:C5369"/>
    <mergeCell ref="E5368:F5369"/>
    <mergeCell ref="A5333:B5333"/>
    <mergeCell ref="A5339:B5339"/>
    <mergeCell ref="A5343:F5343"/>
    <mergeCell ref="A5344:A5345"/>
    <mergeCell ref="B5344:B5345"/>
    <mergeCell ref="C5344:C5345"/>
    <mergeCell ref="E5344:F5345"/>
    <mergeCell ref="A5453:B5453"/>
    <mergeCell ref="A5459:B5459"/>
    <mergeCell ref="A5463:F5463"/>
    <mergeCell ref="A5464:A5465"/>
    <mergeCell ref="B5464:B5465"/>
    <mergeCell ref="C5464:C5465"/>
    <mergeCell ref="E5464:F5465"/>
    <mergeCell ref="A5429:B5429"/>
    <mergeCell ref="A5435:B5435"/>
    <mergeCell ref="A5439:F5439"/>
    <mergeCell ref="A5440:A5441"/>
    <mergeCell ref="B5440:B5441"/>
    <mergeCell ref="C5440:C5441"/>
    <mergeCell ref="E5440:F5441"/>
    <mergeCell ref="A5405:B5405"/>
    <mergeCell ref="A5411:B5411"/>
    <mergeCell ref="A5415:F5415"/>
    <mergeCell ref="A5416:A5417"/>
    <mergeCell ref="B5416:B5417"/>
    <mergeCell ref="C5416:C5417"/>
    <mergeCell ref="E5416:F5417"/>
    <mergeCell ref="A5525:B5525"/>
    <mergeCell ref="A5531:B5531"/>
    <mergeCell ref="A5535:F5535"/>
    <mergeCell ref="A5536:A5537"/>
    <mergeCell ref="B5536:B5537"/>
    <mergeCell ref="C5536:C5537"/>
    <mergeCell ref="E5536:F5537"/>
    <mergeCell ref="A5501:B5501"/>
    <mergeCell ref="A5507:B5507"/>
    <mergeCell ref="A5511:F5511"/>
    <mergeCell ref="A5512:A5513"/>
    <mergeCell ref="B5512:B5513"/>
    <mergeCell ref="C5512:C5513"/>
    <mergeCell ref="E5512:F5513"/>
    <mergeCell ref="A5477:B5477"/>
    <mergeCell ref="A5483:B5483"/>
    <mergeCell ref="A5487:F5487"/>
    <mergeCell ref="A5488:A5489"/>
    <mergeCell ref="B5488:B5489"/>
    <mergeCell ref="C5488:C5489"/>
    <mergeCell ref="E5488:F5489"/>
    <mergeCell ref="A5597:B5597"/>
    <mergeCell ref="A5603:B5603"/>
    <mergeCell ref="A5607:F5607"/>
    <mergeCell ref="A5608:A5609"/>
    <mergeCell ref="B5608:B5609"/>
    <mergeCell ref="C5608:C5609"/>
    <mergeCell ref="E5608:F5609"/>
    <mergeCell ref="A5573:B5573"/>
    <mergeCell ref="A5579:B5579"/>
    <mergeCell ref="A5583:F5583"/>
    <mergeCell ref="A5584:A5585"/>
    <mergeCell ref="B5584:B5585"/>
    <mergeCell ref="C5584:C5585"/>
    <mergeCell ref="E5584:F5585"/>
    <mergeCell ref="A5549:B5549"/>
    <mergeCell ref="A5555:B5555"/>
    <mergeCell ref="A5559:F5559"/>
    <mergeCell ref="A5560:A5561"/>
    <mergeCell ref="B5560:B5561"/>
    <mergeCell ref="C5560:C5561"/>
    <mergeCell ref="E5560:F5561"/>
    <mergeCell ref="A5669:B5669"/>
    <mergeCell ref="A5675:B5675"/>
    <mergeCell ref="A5679:F5679"/>
    <mergeCell ref="A5680:A5681"/>
    <mergeCell ref="B5680:B5681"/>
    <mergeCell ref="C5680:C5681"/>
    <mergeCell ref="E5680:F5681"/>
    <mergeCell ref="A5645:B5645"/>
    <mergeCell ref="A5651:B5651"/>
    <mergeCell ref="A5655:F5655"/>
    <mergeCell ref="A5656:A5657"/>
    <mergeCell ref="B5656:B5657"/>
    <mergeCell ref="C5656:C5657"/>
    <mergeCell ref="E5656:F5657"/>
    <mergeCell ref="A5621:B5621"/>
    <mergeCell ref="A5627:B5627"/>
    <mergeCell ref="A5631:F5631"/>
    <mergeCell ref="A5632:A5633"/>
    <mergeCell ref="B5632:B5633"/>
    <mergeCell ref="C5632:C5633"/>
    <mergeCell ref="E5632:F5633"/>
    <mergeCell ref="A5741:B5741"/>
    <mergeCell ref="A5747:B5747"/>
    <mergeCell ref="A5751:F5751"/>
    <mergeCell ref="A5752:A5753"/>
    <mergeCell ref="B5752:B5753"/>
    <mergeCell ref="C5752:C5753"/>
    <mergeCell ref="E5752:F5753"/>
    <mergeCell ref="A5717:B5717"/>
    <mergeCell ref="A5723:B5723"/>
    <mergeCell ref="A5727:F5727"/>
    <mergeCell ref="A5728:A5729"/>
    <mergeCell ref="B5728:B5729"/>
    <mergeCell ref="C5728:C5729"/>
    <mergeCell ref="E5728:F5729"/>
    <mergeCell ref="A5693:B5693"/>
    <mergeCell ref="A5699:B5699"/>
    <mergeCell ref="A5703:F5703"/>
    <mergeCell ref="A5704:A5705"/>
    <mergeCell ref="B5704:B5705"/>
    <mergeCell ref="C5704:C5705"/>
    <mergeCell ref="E5704:F5705"/>
    <mergeCell ref="A5813:B5813"/>
    <mergeCell ref="A5819:B5819"/>
    <mergeCell ref="A5823:F5823"/>
    <mergeCell ref="A5824:A5825"/>
    <mergeCell ref="B5824:B5825"/>
    <mergeCell ref="C5824:C5825"/>
    <mergeCell ref="E5824:F5825"/>
    <mergeCell ref="A5789:B5789"/>
    <mergeCell ref="A5795:B5795"/>
    <mergeCell ref="A5799:F5799"/>
    <mergeCell ref="A5800:A5801"/>
    <mergeCell ref="B5800:B5801"/>
    <mergeCell ref="C5800:C5801"/>
    <mergeCell ref="E5800:F5801"/>
    <mergeCell ref="A5765:B5765"/>
    <mergeCell ref="A5771:B5771"/>
    <mergeCell ref="A5775:F5775"/>
    <mergeCell ref="A5776:A5777"/>
    <mergeCell ref="B5776:B5777"/>
    <mergeCell ref="C5776:C5777"/>
    <mergeCell ref="E5776:F5777"/>
    <mergeCell ref="A5885:B5885"/>
    <mergeCell ref="A5891:B5891"/>
    <mergeCell ref="A5895:F5895"/>
    <mergeCell ref="A5896:A5897"/>
    <mergeCell ref="B5896:B5897"/>
    <mergeCell ref="C5896:C5897"/>
    <mergeCell ref="E5896:F5897"/>
    <mergeCell ref="A5861:B5861"/>
    <mergeCell ref="A5867:B5867"/>
    <mergeCell ref="A5871:F5871"/>
    <mergeCell ref="A5872:A5873"/>
    <mergeCell ref="B5872:B5873"/>
    <mergeCell ref="C5872:C5873"/>
    <mergeCell ref="E5872:F5873"/>
    <mergeCell ref="A5837:B5837"/>
    <mergeCell ref="A5843:B5843"/>
    <mergeCell ref="A5847:F5847"/>
    <mergeCell ref="A5848:A5849"/>
    <mergeCell ref="B5848:B5849"/>
    <mergeCell ref="C5848:C5849"/>
    <mergeCell ref="E5848:F5849"/>
    <mergeCell ref="A5957:B5957"/>
    <mergeCell ref="A5963:B5963"/>
    <mergeCell ref="A5967:F5967"/>
    <mergeCell ref="A5968:A5969"/>
    <mergeCell ref="B5968:B5969"/>
    <mergeCell ref="C5968:C5969"/>
    <mergeCell ref="E5968:F5969"/>
    <mergeCell ref="A5933:B5933"/>
    <mergeCell ref="A5939:B5939"/>
    <mergeCell ref="A5943:F5943"/>
    <mergeCell ref="A5944:A5945"/>
    <mergeCell ref="B5944:B5945"/>
    <mergeCell ref="C5944:C5945"/>
    <mergeCell ref="E5944:F5945"/>
    <mergeCell ref="A5909:B5909"/>
    <mergeCell ref="A5915:B5915"/>
    <mergeCell ref="A5919:F5919"/>
    <mergeCell ref="A5920:A5921"/>
    <mergeCell ref="B5920:B5921"/>
    <mergeCell ref="C5920:C5921"/>
    <mergeCell ref="E5920:F5921"/>
    <mergeCell ref="A6029:B6029"/>
    <mergeCell ref="A6035:B6035"/>
    <mergeCell ref="A6039:F6039"/>
    <mergeCell ref="A6040:A6041"/>
    <mergeCell ref="B6040:B6041"/>
    <mergeCell ref="C6040:C6041"/>
    <mergeCell ref="E6040:F6041"/>
    <mergeCell ref="A6005:B6005"/>
    <mergeCell ref="A6011:B6011"/>
    <mergeCell ref="A6015:F6015"/>
    <mergeCell ref="A6016:A6017"/>
    <mergeCell ref="B6016:B6017"/>
    <mergeCell ref="C6016:C6017"/>
    <mergeCell ref="E6016:F6017"/>
    <mergeCell ref="A5981:B5981"/>
    <mergeCell ref="A5987:B5987"/>
    <mergeCell ref="A5991:F5991"/>
    <mergeCell ref="A5992:A5993"/>
    <mergeCell ref="B5992:B5993"/>
    <mergeCell ref="C5992:C5993"/>
    <mergeCell ref="E5992:F599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C0F6-57F8-4966-853E-B035EF8F1DF8}">
  <dimension ref="A1:H329"/>
  <sheetViews>
    <sheetView topLeftCell="A142" workbookViewId="0">
      <selection activeCell="F314" sqref="F314:F316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436</v>
      </c>
    </row>
    <row r="2" spans="1:2" ht="16.5" customHeight="1" thickBot="1" x14ac:dyDescent="0.35"/>
    <row r="3" spans="1:2" ht="16.5" customHeight="1" x14ac:dyDescent="0.3">
      <c r="A3" s="24" t="s">
        <v>437</v>
      </c>
      <c r="B3" s="26"/>
    </row>
    <row r="4" spans="1:2" ht="26.25" customHeight="1" thickBot="1" x14ac:dyDescent="0.35">
      <c r="A4" s="13" t="s">
        <v>438</v>
      </c>
      <c r="B4" s="18" t="s">
        <v>439</v>
      </c>
    </row>
    <row r="5" spans="1:2" ht="26.25" customHeight="1" thickBot="1" x14ac:dyDescent="0.35">
      <c r="A5" s="13" t="s">
        <v>440</v>
      </c>
      <c r="B5" s="18" t="s">
        <v>19</v>
      </c>
    </row>
    <row r="6" spans="1:2" ht="39" customHeight="1" thickBot="1" x14ac:dyDescent="0.35">
      <c r="A6" s="13" t="s">
        <v>441</v>
      </c>
      <c r="B6" s="18">
        <v>2</v>
      </c>
    </row>
    <row r="7" spans="1:2" ht="26.25" customHeight="1" thickBot="1" x14ac:dyDescent="0.35">
      <c r="A7" s="13" t="s">
        <v>442</v>
      </c>
      <c r="B7" s="18" t="s">
        <v>443</v>
      </c>
    </row>
    <row r="8" spans="1:2" ht="26.25" customHeight="1" thickBot="1" x14ac:dyDescent="0.35">
      <c r="A8" s="13" t="s">
        <v>76</v>
      </c>
      <c r="B8" s="18">
        <v>183</v>
      </c>
    </row>
    <row r="9" spans="1:2" ht="26.25" customHeight="1" thickBot="1" x14ac:dyDescent="0.35">
      <c r="A9" s="13" t="s">
        <v>444</v>
      </c>
      <c r="B9" s="18" t="s">
        <v>445</v>
      </c>
    </row>
    <row r="10" spans="1:2" ht="26.25" customHeight="1" thickBot="1" x14ac:dyDescent="0.35">
      <c r="A10" s="13" t="s">
        <v>77</v>
      </c>
      <c r="B10" s="18">
        <v>2982</v>
      </c>
    </row>
    <row r="11" spans="1:2" ht="26.25" customHeight="1" thickBot="1" x14ac:dyDescent="0.35">
      <c r="A11" s="13" t="s">
        <v>446</v>
      </c>
      <c r="B11" s="18" t="s">
        <v>447</v>
      </c>
    </row>
    <row r="12" spans="1:2" ht="26.25" customHeight="1" thickBot="1" x14ac:dyDescent="0.35">
      <c r="A12" s="13" t="s">
        <v>448</v>
      </c>
      <c r="B12" s="18" t="s">
        <v>449</v>
      </c>
    </row>
    <row r="13" spans="1:2" ht="39" customHeight="1" thickBot="1" x14ac:dyDescent="0.35">
      <c r="A13" s="13" t="s">
        <v>450</v>
      </c>
      <c r="B13" s="18" t="s">
        <v>451</v>
      </c>
    </row>
    <row r="14" spans="1:2" ht="38.25" customHeight="1" x14ac:dyDescent="0.3">
      <c r="A14" s="14" t="s">
        <v>452</v>
      </c>
      <c r="B14" s="19" t="s">
        <v>453</v>
      </c>
    </row>
    <row r="15" spans="1:2" ht="16.5" customHeight="1" thickBot="1" x14ac:dyDescent="0.35"/>
    <row r="16" spans="1:2" ht="33" customHeight="1" x14ac:dyDescent="0.3">
      <c r="A16" s="24" t="s">
        <v>80</v>
      </c>
      <c r="B16" s="26"/>
    </row>
    <row r="17" spans="1:4" ht="33.75" customHeight="1" thickBot="1" x14ac:dyDescent="0.35">
      <c r="A17" s="13" t="s">
        <v>81</v>
      </c>
      <c r="B17" s="2" t="s">
        <v>82</v>
      </c>
    </row>
    <row r="18" spans="1:4" ht="66" customHeight="1" x14ac:dyDescent="0.3">
      <c r="A18" s="14" t="s">
        <v>452</v>
      </c>
      <c r="B18" s="2" t="s">
        <v>453</v>
      </c>
    </row>
    <row r="19" spans="1:4" ht="16.5" customHeight="1" thickBot="1" x14ac:dyDescent="0.35"/>
    <row r="20" spans="1:4" ht="39" customHeight="1" thickBot="1" x14ac:dyDescent="0.35">
      <c r="A20" s="20" t="s">
        <v>454</v>
      </c>
      <c r="B20" s="21">
        <v>68635</v>
      </c>
    </row>
    <row r="21" spans="1:4" ht="39" customHeight="1" thickBot="1" x14ac:dyDescent="0.35">
      <c r="A21" s="13" t="s">
        <v>455</v>
      </c>
      <c r="B21" s="2">
        <v>68635</v>
      </c>
    </row>
    <row r="22" spans="1:4" ht="39" customHeight="1" thickBot="1" x14ac:dyDescent="0.35">
      <c r="A22" s="13" t="s">
        <v>456</v>
      </c>
      <c r="B22" s="2">
        <v>30251936</v>
      </c>
    </row>
    <row r="23" spans="1:4" ht="38.25" customHeight="1" x14ac:dyDescent="0.3">
      <c r="A23" s="14" t="s">
        <v>457</v>
      </c>
      <c r="B23" s="2">
        <v>30251936</v>
      </c>
    </row>
    <row r="24" spans="1:4" ht="16.5" customHeight="1" thickBot="1" x14ac:dyDescent="0.35"/>
    <row r="25" spans="1:4" ht="16.5" customHeight="1" x14ac:dyDescent="0.3">
      <c r="A25" s="24" t="s">
        <v>458</v>
      </c>
      <c r="B25" s="26"/>
      <c r="C25" s="26"/>
      <c r="D25" s="26"/>
    </row>
    <row r="26" spans="1:4" ht="16.5" customHeight="1" x14ac:dyDescent="0.3">
      <c r="A26" s="6" t="s">
        <v>459</v>
      </c>
      <c r="B26" s="27" t="s">
        <v>19</v>
      </c>
      <c r="C26" s="3" t="s">
        <v>93</v>
      </c>
      <c r="D26" s="3" t="s">
        <v>93</v>
      </c>
    </row>
    <row r="27" spans="1:4" ht="33" customHeight="1" x14ac:dyDescent="0.3">
      <c r="A27" s="6" t="s">
        <v>460</v>
      </c>
      <c r="B27" s="27"/>
      <c r="C27" s="3" t="s">
        <v>86</v>
      </c>
      <c r="D27" s="3" t="s">
        <v>461</v>
      </c>
    </row>
    <row r="28" spans="1:4" ht="17.25" customHeight="1" thickBot="1" x14ac:dyDescent="0.35">
      <c r="A28" s="6">
        <v>1</v>
      </c>
      <c r="B28" s="17">
        <v>0</v>
      </c>
      <c r="C28" s="2">
        <v>67434</v>
      </c>
      <c r="D28" s="2">
        <v>29874191</v>
      </c>
    </row>
    <row r="29" spans="1:4" ht="16.5" customHeight="1" x14ac:dyDescent="0.3">
      <c r="A29" s="6">
        <v>2</v>
      </c>
      <c r="B29" s="22">
        <v>1</v>
      </c>
      <c r="C29" s="2">
        <v>1201</v>
      </c>
      <c r="D29" s="2">
        <v>377745</v>
      </c>
    </row>
    <row r="30" spans="1:4" ht="16.5" customHeight="1" x14ac:dyDescent="0.3"/>
    <row r="31" spans="1:4" ht="16.5" customHeight="1" x14ac:dyDescent="0.3">
      <c r="A31" s="1" t="s">
        <v>513</v>
      </c>
    </row>
    <row r="32" spans="1:4" ht="16.5" customHeight="1" thickBot="1" x14ac:dyDescent="0.35"/>
    <row r="33" spans="1:5" ht="16.5" customHeight="1" x14ac:dyDescent="0.3">
      <c r="A33" s="24" t="s">
        <v>462</v>
      </c>
      <c r="B33" s="26"/>
      <c r="C33" s="26"/>
      <c r="D33" s="26"/>
      <c r="E33" s="26"/>
    </row>
    <row r="34" spans="1:5" ht="16.5" customHeight="1" x14ac:dyDescent="0.3">
      <c r="A34" s="6" t="s">
        <v>463</v>
      </c>
      <c r="B34" s="3" t="s">
        <v>460</v>
      </c>
      <c r="C34" s="27" t="s">
        <v>464</v>
      </c>
      <c r="D34" s="27"/>
      <c r="E34" s="27"/>
    </row>
    <row r="35" spans="1:5" ht="17.25" thickBot="1" x14ac:dyDescent="0.35">
      <c r="A35" s="13" t="s">
        <v>22</v>
      </c>
      <c r="B35" s="12">
        <v>1</v>
      </c>
      <c r="C35" s="2">
        <v>0</v>
      </c>
      <c r="D35" s="2">
        <v>0</v>
      </c>
      <c r="E35" s="2">
        <v>0</v>
      </c>
    </row>
    <row r="36" spans="1:5" ht="17.25" customHeight="1" thickBot="1" x14ac:dyDescent="0.35">
      <c r="A36" s="13"/>
      <c r="B36" s="12">
        <v>2</v>
      </c>
      <c r="C36" s="2">
        <v>1</v>
      </c>
      <c r="D36" s="2">
        <v>0</v>
      </c>
      <c r="E36" s="2">
        <v>0</v>
      </c>
    </row>
    <row r="37" spans="1:5" ht="17.25" customHeight="1" thickBot="1" x14ac:dyDescent="0.35">
      <c r="A37" s="13"/>
      <c r="B37" s="12">
        <v>3</v>
      </c>
      <c r="C37" s="2">
        <v>0</v>
      </c>
      <c r="D37" s="2">
        <v>1</v>
      </c>
      <c r="E37" s="2">
        <v>0</v>
      </c>
    </row>
    <row r="38" spans="1:5" ht="16.5" customHeight="1" x14ac:dyDescent="0.3">
      <c r="A38" s="14"/>
      <c r="B38" s="15">
        <v>4</v>
      </c>
      <c r="C38" s="2">
        <v>0</v>
      </c>
      <c r="D38" s="2">
        <v>0</v>
      </c>
      <c r="E38" s="2">
        <v>1</v>
      </c>
    </row>
    <row r="39" spans="1:5" ht="16.5" customHeight="1" thickBot="1" x14ac:dyDescent="0.35"/>
    <row r="40" spans="1:5" ht="66" customHeight="1" x14ac:dyDescent="0.3">
      <c r="A40" s="4" t="s">
        <v>465</v>
      </c>
    </row>
    <row r="41" spans="1:5" ht="99" customHeight="1" x14ac:dyDescent="0.3">
      <c r="A41" s="23" t="s">
        <v>466</v>
      </c>
    </row>
    <row r="42" spans="1:5" ht="16.5" customHeight="1" thickBot="1" x14ac:dyDescent="0.35"/>
    <row r="43" spans="1:5" ht="16.5" customHeight="1" x14ac:dyDescent="0.3">
      <c r="A43" s="24" t="s">
        <v>467</v>
      </c>
      <c r="B43" s="26"/>
      <c r="C43" s="26"/>
    </row>
    <row r="44" spans="1:5" ht="66" customHeight="1" x14ac:dyDescent="0.3">
      <c r="A44" s="6" t="s">
        <v>468</v>
      </c>
      <c r="B44" s="3" t="s">
        <v>469</v>
      </c>
      <c r="C44" s="3" t="s">
        <v>470</v>
      </c>
    </row>
    <row r="45" spans="1:5" ht="17.25" customHeight="1" thickBot="1" x14ac:dyDescent="0.35">
      <c r="A45" s="13" t="s">
        <v>471</v>
      </c>
      <c r="B45" s="2">
        <v>4062139.5</v>
      </c>
      <c r="C45" s="2">
        <v>4030239.7</v>
      </c>
    </row>
    <row r="46" spans="1:5" ht="17.25" customHeight="1" thickBot="1" x14ac:dyDescent="0.35">
      <c r="A46" s="13" t="s">
        <v>472</v>
      </c>
      <c r="B46" s="2">
        <v>4062154.7</v>
      </c>
      <c r="C46" s="2">
        <v>4030300.6</v>
      </c>
    </row>
    <row r="47" spans="1:5" ht="16.5" customHeight="1" x14ac:dyDescent="0.3">
      <c r="A47" s="14" t="s">
        <v>473</v>
      </c>
      <c r="B47" s="2" t="s">
        <v>514</v>
      </c>
      <c r="C47" s="2">
        <v>4030231.7</v>
      </c>
    </row>
    <row r="48" spans="1:5" ht="16.5" customHeight="1" thickBot="1" x14ac:dyDescent="0.35"/>
    <row r="49" spans="1:6" ht="16.5" customHeight="1" x14ac:dyDescent="0.3">
      <c r="A49" s="24" t="s">
        <v>474</v>
      </c>
      <c r="B49" s="26"/>
      <c r="C49" s="26"/>
      <c r="D49" s="26"/>
      <c r="E49" s="26"/>
    </row>
    <row r="50" spans="1:6" ht="16.5" customHeight="1" x14ac:dyDescent="0.3">
      <c r="A50" s="6" t="s">
        <v>475</v>
      </c>
      <c r="B50" s="3" t="s">
        <v>476</v>
      </c>
      <c r="C50" s="3" t="s">
        <v>477</v>
      </c>
      <c r="D50" s="3" t="s">
        <v>478</v>
      </c>
      <c r="E50" s="3" t="s">
        <v>479</v>
      </c>
    </row>
    <row r="51" spans="1:6" ht="33" customHeight="1" x14ac:dyDescent="0.3">
      <c r="A51" s="25" t="s">
        <v>515</v>
      </c>
      <c r="B51" s="27"/>
      <c r="C51" s="27"/>
      <c r="D51" s="27"/>
      <c r="E51" s="27"/>
    </row>
    <row r="52" spans="1:6" ht="26.25" customHeight="1" thickBot="1" x14ac:dyDescent="0.35">
      <c r="A52" s="13" t="s">
        <v>481</v>
      </c>
      <c r="B52" s="2">
        <v>23.78</v>
      </c>
      <c r="C52" s="2">
        <v>2.9948999999999999</v>
      </c>
      <c r="D52" s="2">
        <v>8382.6299999999992</v>
      </c>
      <c r="E52" s="2" t="s">
        <v>482</v>
      </c>
    </row>
    <row r="53" spans="1:6" ht="17.25" customHeight="1" thickBot="1" x14ac:dyDescent="0.35">
      <c r="A53" s="13" t="s">
        <v>483</v>
      </c>
      <c r="B53" s="2">
        <v>26.9</v>
      </c>
      <c r="C53" s="2">
        <v>3</v>
      </c>
      <c r="D53" s="2">
        <v>2797</v>
      </c>
      <c r="E53" s="2" t="s">
        <v>482</v>
      </c>
    </row>
    <row r="54" spans="1:6" ht="16.5" customHeight="1" x14ac:dyDescent="0.3">
      <c r="A54" s="14" t="s">
        <v>484</v>
      </c>
      <c r="B54" s="2">
        <v>19.739999999999998</v>
      </c>
      <c r="C54" s="2">
        <v>3</v>
      </c>
      <c r="D54" s="2">
        <v>2797</v>
      </c>
      <c r="E54" s="2" t="s">
        <v>482</v>
      </c>
    </row>
    <row r="55" spans="1:6" ht="16.5" customHeight="1" thickBot="1" x14ac:dyDescent="0.35"/>
    <row r="56" spans="1:6" ht="16.5" customHeight="1" x14ac:dyDescent="0.3">
      <c r="A56" s="24" t="s">
        <v>485</v>
      </c>
      <c r="B56" s="26"/>
      <c r="C56" s="26"/>
      <c r="D56" s="26"/>
      <c r="E56" s="26"/>
    </row>
    <row r="57" spans="1:6" ht="16.5" customHeight="1" x14ac:dyDescent="0.3">
      <c r="A57" s="6" t="s">
        <v>486</v>
      </c>
      <c r="B57" s="3" t="s">
        <v>476</v>
      </c>
      <c r="C57" s="3" t="s">
        <v>477</v>
      </c>
      <c r="D57" s="3" t="s">
        <v>478</v>
      </c>
      <c r="E57" s="3" t="s">
        <v>479</v>
      </c>
    </row>
    <row r="58" spans="1:6" x14ac:dyDescent="0.3">
      <c r="A58" s="14" t="s">
        <v>22</v>
      </c>
      <c r="B58" s="2">
        <v>19.739999999999998</v>
      </c>
      <c r="C58" s="2">
        <v>3</v>
      </c>
      <c r="D58" s="2">
        <v>2797</v>
      </c>
      <c r="E58" s="2" t="s">
        <v>482</v>
      </c>
    </row>
    <row r="59" spans="1:6" ht="16.5" customHeight="1" thickBot="1" x14ac:dyDescent="0.35"/>
    <row r="60" spans="1:6" ht="16.5" customHeight="1" x14ac:dyDescent="0.3">
      <c r="A60" s="24" t="s">
        <v>487</v>
      </c>
      <c r="B60" s="26"/>
      <c r="C60" s="26"/>
      <c r="D60" s="26"/>
      <c r="E60" s="26"/>
      <c r="F60" s="26"/>
    </row>
    <row r="61" spans="1:6" ht="16.5" customHeight="1" x14ac:dyDescent="0.3">
      <c r="A61" s="25" t="s">
        <v>488</v>
      </c>
      <c r="B61" s="27"/>
      <c r="C61" s="27" t="s">
        <v>489</v>
      </c>
      <c r="D61" s="3" t="s">
        <v>490</v>
      </c>
      <c r="E61" s="27" t="s">
        <v>492</v>
      </c>
      <c r="F61" s="27" t="s">
        <v>493</v>
      </c>
    </row>
    <row r="62" spans="1:6" ht="16.5" customHeight="1" x14ac:dyDescent="0.3">
      <c r="A62" s="25"/>
      <c r="B62" s="27"/>
      <c r="C62" s="27"/>
      <c r="D62" s="3" t="s">
        <v>491</v>
      </c>
      <c r="E62" s="27"/>
      <c r="F62" s="27"/>
    </row>
    <row r="63" spans="1:6" ht="16.5" customHeight="1" x14ac:dyDescent="0.3">
      <c r="A63" s="25" t="s">
        <v>494</v>
      </c>
      <c r="B63" s="27"/>
      <c r="C63" s="27"/>
      <c r="D63" s="27"/>
      <c r="E63" s="27"/>
      <c r="F63" s="27"/>
    </row>
    <row r="64" spans="1:6" ht="17.25" customHeight="1" thickBot="1" x14ac:dyDescent="0.35">
      <c r="A64" s="13" t="s">
        <v>495</v>
      </c>
      <c r="B64" s="12"/>
      <c r="C64" s="16">
        <v>-4.9302999999999999</v>
      </c>
      <c r="D64" s="2">
        <v>9.5399999999999999E-2</v>
      </c>
      <c r="E64" s="16">
        <v>-51.67</v>
      </c>
      <c r="F64" s="2" t="s">
        <v>482</v>
      </c>
    </row>
    <row r="65" spans="1:8" ht="17.25" thickBot="1" x14ac:dyDescent="0.35">
      <c r="A65" s="13" t="s">
        <v>22</v>
      </c>
      <c r="B65" s="12">
        <v>2</v>
      </c>
      <c r="C65" s="2">
        <v>0.46739999999999998</v>
      </c>
      <c r="D65" s="2">
        <v>0.1187</v>
      </c>
      <c r="E65" s="2">
        <v>3.94</v>
      </c>
      <c r="F65" s="2" t="s">
        <v>482</v>
      </c>
    </row>
    <row r="66" spans="1:8" ht="17.25" thickBot="1" x14ac:dyDescent="0.35">
      <c r="A66" s="13" t="s">
        <v>22</v>
      </c>
      <c r="B66" s="12">
        <v>3</v>
      </c>
      <c r="C66" s="2">
        <v>0.76500000000000001</v>
      </c>
      <c r="D66" s="2">
        <v>0.115</v>
      </c>
      <c r="E66" s="2">
        <v>6.65</v>
      </c>
      <c r="F66" s="2" t="s">
        <v>482</v>
      </c>
    </row>
    <row r="67" spans="1:8" x14ac:dyDescent="0.3">
      <c r="A67" s="14" t="s">
        <v>22</v>
      </c>
      <c r="B67" s="15">
        <v>4</v>
      </c>
      <c r="C67" s="2">
        <v>0.79979999999999996</v>
      </c>
      <c r="D67" s="2">
        <v>0.1143</v>
      </c>
      <c r="E67" s="2">
        <v>7</v>
      </c>
      <c r="F67" s="2" t="s">
        <v>482</v>
      </c>
    </row>
    <row r="68" spans="1:8" ht="16.5" customHeight="1" thickBot="1" x14ac:dyDescent="0.35"/>
    <row r="69" spans="1:8" ht="16.5" customHeight="1" x14ac:dyDescent="0.3">
      <c r="A69" s="24" t="s">
        <v>496</v>
      </c>
      <c r="B69" s="26"/>
      <c r="C69" s="26"/>
      <c r="D69" s="26"/>
    </row>
    <row r="70" spans="1:8" ht="33" customHeight="1" x14ac:dyDescent="0.3">
      <c r="A70" s="6" t="s">
        <v>486</v>
      </c>
      <c r="B70" s="3" t="s">
        <v>497</v>
      </c>
      <c r="C70" s="27" t="s">
        <v>91</v>
      </c>
      <c r="D70" s="27"/>
    </row>
    <row r="71" spans="1:8" ht="49.5" customHeight="1" x14ac:dyDescent="0.3">
      <c r="A71" s="25" t="s">
        <v>498</v>
      </c>
      <c r="B71" s="27"/>
      <c r="C71" s="27"/>
      <c r="D71" s="27"/>
    </row>
    <row r="72" spans="1:8" ht="26.25" customHeight="1" thickBot="1" x14ac:dyDescent="0.35">
      <c r="A72" s="13" t="s">
        <v>499</v>
      </c>
      <c r="B72" s="2">
        <v>1.5960000000000001</v>
      </c>
      <c r="C72" s="2">
        <v>1.264</v>
      </c>
      <c r="D72" s="2">
        <v>2.0139999999999998</v>
      </c>
      <c r="H72" s="8" t="str">
        <f>TEXT(B72,"0.00")&amp;" ("&amp;TEXT(C72,"0.00")&amp;" to "&amp;TEXT(D72,"0.00")&amp;")"</f>
        <v>1.60 (1.26 to 2.01)</v>
      </c>
    </row>
    <row r="73" spans="1:8" ht="26.25" customHeight="1" thickBot="1" x14ac:dyDescent="0.35">
      <c r="A73" s="13" t="s">
        <v>500</v>
      </c>
      <c r="B73" s="2">
        <v>2.149</v>
      </c>
      <c r="C73" s="2">
        <v>1.7150000000000001</v>
      </c>
      <c r="D73" s="2">
        <v>2.6920000000000002</v>
      </c>
      <c r="H73" s="8" t="str">
        <f t="shared" ref="H73:H74" si="0">TEXT(B73,"0.00")&amp;" ("&amp;TEXT(C73,"0.00")&amp;" to "&amp;TEXT(D73,"0.00")&amp;")"</f>
        <v>2.15 (1.72 to 2.69)</v>
      </c>
    </row>
    <row r="74" spans="1:8" ht="25.5" customHeight="1" x14ac:dyDescent="0.3">
      <c r="A74" s="14" t="s">
        <v>501</v>
      </c>
      <c r="B74" s="2">
        <v>2.2250000000000001</v>
      </c>
      <c r="C74" s="2">
        <v>1.778</v>
      </c>
      <c r="D74" s="2">
        <v>2.7839999999999998</v>
      </c>
      <c r="H74" s="8" t="str">
        <f t="shared" si="0"/>
        <v>2.23 (1.78 to 2.78)</v>
      </c>
    </row>
    <row r="75" spans="1:8" ht="16.5" customHeight="1" thickBot="1" x14ac:dyDescent="0.35"/>
    <row r="76" spans="1:8" ht="33" customHeight="1" x14ac:dyDescent="0.3">
      <c r="A76" s="24" t="s">
        <v>502</v>
      </c>
      <c r="B76" s="26"/>
      <c r="C76" s="26"/>
      <c r="D76" s="26"/>
    </row>
    <row r="77" spans="1:8" ht="39" customHeight="1" thickBot="1" x14ac:dyDescent="0.35">
      <c r="A77" s="13" t="s">
        <v>503</v>
      </c>
      <c r="B77" s="2">
        <v>35.6</v>
      </c>
      <c r="C77" s="12" t="s">
        <v>504</v>
      </c>
      <c r="D77" s="2">
        <v>0.125</v>
      </c>
    </row>
    <row r="78" spans="1:8" ht="26.25" customHeight="1" thickBot="1" x14ac:dyDescent="0.35">
      <c r="A78" s="13" t="s">
        <v>505</v>
      </c>
      <c r="B78" s="2">
        <v>23.2</v>
      </c>
      <c r="C78" s="12" t="s">
        <v>506</v>
      </c>
      <c r="D78" s="2">
        <v>0.21199999999999999</v>
      </c>
    </row>
    <row r="79" spans="1:8" ht="26.25" customHeight="1" thickBot="1" x14ac:dyDescent="0.35">
      <c r="A79" s="13" t="s">
        <v>507</v>
      </c>
      <c r="B79" s="2">
        <v>41.2</v>
      </c>
      <c r="C79" s="12" t="s">
        <v>508</v>
      </c>
      <c r="D79" s="2">
        <v>4.0000000000000001E-3</v>
      </c>
    </row>
    <row r="80" spans="1:8" ht="16.5" customHeight="1" x14ac:dyDescent="0.3">
      <c r="A80" s="14" t="s">
        <v>509</v>
      </c>
      <c r="B80" s="2">
        <v>80988234</v>
      </c>
      <c r="C80" s="15" t="s">
        <v>510</v>
      </c>
      <c r="D80" s="2">
        <v>0.56200000000000006</v>
      </c>
    </row>
    <row r="81" spans="1:2" ht="16.5" customHeight="1" x14ac:dyDescent="0.3"/>
    <row r="82" spans="1:2" ht="16.5" customHeight="1" x14ac:dyDescent="0.3"/>
    <row r="83" spans="1:2" ht="16.5" customHeight="1" x14ac:dyDescent="0.3"/>
    <row r="84" spans="1:2" ht="16.5" customHeight="1" x14ac:dyDescent="0.3">
      <c r="A84" s="1" t="s">
        <v>436</v>
      </c>
    </row>
    <row r="85" spans="1:2" ht="16.5" customHeight="1" thickBot="1" x14ac:dyDescent="0.35"/>
    <row r="86" spans="1:2" ht="16.5" customHeight="1" x14ac:dyDescent="0.3">
      <c r="A86" s="24" t="s">
        <v>437</v>
      </c>
      <c r="B86" s="26"/>
    </row>
    <row r="87" spans="1:2" ht="26.25" customHeight="1" thickBot="1" x14ac:dyDescent="0.35">
      <c r="A87" s="13" t="s">
        <v>438</v>
      </c>
      <c r="B87" s="18" t="s">
        <v>439</v>
      </c>
    </row>
    <row r="88" spans="1:2" ht="26.25" customHeight="1" thickBot="1" x14ac:dyDescent="0.35">
      <c r="A88" s="13" t="s">
        <v>440</v>
      </c>
      <c r="B88" s="18" t="s">
        <v>19</v>
      </c>
    </row>
    <row r="89" spans="1:2" ht="39" customHeight="1" thickBot="1" x14ac:dyDescent="0.35">
      <c r="A89" s="13" t="s">
        <v>441</v>
      </c>
      <c r="B89" s="18">
        <v>2</v>
      </c>
    </row>
    <row r="90" spans="1:2" ht="26.25" customHeight="1" thickBot="1" x14ac:dyDescent="0.35">
      <c r="A90" s="13" t="s">
        <v>442</v>
      </c>
      <c r="B90" s="18" t="s">
        <v>443</v>
      </c>
    </row>
    <row r="91" spans="1:2" ht="26.25" customHeight="1" thickBot="1" x14ac:dyDescent="0.35">
      <c r="A91" s="13" t="s">
        <v>76</v>
      </c>
      <c r="B91" s="18">
        <v>183</v>
      </c>
    </row>
    <row r="92" spans="1:2" ht="26.25" customHeight="1" thickBot="1" x14ac:dyDescent="0.35">
      <c r="A92" s="13" t="s">
        <v>444</v>
      </c>
      <c r="B92" s="18" t="s">
        <v>445</v>
      </c>
    </row>
    <row r="93" spans="1:2" ht="26.25" customHeight="1" thickBot="1" x14ac:dyDescent="0.35">
      <c r="A93" s="13" t="s">
        <v>77</v>
      </c>
      <c r="B93" s="18">
        <v>2982</v>
      </c>
    </row>
    <row r="94" spans="1:2" ht="26.25" customHeight="1" thickBot="1" x14ac:dyDescent="0.35">
      <c r="A94" s="13" t="s">
        <v>446</v>
      </c>
      <c r="B94" s="18" t="s">
        <v>447</v>
      </c>
    </row>
    <row r="95" spans="1:2" ht="26.25" customHeight="1" thickBot="1" x14ac:dyDescent="0.35">
      <c r="A95" s="13" t="s">
        <v>448</v>
      </c>
      <c r="B95" s="18" t="s">
        <v>449</v>
      </c>
    </row>
    <row r="96" spans="1:2" ht="39" customHeight="1" thickBot="1" x14ac:dyDescent="0.35">
      <c r="A96" s="13" t="s">
        <v>450</v>
      </c>
      <c r="B96" s="18" t="s">
        <v>451</v>
      </c>
    </row>
    <row r="97" spans="1:4" ht="38.25" customHeight="1" x14ac:dyDescent="0.3">
      <c r="A97" s="14" t="s">
        <v>452</v>
      </c>
      <c r="B97" s="19" t="s">
        <v>453</v>
      </c>
    </row>
    <row r="98" spans="1:4" ht="16.5" customHeight="1" thickBot="1" x14ac:dyDescent="0.35"/>
    <row r="99" spans="1:4" ht="33" customHeight="1" x14ac:dyDescent="0.3">
      <c r="A99" s="24" t="s">
        <v>80</v>
      </c>
      <c r="B99" s="26"/>
    </row>
    <row r="100" spans="1:4" ht="33.75" customHeight="1" thickBot="1" x14ac:dyDescent="0.35">
      <c r="A100" s="13" t="s">
        <v>81</v>
      </c>
      <c r="B100" s="2" t="s">
        <v>82</v>
      </c>
    </row>
    <row r="101" spans="1:4" ht="66" customHeight="1" x14ac:dyDescent="0.3">
      <c r="A101" s="14" t="s">
        <v>452</v>
      </c>
      <c r="B101" s="2" t="s">
        <v>453</v>
      </c>
    </row>
    <row r="102" spans="1:4" ht="16.5" customHeight="1" thickBot="1" x14ac:dyDescent="0.35"/>
    <row r="103" spans="1:4" ht="39" customHeight="1" thickBot="1" x14ac:dyDescent="0.35">
      <c r="A103" s="20" t="s">
        <v>454</v>
      </c>
      <c r="B103" s="21">
        <v>68635</v>
      </c>
    </row>
    <row r="104" spans="1:4" ht="39" customHeight="1" thickBot="1" x14ac:dyDescent="0.35">
      <c r="A104" s="13" t="s">
        <v>455</v>
      </c>
      <c r="B104" s="2">
        <v>68635</v>
      </c>
    </row>
    <row r="105" spans="1:4" ht="39" customHeight="1" thickBot="1" x14ac:dyDescent="0.35">
      <c r="A105" s="13" t="s">
        <v>456</v>
      </c>
      <c r="B105" s="2">
        <v>30251936</v>
      </c>
    </row>
    <row r="106" spans="1:4" ht="38.25" customHeight="1" x14ac:dyDescent="0.3">
      <c r="A106" s="14" t="s">
        <v>457</v>
      </c>
      <c r="B106" s="2">
        <v>30251936</v>
      </c>
    </row>
    <row r="107" spans="1:4" ht="16.5" customHeight="1" thickBot="1" x14ac:dyDescent="0.35"/>
    <row r="108" spans="1:4" ht="16.5" customHeight="1" x14ac:dyDescent="0.3">
      <c r="A108" s="24" t="s">
        <v>458</v>
      </c>
      <c r="B108" s="26"/>
      <c r="C108" s="26"/>
      <c r="D108" s="26"/>
    </row>
    <row r="109" spans="1:4" ht="16.5" customHeight="1" x14ac:dyDescent="0.3">
      <c r="A109" s="6" t="s">
        <v>459</v>
      </c>
      <c r="B109" s="27" t="s">
        <v>19</v>
      </c>
      <c r="C109" s="3" t="s">
        <v>93</v>
      </c>
      <c r="D109" s="3" t="s">
        <v>93</v>
      </c>
    </row>
    <row r="110" spans="1:4" ht="33" customHeight="1" x14ac:dyDescent="0.3">
      <c r="A110" s="6" t="s">
        <v>460</v>
      </c>
      <c r="B110" s="27"/>
      <c r="C110" s="3" t="s">
        <v>86</v>
      </c>
      <c r="D110" s="3" t="s">
        <v>461</v>
      </c>
    </row>
    <row r="111" spans="1:4" ht="17.25" customHeight="1" thickBot="1" x14ac:dyDescent="0.35">
      <c r="A111" s="6">
        <v>1</v>
      </c>
      <c r="B111" s="17">
        <v>0</v>
      </c>
      <c r="C111" s="2">
        <v>67434</v>
      </c>
      <c r="D111" s="2">
        <v>29874191</v>
      </c>
    </row>
    <row r="112" spans="1:4" ht="16.5" customHeight="1" x14ac:dyDescent="0.3">
      <c r="A112" s="6">
        <v>2</v>
      </c>
      <c r="B112" s="22">
        <v>1</v>
      </c>
      <c r="C112" s="2">
        <v>1201</v>
      </c>
      <c r="D112" s="2">
        <v>377745</v>
      </c>
    </row>
    <row r="113" spans="1:5" ht="16.5" customHeight="1" x14ac:dyDescent="0.3"/>
    <row r="114" spans="1:5" ht="16.5" customHeight="1" x14ac:dyDescent="0.3">
      <c r="A114" s="1" t="s">
        <v>513</v>
      </c>
    </row>
    <row r="115" spans="1:5" ht="16.5" customHeight="1" thickBot="1" x14ac:dyDescent="0.35"/>
    <row r="116" spans="1:5" ht="16.5" customHeight="1" x14ac:dyDescent="0.3">
      <c r="A116" s="24" t="s">
        <v>462</v>
      </c>
      <c r="B116" s="26"/>
      <c r="C116" s="26"/>
      <c r="D116" s="26"/>
      <c r="E116" s="26"/>
    </row>
    <row r="117" spans="1:5" ht="16.5" customHeight="1" x14ac:dyDescent="0.3">
      <c r="A117" s="6" t="s">
        <v>463</v>
      </c>
      <c r="B117" s="3" t="s">
        <v>460</v>
      </c>
      <c r="C117" s="27" t="s">
        <v>464</v>
      </c>
      <c r="D117" s="27"/>
      <c r="E117" s="27"/>
    </row>
    <row r="118" spans="1:5" ht="17.25" thickBot="1" x14ac:dyDescent="0.35">
      <c r="A118" s="13" t="s">
        <v>25</v>
      </c>
      <c r="B118" s="12">
        <v>1</v>
      </c>
      <c r="C118" s="2">
        <v>0</v>
      </c>
      <c r="D118" s="2">
        <v>0</v>
      </c>
      <c r="E118" s="2">
        <v>0</v>
      </c>
    </row>
    <row r="119" spans="1:5" ht="17.25" customHeight="1" thickBot="1" x14ac:dyDescent="0.35">
      <c r="A119" s="13"/>
      <c r="B119" s="12">
        <v>2</v>
      </c>
      <c r="C119" s="2">
        <v>1</v>
      </c>
      <c r="D119" s="2">
        <v>0</v>
      </c>
      <c r="E119" s="2">
        <v>0</v>
      </c>
    </row>
    <row r="120" spans="1:5" ht="17.25" customHeight="1" thickBot="1" x14ac:dyDescent="0.35">
      <c r="A120" s="13"/>
      <c r="B120" s="12">
        <v>3</v>
      </c>
      <c r="C120" s="2">
        <v>0</v>
      </c>
      <c r="D120" s="2">
        <v>1</v>
      </c>
      <c r="E120" s="2">
        <v>0</v>
      </c>
    </row>
    <row r="121" spans="1:5" ht="16.5" customHeight="1" x14ac:dyDescent="0.3">
      <c r="A121" s="14"/>
      <c r="B121" s="15">
        <v>4</v>
      </c>
      <c r="C121" s="2">
        <v>0</v>
      </c>
      <c r="D121" s="2">
        <v>0</v>
      </c>
      <c r="E121" s="2">
        <v>1</v>
      </c>
    </row>
    <row r="122" spans="1:5" ht="16.5" customHeight="1" thickBot="1" x14ac:dyDescent="0.35"/>
    <row r="123" spans="1:5" ht="66" customHeight="1" x14ac:dyDescent="0.3">
      <c r="A123" s="4" t="s">
        <v>465</v>
      </c>
    </row>
    <row r="124" spans="1:5" ht="99" customHeight="1" x14ac:dyDescent="0.3">
      <c r="A124" s="23" t="s">
        <v>466</v>
      </c>
    </row>
    <row r="125" spans="1:5" ht="16.5" customHeight="1" thickBot="1" x14ac:dyDescent="0.35"/>
    <row r="126" spans="1:5" ht="16.5" customHeight="1" x14ac:dyDescent="0.3">
      <c r="A126" s="24" t="s">
        <v>467</v>
      </c>
      <c r="B126" s="26"/>
      <c r="C126" s="26"/>
    </row>
    <row r="127" spans="1:5" ht="66" customHeight="1" x14ac:dyDescent="0.3">
      <c r="A127" s="6" t="s">
        <v>468</v>
      </c>
      <c r="B127" s="3" t="s">
        <v>469</v>
      </c>
      <c r="C127" s="3" t="s">
        <v>470</v>
      </c>
    </row>
    <row r="128" spans="1:5" ht="17.25" customHeight="1" thickBot="1" x14ac:dyDescent="0.35">
      <c r="A128" s="13" t="s">
        <v>471</v>
      </c>
      <c r="B128" s="2">
        <v>4062139.5</v>
      </c>
      <c r="C128" s="2">
        <v>3912236.9</v>
      </c>
    </row>
    <row r="129" spans="1:6" ht="17.25" customHeight="1" thickBot="1" x14ac:dyDescent="0.35">
      <c r="A129" s="13" t="s">
        <v>472</v>
      </c>
      <c r="B129" s="2">
        <v>4062154.7</v>
      </c>
      <c r="C129" s="2">
        <v>3912297.8</v>
      </c>
    </row>
    <row r="130" spans="1:6" ht="16.5" customHeight="1" x14ac:dyDescent="0.3">
      <c r="A130" s="14" t="s">
        <v>473</v>
      </c>
      <c r="B130" s="2" t="s">
        <v>514</v>
      </c>
      <c r="C130" s="2">
        <v>3912228.9</v>
      </c>
    </row>
    <row r="131" spans="1:6" ht="16.5" customHeight="1" thickBot="1" x14ac:dyDescent="0.35"/>
    <row r="132" spans="1:6" ht="16.5" customHeight="1" x14ac:dyDescent="0.3">
      <c r="A132" s="24" t="s">
        <v>474</v>
      </c>
      <c r="B132" s="26"/>
      <c r="C132" s="26"/>
      <c r="D132" s="26"/>
      <c r="E132" s="26"/>
    </row>
    <row r="133" spans="1:6" ht="16.5" customHeight="1" x14ac:dyDescent="0.3">
      <c r="A133" s="6" t="s">
        <v>475</v>
      </c>
      <c r="B133" s="3" t="s">
        <v>476</v>
      </c>
      <c r="C133" s="3" t="s">
        <v>477</v>
      </c>
      <c r="D133" s="3" t="s">
        <v>478</v>
      </c>
      <c r="E133" s="3" t="s">
        <v>479</v>
      </c>
    </row>
    <row r="134" spans="1:6" ht="33" customHeight="1" x14ac:dyDescent="0.3">
      <c r="A134" s="25" t="s">
        <v>598</v>
      </c>
      <c r="B134" s="27"/>
      <c r="C134" s="27"/>
      <c r="D134" s="27"/>
      <c r="E134" s="27"/>
    </row>
    <row r="135" spans="1:6" ht="26.25" customHeight="1" thickBot="1" x14ac:dyDescent="0.35">
      <c r="A135" s="13" t="s">
        <v>481</v>
      </c>
      <c r="B135" s="2">
        <v>111.35</v>
      </c>
      <c r="C135" s="2">
        <v>2.9891999999999999</v>
      </c>
      <c r="D135" s="2">
        <v>8366.86</v>
      </c>
      <c r="E135" s="2" t="s">
        <v>482</v>
      </c>
    </row>
    <row r="136" spans="1:6" ht="17.25" customHeight="1" thickBot="1" x14ac:dyDescent="0.35">
      <c r="A136" s="13" t="s">
        <v>483</v>
      </c>
      <c r="B136" s="2">
        <v>133.87</v>
      </c>
      <c r="C136" s="2">
        <v>3</v>
      </c>
      <c r="D136" s="2">
        <v>2797</v>
      </c>
      <c r="E136" s="2" t="s">
        <v>482</v>
      </c>
    </row>
    <row r="137" spans="1:6" ht="16.5" customHeight="1" x14ac:dyDescent="0.3">
      <c r="A137" s="14" t="s">
        <v>484</v>
      </c>
      <c r="B137" s="2">
        <v>83.89</v>
      </c>
      <c r="C137" s="2">
        <v>3</v>
      </c>
      <c r="D137" s="2">
        <v>2797</v>
      </c>
      <c r="E137" s="2" t="s">
        <v>482</v>
      </c>
    </row>
    <row r="138" spans="1:6" ht="16.5" customHeight="1" thickBot="1" x14ac:dyDescent="0.35"/>
    <row r="139" spans="1:6" ht="16.5" customHeight="1" x14ac:dyDescent="0.3">
      <c r="A139" s="24" t="s">
        <v>485</v>
      </c>
      <c r="B139" s="26"/>
      <c r="C139" s="26"/>
      <c r="D139" s="26"/>
      <c r="E139" s="26"/>
    </row>
    <row r="140" spans="1:6" ht="16.5" customHeight="1" x14ac:dyDescent="0.3">
      <c r="A140" s="6" t="s">
        <v>486</v>
      </c>
      <c r="B140" s="3" t="s">
        <v>476</v>
      </c>
      <c r="C140" s="3" t="s">
        <v>477</v>
      </c>
      <c r="D140" s="3" t="s">
        <v>478</v>
      </c>
      <c r="E140" s="3" t="s">
        <v>479</v>
      </c>
    </row>
    <row r="141" spans="1:6" x14ac:dyDescent="0.3">
      <c r="A141" s="14" t="s">
        <v>25</v>
      </c>
      <c r="B141" s="2">
        <v>83.89</v>
      </c>
      <c r="C141" s="2">
        <v>3</v>
      </c>
      <c r="D141" s="2">
        <v>2797</v>
      </c>
      <c r="E141" s="2" t="s">
        <v>482</v>
      </c>
    </row>
    <row r="142" spans="1:6" ht="16.5" customHeight="1" thickBot="1" x14ac:dyDescent="0.35"/>
    <row r="143" spans="1:6" ht="16.5" customHeight="1" x14ac:dyDescent="0.3">
      <c r="A143" s="24" t="s">
        <v>487</v>
      </c>
      <c r="B143" s="26"/>
      <c r="C143" s="26"/>
      <c r="D143" s="26"/>
      <c r="E143" s="26"/>
      <c r="F143" s="26"/>
    </row>
    <row r="144" spans="1:6" ht="16.5" customHeight="1" x14ac:dyDescent="0.3">
      <c r="A144" s="25" t="s">
        <v>488</v>
      </c>
      <c r="B144" s="27"/>
      <c r="C144" s="27" t="s">
        <v>489</v>
      </c>
      <c r="D144" s="3" t="s">
        <v>490</v>
      </c>
      <c r="E144" s="27" t="s">
        <v>492</v>
      </c>
      <c r="F144" s="27" t="s">
        <v>493</v>
      </c>
    </row>
    <row r="145" spans="1:8" ht="16.5" customHeight="1" x14ac:dyDescent="0.3">
      <c r="A145" s="25"/>
      <c r="B145" s="27"/>
      <c r="C145" s="27"/>
      <c r="D145" s="3" t="s">
        <v>491</v>
      </c>
      <c r="E145" s="27"/>
      <c r="F145" s="27"/>
    </row>
    <row r="146" spans="1:8" ht="16.5" customHeight="1" x14ac:dyDescent="0.3">
      <c r="A146" s="25" t="s">
        <v>494</v>
      </c>
      <c r="B146" s="27"/>
      <c r="C146" s="27"/>
      <c r="D146" s="27"/>
      <c r="E146" s="27"/>
      <c r="F146" s="27"/>
    </row>
    <row r="147" spans="1:8" ht="17.25" customHeight="1" thickBot="1" x14ac:dyDescent="0.35">
      <c r="A147" s="13" t="s">
        <v>495</v>
      </c>
      <c r="B147" s="12"/>
      <c r="C147" s="16">
        <v>-5.5660999999999996</v>
      </c>
      <c r="D147" s="2">
        <v>0.1439</v>
      </c>
      <c r="E147" s="16">
        <v>-38.67</v>
      </c>
      <c r="F147" s="2" t="s">
        <v>482</v>
      </c>
    </row>
    <row r="148" spans="1:8" ht="17.25" thickBot="1" x14ac:dyDescent="0.35">
      <c r="A148" s="13" t="s">
        <v>25</v>
      </c>
      <c r="B148" s="12">
        <v>2</v>
      </c>
      <c r="C148" s="2">
        <v>0.67920000000000003</v>
      </c>
      <c r="D148" s="2">
        <v>0.17019999999999999</v>
      </c>
      <c r="E148" s="2">
        <v>3.99</v>
      </c>
      <c r="F148" s="2" t="s">
        <v>482</v>
      </c>
    </row>
    <row r="149" spans="1:8" ht="17.25" thickBot="1" x14ac:dyDescent="0.35">
      <c r="A149" s="13" t="s">
        <v>25</v>
      </c>
      <c r="B149" s="12">
        <v>3</v>
      </c>
      <c r="C149" s="2">
        <v>1.3882000000000001</v>
      </c>
      <c r="D149" s="2">
        <v>0.15629999999999999</v>
      </c>
      <c r="E149" s="2">
        <v>8.8800000000000008</v>
      </c>
      <c r="F149" s="2" t="s">
        <v>482</v>
      </c>
    </row>
    <row r="150" spans="1:8" x14ac:dyDescent="0.3">
      <c r="A150" s="14" t="s">
        <v>25</v>
      </c>
      <c r="B150" s="15">
        <v>4</v>
      </c>
      <c r="C150" s="2">
        <v>1.88</v>
      </c>
      <c r="D150" s="2">
        <v>0.1537</v>
      </c>
      <c r="E150" s="2">
        <v>12.23</v>
      </c>
      <c r="F150" s="2" t="s">
        <v>482</v>
      </c>
    </row>
    <row r="151" spans="1:8" ht="16.5" customHeight="1" thickBot="1" x14ac:dyDescent="0.35"/>
    <row r="152" spans="1:8" ht="16.5" customHeight="1" x14ac:dyDescent="0.3">
      <c r="A152" s="24" t="s">
        <v>496</v>
      </c>
      <c r="B152" s="26"/>
      <c r="C152" s="26"/>
      <c r="D152" s="26"/>
    </row>
    <row r="153" spans="1:8" ht="33" customHeight="1" x14ac:dyDescent="0.3">
      <c r="A153" s="6" t="s">
        <v>486</v>
      </c>
      <c r="B153" s="3" t="s">
        <v>497</v>
      </c>
      <c r="C153" s="27" t="s">
        <v>91</v>
      </c>
      <c r="D153" s="27"/>
    </row>
    <row r="154" spans="1:8" ht="49.5" customHeight="1" x14ac:dyDescent="0.3">
      <c r="A154" s="25" t="s">
        <v>498</v>
      </c>
      <c r="B154" s="27"/>
      <c r="C154" s="27"/>
      <c r="D154" s="27"/>
    </row>
    <row r="155" spans="1:8" ht="26.25" customHeight="1" thickBot="1" x14ac:dyDescent="0.35">
      <c r="A155" s="13" t="s">
        <v>517</v>
      </c>
      <c r="B155" s="2">
        <v>1.972</v>
      </c>
      <c r="C155" s="2">
        <v>1.413</v>
      </c>
      <c r="D155" s="2">
        <v>2.754</v>
      </c>
      <c r="H155" s="8" t="str">
        <f t="shared" ref="H155:H157" si="1">TEXT(B155,"0.00")&amp;" ("&amp;TEXT(C155,"0.00")&amp;" to "&amp;TEXT(D155,"0.00")&amp;")"</f>
        <v>1.97 (1.41 to 2.75)</v>
      </c>
    </row>
    <row r="156" spans="1:8" ht="26.25" customHeight="1" thickBot="1" x14ac:dyDescent="0.35">
      <c r="A156" s="13" t="s">
        <v>518</v>
      </c>
      <c r="B156" s="2">
        <v>4.008</v>
      </c>
      <c r="C156" s="2">
        <v>2.95</v>
      </c>
      <c r="D156" s="2">
        <v>5.4450000000000003</v>
      </c>
      <c r="H156" s="8" t="str">
        <f t="shared" si="1"/>
        <v>4.01 (2.95 to 5.45)</v>
      </c>
    </row>
    <row r="157" spans="1:8" ht="25.5" customHeight="1" x14ac:dyDescent="0.3">
      <c r="A157" s="14" t="s">
        <v>519</v>
      </c>
      <c r="B157" s="2">
        <v>6.5540000000000003</v>
      </c>
      <c r="C157" s="2">
        <v>4.8490000000000002</v>
      </c>
      <c r="D157" s="2">
        <v>8.8580000000000005</v>
      </c>
      <c r="H157" s="8" t="str">
        <f t="shared" si="1"/>
        <v>6.55 (4.85 to 8.86)</v>
      </c>
    </row>
    <row r="158" spans="1:8" ht="16.5" customHeight="1" thickBot="1" x14ac:dyDescent="0.35"/>
    <row r="159" spans="1:8" ht="33" customHeight="1" x14ac:dyDescent="0.3">
      <c r="A159" s="24" t="s">
        <v>502</v>
      </c>
      <c r="B159" s="26"/>
      <c r="C159" s="26"/>
      <c r="D159" s="26"/>
    </row>
    <row r="160" spans="1:8" ht="39" customHeight="1" thickBot="1" x14ac:dyDescent="0.35">
      <c r="A160" s="13" t="s">
        <v>503</v>
      </c>
      <c r="B160" s="2">
        <v>53.3</v>
      </c>
      <c r="C160" s="12" t="s">
        <v>504</v>
      </c>
      <c r="D160" s="2">
        <v>0.32100000000000001</v>
      </c>
    </row>
    <row r="161" spans="1:4" ht="26.25" customHeight="1" thickBot="1" x14ac:dyDescent="0.35">
      <c r="A161" s="13" t="s">
        <v>505</v>
      </c>
      <c r="B161" s="2">
        <v>21.2</v>
      </c>
      <c r="C161" s="12" t="s">
        <v>506</v>
      </c>
      <c r="D161" s="2">
        <v>0.43</v>
      </c>
    </row>
    <row r="162" spans="1:4" ht="26.25" customHeight="1" thickBot="1" x14ac:dyDescent="0.35">
      <c r="A162" s="13" t="s">
        <v>507</v>
      </c>
      <c r="B162" s="2">
        <v>25.5</v>
      </c>
      <c r="C162" s="12" t="s">
        <v>508</v>
      </c>
      <c r="D162" s="2">
        <v>1.0999999999999999E-2</v>
      </c>
    </row>
    <row r="163" spans="1:4" ht="16.5" customHeight="1" x14ac:dyDescent="0.3">
      <c r="A163" s="14" t="s">
        <v>509</v>
      </c>
      <c r="B163" s="2">
        <v>80988234</v>
      </c>
      <c r="C163" s="15" t="s">
        <v>510</v>
      </c>
      <c r="D163" s="2">
        <v>0.66</v>
      </c>
    </row>
    <row r="164" spans="1:4" ht="16.5" customHeight="1" x14ac:dyDescent="0.3"/>
    <row r="165" spans="1:4" ht="16.5" customHeight="1" x14ac:dyDescent="0.3"/>
    <row r="166" spans="1:4" ht="16.5" customHeight="1" x14ac:dyDescent="0.3"/>
    <row r="167" spans="1:4" ht="16.5" customHeight="1" x14ac:dyDescent="0.3">
      <c r="A167" s="1" t="s">
        <v>436</v>
      </c>
    </row>
    <row r="168" spans="1:4" ht="16.5" customHeight="1" thickBot="1" x14ac:dyDescent="0.35"/>
    <row r="169" spans="1:4" ht="16.5" customHeight="1" x14ac:dyDescent="0.3">
      <c r="A169" s="24" t="s">
        <v>437</v>
      </c>
      <c r="B169" s="26"/>
    </row>
    <row r="170" spans="1:4" ht="26.25" customHeight="1" thickBot="1" x14ac:dyDescent="0.35">
      <c r="A170" s="13" t="s">
        <v>438</v>
      </c>
      <c r="B170" s="18" t="s">
        <v>439</v>
      </c>
    </row>
    <row r="171" spans="1:4" ht="26.25" customHeight="1" thickBot="1" x14ac:dyDescent="0.35">
      <c r="A171" s="13" t="s">
        <v>440</v>
      </c>
      <c r="B171" s="18" t="s">
        <v>19</v>
      </c>
    </row>
    <row r="172" spans="1:4" ht="39" customHeight="1" thickBot="1" x14ac:dyDescent="0.35">
      <c r="A172" s="13" t="s">
        <v>441</v>
      </c>
      <c r="B172" s="18">
        <v>2</v>
      </c>
    </row>
    <row r="173" spans="1:4" ht="26.25" customHeight="1" thickBot="1" x14ac:dyDescent="0.35">
      <c r="A173" s="13" t="s">
        <v>442</v>
      </c>
      <c r="B173" s="18" t="s">
        <v>443</v>
      </c>
    </row>
    <row r="174" spans="1:4" ht="26.25" customHeight="1" thickBot="1" x14ac:dyDescent="0.35">
      <c r="A174" s="13" t="s">
        <v>76</v>
      </c>
      <c r="B174" s="18">
        <v>183</v>
      </c>
    </row>
    <row r="175" spans="1:4" ht="26.25" customHeight="1" thickBot="1" x14ac:dyDescent="0.35">
      <c r="A175" s="13" t="s">
        <v>444</v>
      </c>
      <c r="B175" s="18" t="s">
        <v>445</v>
      </c>
    </row>
    <row r="176" spans="1:4" ht="26.25" customHeight="1" thickBot="1" x14ac:dyDescent="0.35">
      <c r="A176" s="13" t="s">
        <v>77</v>
      </c>
      <c r="B176" s="18">
        <v>2982</v>
      </c>
    </row>
    <row r="177" spans="1:4" ht="26.25" customHeight="1" thickBot="1" x14ac:dyDescent="0.35">
      <c r="A177" s="13" t="s">
        <v>446</v>
      </c>
      <c r="B177" s="18" t="s">
        <v>447</v>
      </c>
    </row>
    <row r="178" spans="1:4" ht="26.25" customHeight="1" thickBot="1" x14ac:dyDescent="0.35">
      <c r="A178" s="13" t="s">
        <v>448</v>
      </c>
      <c r="B178" s="18" t="s">
        <v>449</v>
      </c>
    </row>
    <row r="179" spans="1:4" ht="39" customHeight="1" thickBot="1" x14ac:dyDescent="0.35">
      <c r="A179" s="13" t="s">
        <v>450</v>
      </c>
      <c r="B179" s="18" t="s">
        <v>451</v>
      </c>
    </row>
    <row r="180" spans="1:4" ht="38.25" customHeight="1" x14ac:dyDescent="0.3">
      <c r="A180" s="14" t="s">
        <v>452</v>
      </c>
      <c r="B180" s="19" t="s">
        <v>453</v>
      </c>
    </row>
    <row r="181" spans="1:4" ht="16.5" customHeight="1" thickBot="1" x14ac:dyDescent="0.35"/>
    <row r="182" spans="1:4" ht="33" customHeight="1" x14ac:dyDescent="0.3">
      <c r="A182" s="24" t="s">
        <v>80</v>
      </c>
      <c r="B182" s="26"/>
    </row>
    <row r="183" spans="1:4" ht="33.75" customHeight="1" thickBot="1" x14ac:dyDescent="0.35">
      <c r="A183" s="13" t="s">
        <v>81</v>
      </c>
      <c r="B183" s="2" t="s">
        <v>82</v>
      </c>
    </row>
    <row r="184" spans="1:4" ht="66" customHeight="1" x14ac:dyDescent="0.3">
      <c r="A184" s="14" t="s">
        <v>452</v>
      </c>
      <c r="B184" s="2" t="s">
        <v>453</v>
      </c>
    </row>
    <row r="185" spans="1:4" ht="16.5" customHeight="1" thickBot="1" x14ac:dyDescent="0.35"/>
    <row r="186" spans="1:4" ht="39" customHeight="1" thickBot="1" x14ac:dyDescent="0.35">
      <c r="A186" s="20" t="s">
        <v>454</v>
      </c>
      <c r="B186" s="21">
        <v>68635</v>
      </c>
    </row>
    <row r="187" spans="1:4" ht="39" customHeight="1" thickBot="1" x14ac:dyDescent="0.35">
      <c r="A187" s="13" t="s">
        <v>455</v>
      </c>
      <c r="B187" s="2">
        <v>68635</v>
      </c>
    </row>
    <row r="188" spans="1:4" ht="39" customHeight="1" thickBot="1" x14ac:dyDescent="0.35">
      <c r="A188" s="13" t="s">
        <v>456</v>
      </c>
      <c r="B188" s="2">
        <v>30251936</v>
      </c>
    </row>
    <row r="189" spans="1:4" ht="38.25" customHeight="1" x14ac:dyDescent="0.3">
      <c r="A189" s="14" t="s">
        <v>457</v>
      </c>
      <c r="B189" s="2">
        <v>30251936</v>
      </c>
    </row>
    <row r="190" spans="1:4" ht="16.5" customHeight="1" thickBot="1" x14ac:dyDescent="0.35"/>
    <row r="191" spans="1:4" ht="16.5" customHeight="1" x14ac:dyDescent="0.3">
      <c r="A191" s="24" t="s">
        <v>458</v>
      </c>
      <c r="B191" s="26"/>
      <c r="C191" s="26"/>
      <c r="D191" s="26"/>
    </row>
    <row r="192" spans="1:4" ht="16.5" customHeight="1" x14ac:dyDescent="0.3">
      <c r="A192" s="6" t="s">
        <v>459</v>
      </c>
      <c r="B192" s="27" t="s">
        <v>19</v>
      </c>
      <c r="C192" s="3" t="s">
        <v>93</v>
      </c>
      <c r="D192" s="3" t="s">
        <v>93</v>
      </c>
    </row>
    <row r="193" spans="1:5" ht="33" customHeight="1" x14ac:dyDescent="0.3">
      <c r="A193" s="6" t="s">
        <v>460</v>
      </c>
      <c r="B193" s="27"/>
      <c r="C193" s="3" t="s">
        <v>86</v>
      </c>
      <c r="D193" s="3" t="s">
        <v>461</v>
      </c>
    </row>
    <row r="194" spans="1:5" ht="17.25" customHeight="1" thickBot="1" x14ac:dyDescent="0.35">
      <c r="A194" s="6">
        <v>1</v>
      </c>
      <c r="B194" s="17">
        <v>0</v>
      </c>
      <c r="C194" s="2">
        <v>67434</v>
      </c>
      <c r="D194" s="2">
        <v>29874191</v>
      </c>
    </row>
    <row r="195" spans="1:5" ht="16.5" customHeight="1" x14ac:dyDescent="0.3">
      <c r="A195" s="6">
        <v>2</v>
      </c>
      <c r="B195" s="22">
        <v>1</v>
      </c>
      <c r="C195" s="2">
        <v>1201</v>
      </c>
      <c r="D195" s="2">
        <v>377745</v>
      </c>
    </row>
    <row r="196" spans="1:5" ht="16.5" customHeight="1" x14ac:dyDescent="0.3"/>
    <row r="197" spans="1:5" ht="16.5" customHeight="1" x14ac:dyDescent="0.3">
      <c r="A197" s="1" t="s">
        <v>513</v>
      </c>
    </row>
    <row r="198" spans="1:5" ht="16.5" customHeight="1" thickBot="1" x14ac:dyDescent="0.35"/>
    <row r="199" spans="1:5" ht="16.5" customHeight="1" x14ac:dyDescent="0.3">
      <c r="A199" s="24" t="s">
        <v>462</v>
      </c>
      <c r="B199" s="26"/>
      <c r="C199" s="26"/>
      <c r="D199" s="26"/>
      <c r="E199" s="26"/>
    </row>
    <row r="200" spans="1:5" ht="16.5" customHeight="1" x14ac:dyDescent="0.3">
      <c r="A200" s="6" t="s">
        <v>463</v>
      </c>
      <c r="B200" s="3" t="s">
        <v>460</v>
      </c>
      <c r="C200" s="27" t="s">
        <v>464</v>
      </c>
      <c r="D200" s="27"/>
      <c r="E200" s="27"/>
    </row>
    <row r="201" spans="1:5" ht="17.25" thickBot="1" x14ac:dyDescent="0.35">
      <c r="A201" s="13" t="s">
        <v>26</v>
      </c>
      <c r="B201" s="12">
        <v>1</v>
      </c>
      <c r="C201" s="2">
        <v>0</v>
      </c>
      <c r="D201" s="2">
        <v>0</v>
      </c>
      <c r="E201" s="2">
        <v>0</v>
      </c>
    </row>
    <row r="202" spans="1:5" ht="17.25" customHeight="1" thickBot="1" x14ac:dyDescent="0.35">
      <c r="A202" s="13"/>
      <c r="B202" s="12">
        <v>2</v>
      </c>
      <c r="C202" s="2">
        <v>1</v>
      </c>
      <c r="D202" s="2">
        <v>0</v>
      </c>
      <c r="E202" s="2">
        <v>0</v>
      </c>
    </row>
    <row r="203" spans="1:5" ht="17.25" customHeight="1" thickBot="1" x14ac:dyDescent="0.35">
      <c r="A203" s="13"/>
      <c r="B203" s="12">
        <v>3</v>
      </c>
      <c r="C203" s="2">
        <v>0</v>
      </c>
      <c r="D203" s="2">
        <v>1</v>
      </c>
      <c r="E203" s="2">
        <v>0</v>
      </c>
    </row>
    <row r="204" spans="1:5" ht="16.5" customHeight="1" x14ac:dyDescent="0.3">
      <c r="A204" s="14"/>
      <c r="B204" s="15">
        <v>4</v>
      </c>
      <c r="C204" s="2">
        <v>0</v>
      </c>
      <c r="D204" s="2">
        <v>0</v>
      </c>
      <c r="E204" s="2">
        <v>1</v>
      </c>
    </row>
    <row r="205" spans="1:5" ht="16.5" customHeight="1" thickBot="1" x14ac:dyDescent="0.35"/>
    <row r="206" spans="1:5" ht="66" customHeight="1" x14ac:dyDescent="0.3">
      <c r="A206" s="4" t="s">
        <v>465</v>
      </c>
    </row>
    <row r="207" spans="1:5" ht="99" customHeight="1" x14ac:dyDescent="0.3">
      <c r="A207" s="23" t="s">
        <v>466</v>
      </c>
    </row>
    <row r="208" spans="1:5" ht="16.5" customHeight="1" thickBot="1" x14ac:dyDescent="0.35"/>
    <row r="209" spans="1:5" ht="16.5" customHeight="1" x14ac:dyDescent="0.3">
      <c r="A209" s="24" t="s">
        <v>467</v>
      </c>
      <c r="B209" s="26"/>
      <c r="C209" s="26"/>
    </row>
    <row r="210" spans="1:5" ht="66" customHeight="1" x14ac:dyDescent="0.3">
      <c r="A210" s="6" t="s">
        <v>468</v>
      </c>
      <c r="B210" s="3" t="s">
        <v>469</v>
      </c>
      <c r="C210" s="3" t="s">
        <v>470</v>
      </c>
    </row>
    <row r="211" spans="1:5" ht="17.25" customHeight="1" thickBot="1" x14ac:dyDescent="0.35">
      <c r="A211" s="13" t="s">
        <v>471</v>
      </c>
      <c r="B211" s="2">
        <v>4062139.5</v>
      </c>
      <c r="C211" s="2">
        <v>4036953.3</v>
      </c>
    </row>
    <row r="212" spans="1:5" ht="17.25" customHeight="1" thickBot="1" x14ac:dyDescent="0.35">
      <c r="A212" s="13" t="s">
        <v>472</v>
      </c>
      <c r="B212" s="2">
        <v>4062154.7</v>
      </c>
      <c r="C212" s="2">
        <v>4037014.2</v>
      </c>
    </row>
    <row r="213" spans="1:5" ht="16.5" customHeight="1" x14ac:dyDescent="0.3">
      <c r="A213" s="14" t="s">
        <v>473</v>
      </c>
      <c r="B213" s="2" t="s">
        <v>514</v>
      </c>
      <c r="C213" s="2">
        <v>4036945.3</v>
      </c>
    </row>
    <row r="214" spans="1:5" ht="16.5" customHeight="1" thickBot="1" x14ac:dyDescent="0.35"/>
    <row r="215" spans="1:5" ht="16.5" customHeight="1" x14ac:dyDescent="0.3">
      <c r="A215" s="24" t="s">
        <v>474</v>
      </c>
      <c r="B215" s="26"/>
      <c r="C215" s="26"/>
      <c r="D215" s="26"/>
      <c r="E215" s="26"/>
    </row>
    <row r="216" spans="1:5" ht="16.5" customHeight="1" x14ac:dyDescent="0.3">
      <c r="A216" s="6" t="s">
        <v>475</v>
      </c>
      <c r="B216" s="3" t="s">
        <v>476</v>
      </c>
      <c r="C216" s="3" t="s">
        <v>477</v>
      </c>
      <c r="D216" s="3" t="s">
        <v>478</v>
      </c>
      <c r="E216" s="3" t="s">
        <v>479</v>
      </c>
    </row>
    <row r="217" spans="1:5" ht="33" customHeight="1" x14ac:dyDescent="0.3">
      <c r="A217" s="25" t="s">
        <v>606</v>
      </c>
      <c r="B217" s="27"/>
      <c r="C217" s="27"/>
      <c r="D217" s="27"/>
      <c r="E217" s="27"/>
    </row>
    <row r="218" spans="1:5" ht="26.25" customHeight="1" thickBot="1" x14ac:dyDescent="0.35">
      <c r="A218" s="13" t="s">
        <v>481</v>
      </c>
      <c r="B218" s="2">
        <v>18.41</v>
      </c>
      <c r="C218" s="2">
        <v>2.9868000000000001</v>
      </c>
      <c r="D218" s="2">
        <v>8360.0300000000007</v>
      </c>
      <c r="E218" s="2" t="s">
        <v>482</v>
      </c>
    </row>
    <row r="219" spans="1:5" ht="17.25" customHeight="1" thickBot="1" x14ac:dyDescent="0.35">
      <c r="A219" s="13" t="s">
        <v>483</v>
      </c>
      <c r="B219" s="2">
        <v>21.79</v>
      </c>
      <c r="C219" s="2">
        <v>3</v>
      </c>
      <c r="D219" s="2">
        <v>2797</v>
      </c>
      <c r="E219" s="2" t="s">
        <v>482</v>
      </c>
    </row>
    <row r="220" spans="1:5" ht="16.5" customHeight="1" x14ac:dyDescent="0.3">
      <c r="A220" s="14" t="s">
        <v>484</v>
      </c>
      <c r="B220" s="2">
        <v>15.79</v>
      </c>
      <c r="C220" s="2">
        <v>3</v>
      </c>
      <c r="D220" s="2">
        <v>2797</v>
      </c>
      <c r="E220" s="2" t="s">
        <v>482</v>
      </c>
    </row>
    <row r="221" spans="1:5" ht="16.5" customHeight="1" thickBot="1" x14ac:dyDescent="0.35"/>
    <row r="222" spans="1:5" ht="16.5" customHeight="1" x14ac:dyDescent="0.3">
      <c r="A222" s="24" t="s">
        <v>485</v>
      </c>
      <c r="B222" s="26"/>
      <c r="C222" s="26"/>
      <c r="D222" s="26"/>
      <c r="E222" s="26"/>
    </row>
    <row r="223" spans="1:5" ht="16.5" customHeight="1" x14ac:dyDescent="0.3">
      <c r="A223" s="6" t="s">
        <v>486</v>
      </c>
      <c r="B223" s="3" t="s">
        <v>476</v>
      </c>
      <c r="C223" s="3" t="s">
        <v>477</v>
      </c>
      <c r="D223" s="3" t="s">
        <v>478</v>
      </c>
      <c r="E223" s="3" t="s">
        <v>479</v>
      </c>
    </row>
    <row r="224" spans="1:5" x14ac:dyDescent="0.3">
      <c r="A224" s="14" t="s">
        <v>26</v>
      </c>
      <c r="B224" s="2">
        <v>15.79</v>
      </c>
      <c r="C224" s="2">
        <v>3</v>
      </c>
      <c r="D224" s="2">
        <v>2797</v>
      </c>
      <c r="E224" s="2" t="s">
        <v>482</v>
      </c>
    </row>
    <row r="225" spans="1:8" ht="16.5" customHeight="1" thickBot="1" x14ac:dyDescent="0.35"/>
    <row r="226" spans="1:8" ht="16.5" customHeight="1" x14ac:dyDescent="0.3">
      <c r="A226" s="24" t="s">
        <v>487</v>
      </c>
      <c r="B226" s="26"/>
      <c r="C226" s="26"/>
      <c r="D226" s="26"/>
      <c r="E226" s="26"/>
      <c r="F226" s="26"/>
    </row>
    <row r="227" spans="1:8" ht="16.5" customHeight="1" x14ac:dyDescent="0.3">
      <c r="A227" s="25" t="s">
        <v>488</v>
      </c>
      <c r="B227" s="27"/>
      <c r="C227" s="27" t="s">
        <v>489</v>
      </c>
      <c r="D227" s="3" t="s">
        <v>490</v>
      </c>
      <c r="E227" s="27" t="s">
        <v>492</v>
      </c>
      <c r="F227" s="27" t="s">
        <v>493</v>
      </c>
    </row>
    <row r="228" spans="1:8" ht="16.5" customHeight="1" x14ac:dyDescent="0.3">
      <c r="A228" s="25"/>
      <c r="B228" s="27"/>
      <c r="C228" s="27"/>
      <c r="D228" s="3" t="s">
        <v>491</v>
      </c>
      <c r="E228" s="27"/>
      <c r="F228" s="27"/>
    </row>
    <row r="229" spans="1:8" ht="16.5" customHeight="1" x14ac:dyDescent="0.3">
      <c r="A229" s="25" t="s">
        <v>494</v>
      </c>
      <c r="B229" s="27"/>
      <c r="C229" s="27"/>
      <c r="D229" s="27"/>
      <c r="E229" s="27"/>
      <c r="F229" s="27"/>
    </row>
    <row r="230" spans="1:8" ht="17.25" customHeight="1" thickBot="1" x14ac:dyDescent="0.35">
      <c r="A230" s="13" t="s">
        <v>495</v>
      </c>
      <c r="B230" s="12"/>
      <c r="C230" s="16">
        <v>-4.8788</v>
      </c>
      <c r="D230" s="2">
        <v>9.1600000000000001E-2</v>
      </c>
      <c r="E230" s="16">
        <v>-53.24</v>
      </c>
      <c r="F230" s="2" t="s">
        <v>482</v>
      </c>
    </row>
    <row r="231" spans="1:8" ht="17.25" thickBot="1" x14ac:dyDescent="0.35">
      <c r="A231" s="13" t="s">
        <v>26</v>
      </c>
      <c r="B231" s="12">
        <v>2</v>
      </c>
      <c r="C231" s="2">
        <v>0.47520000000000001</v>
      </c>
      <c r="D231" s="2">
        <v>0.1163</v>
      </c>
      <c r="E231" s="2">
        <v>4.09</v>
      </c>
      <c r="F231" s="2" t="s">
        <v>482</v>
      </c>
    </row>
    <row r="232" spans="1:8" ht="17.25" thickBot="1" x14ac:dyDescent="0.35">
      <c r="A232" s="13" t="s">
        <v>26</v>
      </c>
      <c r="B232" s="12">
        <v>3</v>
      </c>
      <c r="C232" s="2">
        <v>0.71489999999999998</v>
      </c>
      <c r="D232" s="2">
        <v>0.1111</v>
      </c>
      <c r="E232" s="2">
        <v>6.43</v>
      </c>
      <c r="F232" s="2" t="s">
        <v>482</v>
      </c>
    </row>
    <row r="233" spans="1:8" x14ac:dyDescent="0.3">
      <c r="A233" s="14" t="s">
        <v>26</v>
      </c>
      <c r="B233" s="15">
        <v>4</v>
      </c>
      <c r="C233" s="2">
        <v>0.68420000000000003</v>
      </c>
      <c r="D233" s="2">
        <v>0.1123</v>
      </c>
      <c r="E233" s="2">
        <v>6.09</v>
      </c>
      <c r="F233" s="2" t="s">
        <v>482</v>
      </c>
    </row>
    <row r="234" spans="1:8" ht="16.5" customHeight="1" thickBot="1" x14ac:dyDescent="0.35"/>
    <row r="235" spans="1:8" ht="16.5" customHeight="1" x14ac:dyDescent="0.3">
      <c r="A235" s="24" t="s">
        <v>496</v>
      </c>
      <c r="B235" s="26"/>
      <c r="C235" s="26"/>
      <c r="D235" s="26"/>
    </row>
    <row r="236" spans="1:8" ht="33" customHeight="1" x14ac:dyDescent="0.3">
      <c r="A236" s="6" t="s">
        <v>486</v>
      </c>
      <c r="B236" s="3" t="s">
        <v>497</v>
      </c>
      <c r="C236" s="27" t="s">
        <v>91</v>
      </c>
      <c r="D236" s="27"/>
    </row>
    <row r="237" spans="1:8" ht="49.5" customHeight="1" x14ac:dyDescent="0.3">
      <c r="A237" s="25" t="s">
        <v>498</v>
      </c>
      <c r="B237" s="27"/>
      <c r="C237" s="27"/>
      <c r="D237" s="27"/>
    </row>
    <row r="238" spans="1:8" ht="26.25" customHeight="1" thickBot="1" x14ac:dyDescent="0.35">
      <c r="A238" s="13" t="s">
        <v>521</v>
      </c>
      <c r="B238" s="2">
        <v>1.6080000000000001</v>
      </c>
      <c r="C238" s="2">
        <v>1.28</v>
      </c>
      <c r="D238" s="2">
        <v>2.02</v>
      </c>
      <c r="H238" s="8" t="str">
        <f t="shared" ref="H238:H240" si="2">TEXT(B238,"0.00")&amp;" ("&amp;TEXT(C238,"0.00")&amp;" to "&amp;TEXT(D238,"0.00")&amp;")"</f>
        <v>1.61 (1.28 to 2.02)</v>
      </c>
    </row>
    <row r="239" spans="1:8" ht="26.25" customHeight="1" thickBot="1" x14ac:dyDescent="0.35">
      <c r="A239" s="13" t="s">
        <v>522</v>
      </c>
      <c r="B239" s="2">
        <v>2.044</v>
      </c>
      <c r="C239" s="2">
        <v>1.6439999999999999</v>
      </c>
      <c r="D239" s="2">
        <v>2.5419999999999998</v>
      </c>
      <c r="H239" s="8" t="str">
        <f t="shared" si="2"/>
        <v>2.04 (1.64 to 2.54)</v>
      </c>
    </row>
    <row r="240" spans="1:8" ht="25.5" customHeight="1" x14ac:dyDescent="0.3">
      <c r="A240" s="14" t="s">
        <v>523</v>
      </c>
      <c r="B240" s="2">
        <v>1.982</v>
      </c>
      <c r="C240" s="2">
        <v>1.59</v>
      </c>
      <c r="D240" s="2">
        <v>2.4700000000000002</v>
      </c>
      <c r="H240" s="8" t="str">
        <f t="shared" si="2"/>
        <v>1.98 (1.59 to 2.47)</v>
      </c>
    </row>
    <row r="241" spans="1:4" ht="16.5" customHeight="1" thickBot="1" x14ac:dyDescent="0.35"/>
    <row r="242" spans="1:4" ht="33" customHeight="1" x14ac:dyDescent="0.3">
      <c r="A242" s="24" t="s">
        <v>502</v>
      </c>
      <c r="B242" s="26"/>
      <c r="C242" s="26"/>
      <c r="D242" s="26"/>
    </row>
    <row r="243" spans="1:4" ht="39" customHeight="1" thickBot="1" x14ac:dyDescent="0.35">
      <c r="A243" s="13" t="s">
        <v>503</v>
      </c>
      <c r="B243" s="2">
        <v>35.5</v>
      </c>
      <c r="C243" s="12" t="s">
        <v>504</v>
      </c>
      <c r="D243" s="2">
        <v>0.115</v>
      </c>
    </row>
    <row r="244" spans="1:4" ht="26.25" customHeight="1" thickBot="1" x14ac:dyDescent="0.35">
      <c r="A244" s="13" t="s">
        <v>505</v>
      </c>
      <c r="B244" s="2">
        <v>24</v>
      </c>
      <c r="C244" s="12" t="s">
        <v>506</v>
      </c>
      <c r="D244" s="2">
        <v>0.193</v>
      </c>
    </row>
    <row r="245" spans="1:4" ht="26.25" customHeight="1" thickBot="1" x14ac:dyDescent="0.35">
      <c r="A245" s="13" t="s">
        <v>507</v>
      </c>
      <c r="B245" s="2">
        <v>40.6</v>
      </c>
      <c r="C245" s="12" t="s">
        <v>508</v>
      </c>
      <c r="D245" s="2">
        <v>4.0000000000000001E-3</v>
      </c>
    </row>
    <row r="246" spans="1:4" ht="16.5" customHeight="1" x14ac:dyDescent="0.3">
      <c r="A246" s="14" t="s">
        <v>509</v>
      </c>
      <c r="B246" s="2">
        <v>80988234</v>
      </c>
      <c r="C246" s="15" t="s">
        <v>510</v>
      </c>
      <c r="D246" s="2">
        <v>0.55800000000000005</v>
      </c>
    </row>
    <row r="247" spans="1:4" ht="16.5" customHeight="1" x14ac:dyDescent="0.3"/>
    <row r="248" spans="1:4" ht="16.5" customHeight="1" x14ac:dyDescent="0.3"/>
    <row r="249" spans="1:4" ht="16.5" customHeight="1" x14ac:dyDescent="0.3"/>
    <row r="250" spans="1:4" ht="16.5" customHeight="1" x14ac:dyDescent="0.3">
      <c r="A250" s="1" t="s">
        <v>436</v>
      </c>
    </row>
    <row r="251" spans="1:4" ht="16.5" customHeight="1" thickBot="1" x14ac:dyDescent="0.35"/>
    <row r="252" spans="1:4" ht="16.5" customHeight="1" x14ac:dyDescent="0.3">
      <c r="A252" s="24" t="s">
        <v>437</v>
      </c>
      <c r="B252" s="26"/>
    </row>
    <row r="253" spans="1:4" ht="26.25" customHeight="1" thickBot="1" x14ac:dyDescent="0.35">
      <c r="A253" s="13" t="s">
        <v>438</v>
      </c>
      <c r="B253" s="18" t="s">
        <v>439</v>
      </c>
    </row>
    <row r="254" spans="1:4" ht="26.25" customHeight="1" thickBot="1" x14ac:dyDescent="0.35">
      <c r="A254" s="13" t="s">
        <v>440</v>
      </c>
      <c r="B254" s="18" t="s">
        <v>19</v>
      </c>
    </row>
    <row r="255" spans="1:4" ht="39" customHeight="1" thickBot="1" x14ac:dyDescent="0.35">
      <c r="A255" s="13" t="s">
        <v>441</v>
      </c>
      <c r="B255" s="18">
        <v>2</v>
      </c>
    </row>
    <row r="256" spans="1:4" ht="26.25" customHeight="1" thickBot="1" x14ac:dyDescent="0.35">
      <c r="A256" s="13" t="s">
        <v>442</v>
      </c>
      <c r="B256" s="18" t="s">
        <v>443</v>
      </c>
    </row>
    <row r="257" spans="1:2" ht="26.25" customHeight="1" thickBot="1" x14ac:dyDescent="0.35">
      <c r="A257" s="13" t="s">
        <v>76</v>
      </c>
      <c r="B257" s="18">
        <v>183</v>
      </c>
    </row>
    <row r="258" spans="1:2" ht="26.25" customHeight="1" thickBot="1" x14ac:dyDescent="0.35">
      <c r="A258" s="13" t="s">
        <v>444</v>
      </c>
      <c r="B258" s="18" t="s">
        <v>445</v>
      </c>
    </row>
    <row r="259" spans="1:2" ht="26.25" customHeight="1" thickBot="1" x14ac:dyDescent="0.35">
      <c r="A259" s="13" t="s">
        <v>77</v>
      </c>
      <c r="B259" s="18">
        <v>2982</v>
      </c>
    </row>
    <row r="260" spans="1:2" ht="26.25" customHeight="1" thickBot="1" x14ac:dyDescent="0.35">
      <c r="A260" s="13" t="s">
        <v>446</v>
      </c>
      <c r="B260" s="18" t="s">
        <v>447</v>
      </c>
    </row>
    <row r="261" spans="1:2" ht="26.25" customHeight="1" thickBot="1" x14ac:dyDescent="0.35">
      <c r="A261" s="13" t="s">
        <v>448</v>
      </c>
      <c r="B261" s="18" t="s">
        <v>449</v>
      </c>
    </row>
    <row r="262" spans="1:2" ht="39" customHeight="1" thickBot="1" x14ac:dyDescent="0.35">
      <c r="A262" s="13" t="s">
        <v>450</v>
      </c>
      <c r="B262" s="18" t="s">
        <v>451</v>
      </c>
    </row>
    <row r="263" spans="1:2" ht="38.25" customHeight="1" x14ac:dyDescent="0.3">
      <c r="A263" s="14" t="s">
        <v>452</v>
      </c>
      <c r="B263" s="19" t="s">
        <v>453</v>
      </c>
    </row>
    <row r="264" spans="1:2" ht="16.5" customHeight="1" thickBot="1" x14ac:dyDescent="0.35"/>
    <row r="265" spans="1:2" ht="33" customHeight="1" x14ac:dyDescent="0.3">
      <c r="A265" s="24" t="s">
        <v>80</v>
      </c>
      <c r="B265" s="26"/>
    </row>
    <row r="266" spans="1:2" ht="33.75" customHeight="1" thickBot="1" x14ac:dyDescent="0.35">
      <c r="A266" s="13" t="s">
        <v>81</v>
      </c>
      <c r="B266" s="2" t="s">
        <v>82</v>
      </c>
    </row>
    <row r="267" spans="1:2" ht="66" customHeight="1" x14ac:dyDescent="0.3">
      <c r="A267" s="14" t="s">
        <v>452</v>
      </c>
      <c r="B267" s="2" t="s">
        <v>453</v>
      </c>
    </row>
    <row r="268" spans="1:2" ht="16.5" customHeight="1" thickBot="1" x14ac:dyDescent="0.35"/>
    <row r="269" spans="1:2" ht="39" customHeight="1" thickBot="1" x14ac:dyDescent="0.35">
      <c r="A269" s="20" t="s">
        <v>454</v>
      </c>
      <c r="B269" s="21">
        <v>68635</v>
      </c>
    </row>
    <row r="270" spans="1:2" ht="39" customHeight="1" thickBot="1" x14ac:dyDescent="0.35">
      <c r="A270" s="13" t="s">
        <v>455</v>
      </c>
      <c r="B270" s="2">
        <v>68635</v>
      </c>
    </row>
    <row r="271" spans="1:2" ht="39" customHeight="1" thickBot="1" x14ac:dyDescent="0.35">
      <c r="A271" s="13" t="s">
        <v>456</v>
      </c>
      <c r="B271" s="2">
        <v>30251936</v>
      </c>
    </row>
    <row r="272" spans="1:2" ht="38.25" customHeight="1" x14ac:dyDescent="0.3">
      <c r="A272" s="14" t="s">
        <v>457</v>
      </c>
      <c r="B272" s="2">
        <v>30251936</v>
      </c>
    </row>
    <row r="273" spans="1:5" ht="16.5" customHeight="1" thickBot="1" x14ac:dyDescent="0.35"/>
    <row r="274" spans="1:5" ht="16.5" customHeight="1" x14ac:dyDescent="0.3">
      <c r="A274" s="24" t="s">
        <v>458</v>
      </c>
      <c r="B274" s="26"/>
      <c r="C274" s="26"/>
      <c r="D274" s="26"/>
    </row>
    <row r="275" spans="1:5" ht="16.5" customHeight="1" x14ac:dyDescent="0.3">
      <c r="A275" s="6" t="s">
        <v>459</v>
      </c>
      <c r="B275" s="27" t="s">
        <v>19</v>
      </c>
      <c r="C275" s="3" t="s">
        <v>93</v>
      </c>
      <c r="D275" s="3" t="s">
        <v>93</v>
      </c>
    </row>
    <row r="276" spans="1:5" ht="33" customHeight="1" x14ac:dyDescent="0.3">
      <c r="A276" s="6" t="s">
        <v>460</v>
      </c>
      <c r="B276" s="27"/>
      <c r="C276" s="3" t="s">
        <v>86</v>
      </c>
      <c r="D276" s="3" t="s">
        <v>461</v>
      </c>
    </row>
    <row r="277" spans="1:5" ht="17.25" customHeight="1" thickBot="1" x14ac:dyDescent="0.35">
      <c r="A277" s="6">
        <v>1</v>
      </c>
      <c r="B277" s="17">
        <v>0</v>
      </c>
      <c r="C277" s="2">
        <v>67434</v>
      </c>
      <c r="D277" s="2">
        <v>29874191</v>
      </c>
    </row>
    <row r="278" spans="1:5" ht="16.5" customHeight="1" x14ac:dyDescent="0.3">
      <c r="A278" s="6">
        <v>2</v>
      </c>
      <c r="B278" s="22">
        <v>1</v>
      </c>
      <c r="C278" s="2">
        <v>1201</v>
      </c>
      <c r="D278" s="2">
        <v>377745</v>
      </c>
    </row>
    <row r="279" spans="1:5" ht="16.5" customHeight="1" x14ac:dyDescent="0.3"/>
    <row r="280" spans="1:5" ht="16.5" customHeight="1" x14ac:dyDescent="0.3">
      <c r="A280" s="1" t="s">
        <v>513</v>
      </c>
    </row>
    <row r="281" spans="1:5" ht="16.5" customHeight="1" thickBot="1" x14ac:dyDescent="0.35"/>
    <row r="282" spans="1:5" ht="16.5" customHeight="1" x14ac:dyDescent="0.3">
      <c r="A282" s="24" t="s">
        <v>462</v>
      </c>
      <c r="B282" s="26"/>
      <c r="C282" s="26"/>
      <c r="D282" s="26"/>
      <c r="E282" s="26"/>
    </row>
    <row r="283" spans="1:5" ht="16.5" customHeight="1" x14ac:dyDescent="0.3">
      <c r="A283" s="6" t="s">
        <v>463</v>
      </c>
      <c r="B283" s="3" t="s">
        <v>460</v>
      </c>
      <c r="C283" s="27" t="s">
        <v>464</v>
      </c>
      <c r="D283" s="27"/>
      <c r="E283" s="27"/>
    </row>
    <row r="284" spans="1:5" ht="17.25" thickBot="1" x14ac:dyDescent="0.35">
      <c r="A284" s="13" t="s">
        <v>28</v>
      </c>
      <c r="B284" s="12">
        <v>1</v>
      </c>
      <c r="C284" s="2">
        <v>0</v>
      </c>
      <c r="D284" s="2">
        <v>0</v>
      </c>
      <c r="E284" s="2">
        <v>0</v>
      </c>
    </row>
    <row r="285" spans="1:5" ht="17.25" customHeight="1" thickBot="1" x14ac:dyDescent="0.35">
      <c r="A285" s="13"/>
      <c r="B285" s="12">
        <v>2</v>
      </c>
      <c r="C285" s="2">
        <v>1</v>
      </c>
      <c r="D285" s="2">
        <v>0</v>
      </c>
      <c r="E285" s="2">
        <v>0</v>
      </c>
    </row>
    <row r="286" spans="1:5" ht="17.25" customHeight="1" thickBot="1" x14ac:dyDescent="0.35">
      <c r="A286" s="13"/>
      <c r="B286" s="12">
        <v>3</v>
      </c>
      <c r="C286" s="2">
        <v>0</v>
      </c>
      <c r="D286" s="2">
        <v>1</v>
      </c>
      <c r="E286" s="2">
        <v>0</v>
      </c>
    </row>
    <row r="287" spans="1:5" ht="16.5" customHeight="1" x14ac:dyDescent="0.3">
      <c r="A287" s="14"/>
      <c r="B287" s="15">
        <v>4</v>
      </c>
      <c r="C287" s="2">
        <v>0</v>
      </c>
      <c r="D287" s="2">
        <v>0</v>
      </c>
      <c r="E287" s="2">
        <v>1</v>
      </c>
    </row>
    <row r="288" spans="1:5" ht="16.5" customHeight="1" thickBot="1" x14ac:dyDescent="0.35"/>
    <row r="289" spans="1:5" ht="66" customHeight="1" x14ac:dyDescent="0.3">
      <c r="A289" s="4" t="s">
        <v>465</v>
      </c>
    </row>
    <row r="290" spans="1:5" ht="99" customHeight="1" x14ac:dyDescent="0.3">
      <c r="A290" s="23" t="s">
        <v>466</v>
      </c>
    </row>
    <row r="291" spans="1:5" ht="16.5" customHeight="1" thickBot="1" x14ac:dyDescent="0.35"/>
    <row r="292" spans="1:5" ht="16.5" customHeight="1" x14ac:dyDescent="0.3">
      <c r="A292" s="24" t="s">
        <v>467</v>
      </c>
      <c r="B292" s="26"/>
      <c r="C292" s="26"/>
    </row>
    <row r="293" spans="1:5" ht="66" customHeight="1" x14ac:dyDescent="0.3">
      <c r="A293" s="6" t="s">
        <v>468</v>
      </c>
      <c r="B293" s="3" t="s">
        <v>469</v>
      </c>
      <c r="C293" s="3" t="s">
        <v>470</v>
      </c>
    </row>
    <row r="294" spans="1:5" ht="17.25" customHeight="1" thickBot="1" x14ac:dyDescent="0.35">
      <c r="A294" s="13" t="s">
        <v>471</v>
      </c>
      <c r="B294" s="2">
        <v>4062139.5</v>
      </c>
      <c r="C294" s="2">
        <v>3999248</v>
      </c>
    </row>
    <row r="295" spans="1:5" ht="17.25" customHeight="1" thickBot="1" x14ac:dyDescent="0.35">
      <c r="A295" s="13" t="s">
        <v>472</v>
      </c>
      <c r="B295" s="2">
        <v>4062154.7</v>
      </c>
      <c r="C295" s="2">
        <v>3999308.9</v>
      </c>
    </row>
    <row r="296" spans="1:5" ht="16.5" customHeight="1" x14ac:dyDescent="0.3">
      <c r="A296" s="14" t="s">
        <v>473</v>
      </c>
      <c r="B296" s="2" t="s">
        <v>514</v>
      </c>
      <c r="C296" s="2">
        <v>3999240</v>
      </c>
    </row>
    <row r="297" spans="1:5" ht="16.5" customHeight="1" thickBot="1" x14ac:dyDescent="0.35"/>
    <row r="298" spans="1:5" ht="16.5" customHeight="1" x14ac:dyDescent="0.3">
      <c r="A298" s="24" t="s">
        <v>474</v>
      </c>
      <c r="B298" s="26"/>
      <c r="C298" s="26"/>
      <c r="D298" s="26"/>
      <c r="E298" s="26"/>
    </row>
    <row r="299" spans="1:5" ht="16.5" customHeight="1" x14ac:dyDescent="0.3">
      <c r="A299" s="6" t="s">
        <v>475</v>
      </c>
      <c r="B299" s="3" t="s">
        <v>476</v>
      </c>
      <c r="C299" s="3" t="s">
        <v>477</v>
      </c>
      <c r="D299" s="3" t="s">
        <v>478</v>
      </c>
      <c r="E299" s="3" t="s">
        <v>479</v>
      </c>
    </row>
    <row r="300" spans="1:5" ht="33" customHeight="1" x14ac:dyDescent="0.3">
      <c r="A300" s="25" t="s">
        <v>604</v>
      </c>
      <c r="B300" s="27"/>
      <c r="C300" s="27"/>
      <c r="D300" s="27"/>
      <c r="E300" s="27"/>
    </row>
    <row r="301" spans="1:5" ht="26.25" customHeight="1" thickBot="1" x14ac:dyDescent="0.35">
      <c r="A301" s="13" t="s">
        <v>481</v>
      </c>
      <c r="B301" s="2">
        <v>47.91</v>
      </c>
      <c r="C301" s="2">
        <v>2.9916999999999998</v>
      </c>
      <c r="D301" s="2">
        <v>8373.68</v>
      </c>
      <c r="E301" s="2" t="s">
        <v>482</v>
      </c>
    </row>
    <row r="302" spans="1:5" ht="17.25" customHeight="1" thickBot="1" x14ac:dyDescent="0.35">
      <c r="A302" s="13" t="s">
        <v>483</v>
      </c>
      <c r="B302" s="2">
        <v>70.02</v>
      </c>
      <c r="C302" s="2">
        <v>3</v>
      </c>
      <c r="D302" s="2">
        <v>2797</v>
      </c>
      <c r="E302" s="2" t="s">
        <v>482</v>
      </c>
    </row>
    <row r="303" spans="1:5" ht="16.5" customHeight="1" x14ac:dyDescent="0.3">
      <c r="A303" s="14" t="s">
        <v>484</v>
      </c>
      <c r="B303" s="2">
        <v>36.72</v>
      </c>
      <c r="C303" s="2">
        <v>3</v>
      </c>
      <c r="D303" s="2">
        <v>2797</v>
      </c>
      <c r="E303" s="2" t="s">
        <v>482</v>
      </c>
    </row>
    <row r="304" spans="1:5" ht="16.5" customHeight="1" thickBot="1" x14ac:dyDescent="0.35"/>
    <row r="305" spans="1:6" ht="16.5" customHeight="1" x14ac:dyDescent="0.3">
      <c r="A305" s="24" t="s">
        <v>485</v>
      </c>
      <c r="B305" s="26"/>
      <c r="C305" s="26"/>
      <c r="D305" s="26"/>
      <c r="E305" s="26"/>
    </row>
    <row r="306" spans="1:6" ht="16.5" customHeight="1" x14ac:dyDescent="0.3">
      <c r="A306" s="6" t="s">
        <v>486</v>
      </c>
      <c r="B306" s="3" t="s">
        <v>476</v>
      </c>
      <c r="C306" s="3" t="s">
        <v>477</v>
      </c>
      <c r="D306" s="3" t="s">
        <v>478</v>
      </c>
      <c r="E306" s="3" t="s">
        <v>479</v>
      </c>
    </row>
    <row r="307" spans="1:6" x14ac:dyDescent="0.3">
      <c r="A307" s="14" t="s">
        <v>28</v>
      </c>
      <c r="B307" s="2">
        <v>36.72</v>
      </c>
      <c r="C307" s="2">
        <v>3</v>
      </c>
      <c r="D307" s="2">
        <v>2797</v>
      </c>
      <c r="E307" s="2" t="s">
        <v>482</v>
      </c>
    </row>
    <row r="308" spans="1:6" ht="16.5" customHeight="1" thickBot="1" x14ac:dyDescent="0.35"/>
    <row r="309" spans="1:6" ht="16.5" customHeight="1" x14ac:dyDescent="0.3">
      <c r="A309" s="24" t="s">
        <v>487</v>
      </c>
      <c r="B309" s="26"/>
      <c r="C309" s="26"/>
      <c r="D309" s="26"/>
      <c r="E309" s="26"/>
      <c r="F309" s="26"/>
    </row>
    <row r="310" spans="1:6" ht="16.5" customHeight="1" x14ac:dyDescent="0.3">
      <c r="A310" s="25" t="s">
        <v>488</v>
      </c>
      <c r="B310" s="27"/>
      <c r="C310" s="27" t="s">
        <v>489</v>
      </c>
      <c r="D310" s="3" t="s">
        <v>490</v>
      </c>
      <c r="E310" s="27" t="s">
        <v>492</v>
      </c>
      <c r="F310" s="27" t="s">
        <v>493</v>
      </c>
    </row>
    <row r="311" spans="1:6" ht="16.5" customHeight="1" x14ac:dyDescent="0.3">
      <c r="A311" s="25"/>
      <c r="B311" s="27"/>
      <c r="C311" s="27"/>
      <c r="D311" s="3" t="s">
        <v>491</v>
      </c>
      <c r="E311" s="27"/>
      <c r="F311" s="27"/>
    </row>
    <row r="312" spans="1:6" ht="16.5" customHeight="1" x14ac:dyDescent="0.3">
      <c r="A312" s="25" t="s">
        <v>494</v>
      </c>
      <c r="B312" s="27"/>
      <c r="C312" s="27"/>
      <c r="D312" s="27"/>
      <c r="E312" s="27"/>
      <c r="F312" s="27"/>
    </row>
    <row r="313" spans="1:6" ht="17.25" customHeight="1" thickBot="1" x14ac:dyDescent="0.35">
      <c r="A313" s="13" t="s">
        <v>495</v>
      </c>
      <c r="B313" s="12"/>
      <c r="C313" s="16">
        <v>-5.2975000000000003</v>
      </c>
      <c r="D313" s="2">
        <v>0.11360000000000001</v>
      </c>
      <c r="E313" s="16">
        <v>-46.63</v>
      </c>
      <c r="F313" s="2" t="s">
        <v>482</v>
      </c>
    </row>
    <row r="314" spans="1:6" ht="17.25" thickBot="1" x14ac:dyDescent="0.35">
      <c r="A314" s="13" t="s">
        <v>28</v>
      </c>
      <c r="B314" s="12">
        <v>2</v>
      </c>
      <c r="C314" s="2">
        <v>0.80030000000000001</v>
      </c>
      <c r="D314" s="2">
        <v>0.13600000000000001</v>
      </c>
      <c r="E314" s="2">
        <v>5.89</v>
      </c>
      <c r="F314" s="2" t="s">
        <v>482</v>
      </c>
    </row>
    <row r="315" spans="1:6" ht="17.25" thickBot="1" x14ac:dyDescent="0.35">
      <c r="A315" s="13" t="s">
        <v>28</v>
      </c>
      <c r="B315" s="12">
        <v>3</v>
      </c>
      <c r="C315" s="2">
        <v>1.1609</v>
      </c>
      <c r="D315" s="2">
        <v>0.12759999999999999</v>
      </c>
      <c r="E315" s="2">
        <v>9.1</v>
      </c>
      <c r="F315" s="2" t="s">
        <v>482</v>
      </c>
    </row>
    <row r="316" spans="1:6" x14ac:dyDescent="0.3">
      <c r="A316" s="14" t="s">
        <v>28</v>
      </c>
      <c r="B316" s="15">
        <v>4</v>
      </c>
      <c r="C316" s="2">
        <v>1.2609999999999999</v>
      </c>
      <c r="D316" s="2">
        <v>0.12909999999999999</v>
      </c>
      <c r="E316" s="2">
        <v>9.77</v>
      </c>
      <c r="F316" s="2" t="s">
        <v>482</v>
      </c>
    </row>
    <row r="317" spans="1:6" ht="16.5" customHeight="1" thickBot="1" x14ac:dyDescent="0.35"/>
    <row r="318" spans="1:6" ht="16.5" customHeight="1" x14ac:dyDescent="0.3">
      <c r="A318" s="24" t="s">
        <v>496</v>
      </c>
      <c r="B318" s="26"/>
      <c r="C318" s="26"/>
      <c r="D318" s="26"/>
    </row>
    <row r="319" spans="1:6" ht="33" customHeight="1" x14ac:dyDescent="0.3">
      <c r="A319" s="6" t="s">
        <v>486</v>
      </c>
      <c r="B319" s="3" t="s">
        <v>497</v>
      </c>
      <c r="C319" s="27" t="s">
        <v>91</v>
      </c>
      <c r="D319" s="27"/>
    </row>
    <row r="320" spans="1:6" ht="49.5" customHeight="1" x14ac:dyDescent="0.3">
      <c r="A320" s="25" t="s">
        <v>498</v>
      </c>
      <c r="B320" s="27"/>
      <c r="C320" s="27"/>
      <c r="D320" s="27"/>
    </row>
    <row r="321" spans="1:8" ht="26.25" customHeight="1" thickBot="1" x14ac:dyDescent="0.35">
      <c r="A321" s="13" t="s">
        <v>525</v>
      </c>
      <c r="B321" s="2">
        <v>2.226</v>
      </c>
      <c r="C321" s="2">
        <v>1.7050000000000001</v>
      </c>
      <c r="D321" s="2">
        <v>2.9060000000000001</v>
      </c>
      <c r="H321" s="8" t="str">
        <f t="shared" ref="H321:H323" si="3">TEXT(B321,"0.00")&amp;" ("&amp;TEXT(C321,"0.00")&amp;" to "&amp;TEXT(D321,"0.00")&amp;")"</f>
        <v>2.23 (1.71 to 2.91)</v>
      </c>
    </row>
    <row r="322" spans="1:8" ht="26.25" customHeight="1" thickBot="1" x14ac:dyDescent="0.35">
      <c r="A322" s="13" t="s">
        <v>526</v>
      </c>
      <c r="B322" s="2">
        <v>3.1930000000000001</v>
      </c>
      <c r="C322" s="2">
        <v>2.4860000000000002</v>
      </c>
      <c r="D322" s="2">
        <v>4.0999999999999996</v>
      </c>
      <c r="H322" s="8" t="str">
        <f t="shared" si="3"/>
        <v>3.19 (2.49 to 4.10)</v>
      </c>
    </row>
    <row r="323" spans="1:8" ht="25.5" customHeight="1" x14ac:dyDescent="0.3">
      <c r="A323" s="14" t="s">
        <v>527</v>
      </c>
      <c r="B323" s="2">
        <v>3.5289999999999999</v>
      </c>
      <c r="C323" s="2">
        <v>2.74</v>
      </c>
      <c r="D323" s="2">
        <v>4.5460000000000003</v>
      </c>
      <c r="H323" s="8" t="str">
        <f t="shared" si="3"/>
        <v>3.53 (2.74 to 4.55)</v>
      </c>
    </row>
    <row r="324" spans="1:8" ht="16.5" customHeight="1" thickBot="1" x14ac:dyDescent="0.35"/>
    <row r="325" spans="1:8" ht="33" customHeight="1" x14ac:dyDescent="0.3">
      <c r="A325" s="24" t="s">
        <v>502</v>
      </c>
      <c r="B325" s="26"/>
      <c r="C325" s="26"/>
      <c r="D325" s="26"/>
    </row>
    <row r="326" spans="1:8" ht="39" customHeight="1" thickBot="1" x14ac:dyDescent="0.35">
      <c r="A326" s="13" t="s">
        <v>503</v>
      </c>
      <c r="B326" s="2">
        <v>47.7</v>
      </c>
      <c r="C326" s="12" t="s">
        <v>504</v>
      </c>
      <c r="D326" s="2">
        <v>0.20899999999999999</v>
      </c>
    </row>
    <row r="327" spans="1:8" ht="26.25" customHeight="1" thickBot="1" x14ac:dyDescent="0.35">
      <c r="A327" s="13" t="s">
        <v>505</v>
      </c>
      <c r="B327" s="2">
        <v>26.8</v>
      </c>
      <c r="C327" s="12" t="s">
        <v>506</v>
      </c>
      <c r="D327" s="2">
        <v>0.28100000000000003</v>
      </c>
    </row>
    <row r="328" spans="1:8" ht="26.25" customHeight="1" thickBot="1" x14ac:dyDescent="0.35">
      <c r="A328" s="13" t="s">
        <v>507</v>
      </c>
      <c r="B328" s="2">
        <v>25.5</v>
      </c>
      <c r="C328" s="12" t="s">
        <v>508</v>
      </c>
      <c r="D328" s="2">
        <v>7.0000000000000001E-3</v>
      </c>
    </row>
    <row r="329" spans="1:8" ht="16.5" customHeight="1" x14ac:dyDescent="0.3">
      <c r="A329" s="14" t="s">
        <v>509</v>
      </c>
      <c r="B329" s="2">
        <v>80988234</v>
      </c>
      <c r="C329" s="15" t="s">
        <v>510</v>
      </c>
      <c r="D329" s="2">
        <v>0.60399999999999998</v>
      </c>
    </row>
  </sheetData>
  <autoFilter ref="A1:A329" xr:uid="{4A34C0F6-57F8-4966-853E-B035EF8F1DF8}"/>
  <mergeCells count="84">
    <mergeCell ref="C34:E34"/>
    <mergeCell ref="A3:B3"/>
    <mergeCell ref="A16:B16"/>
    <mergeCell ref="A25:D25"/>
    <mergeCell ref="B26:B27"/>
    <mergeCell ref="A33:E33"/>
    <mergeCell ref="A61:A62"/>
    <mergeCell ref="B61:B62"/>
    <mergeCell ref="C61:C62"/>
    <mergeCell ref="E61:E62"/>
    <mergeCell ref="F61:F62"/>
    <mergeCell ref="A43:C43"/>
    <mergeCell ref="A49:E49"/>
    <mergeCell ref="A51:E51"/>
    <mergeCell ref="A56:E56"/>
    <mergeCell ref="A60:F60"/>
    <mergeCell ref="A126:C126"/>
    <mergeCell ref="A63:F63"/>
    <mergeCell ref="A69:D69"/>
    <mergeCell ref="C70:D70"/>
    <mergeCell ref="A71:D71"/>
    <mergeCell ref="A76:D76"/>
    <mergeCell ref="A86:B86"/>
    <mergeCell ref="A99:B99"/>
    <mergeCell ref="A108:D108"/>
    <mergeCell ref="B109:B110"/>
    <mergeCell ref="A116:E116"/>
    <mergeCell ref="C117:E117"/>
    <mergeCell ref="A132:E132"/>
    <mergeCell ref="A134:E134"/>
    <mergeCell ref="A139:E139"/>
    <mergeCell ref="A143:F143"/>
    <mergeCell ref="A144:A145"/>
    <mergeCell ref="B144:B145"/>
    <mergeCell ref="C144:C145"/>
    <mergeCell ref="E144:E145"/>
    <mergeCell ref="F144:F145"/>
    <mergeCell ref="A209:C209"/>
    <mergeCell ref="A146:F146"/>
    <mergeCell ref="A152:D152"/>
    <mergeCell ref="C153:D153"/>
    <mergeCell ref="A154:D154"/>
    <mergeCell ref="A159:D159"/>
    <mergeCell ref="A169:B169"/>
    <mergeCell ref="A182:B182"/>
    <mergeCell ref="A191:D191"/>
    <mergeCell ref="B192:B193"/>
    <mergeCell ref="A199:E199"/>
    <mergeCell ref="C200:E200"/>
    <mergeCell ref="A215:E215"/>
    <mergeCell ref="A217:E217"/>
    <mergeCell ref="A222:E222"/>
    <mergeCell ref="A226:F226"/>
    <mergeCell ref="A227:A228"/>
    <mergeCell ref="B227:B228"/>
    <mergeCell ref="C227:C228"/>
    <mergeCell ref="E227:E228"/>
    <mergeCell ref="F227:F228"/>
    <mergeCell ref="A292:C292"/>
    <mergeCell ref="A229:F229"/>
    <mergeCell ref="A235:D235"/>
    <mergeCell ref="C236:D236"/>
    <mergeCell ref="A237:D237"/>
    <mergeCell ref="A242:D242"/>
    <mergeCell ref="A252:B252"/>
    <mergeCell ref="A265:B265"/>
    <mergeCell ref="A274:D274"/>
    <mergeCell ref="B275:B276"/>
    <mergeCell ref="A282:E282"/>
    <mergeCell ref="C283:E283"/>
    <mergeCell ref="A298:E298"/>
    <mergeCell ref="A300:E300"/>
    <mergeCell ref="A305:E305"/>
    <mergeCell ref="A309:F309"/>
    <mergeCell ref="A310:A311"/>
    <mergeCell ref="B310:B311"/>
    <mergeCell ref="C310:C311"/>
    <mergeCell ref="E310:E311"/>
    <mergeCell ref="F310:F311"/>
    <mergeCell ref="A312:F312"/>
    <mergeCell ref="A318:D318"/>
    <mergeCell ref="C319:D319"/>
    <mergeCell ref="A320:D320"/>
    <mergeCell ref="A325:D32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B5B3-B705-4344-8ABB-5F9079BB6A53}">
  <sheetPr filterMode="1"/>
  <dimension ref="A1:I2717"/>
  <sheetViews>
    <sheetView workbookViewId="0">
      <selection activeCell="H155" sqref="H155"/>
    </sheetView>
  </sheetViews>
  <sheetFormatPr defaultRowHeight="16.5" x14ac:dyDescent="0.3"/>
  <cols>
    <col min="8" max="8" width="20.5" bestFit="1" customWidth="1"/>
    <col min="9" max="9" width="7.5" bestFit="1" customWidth="1"/>
  </cols>
  <sheetData>
    <row r="1" spans="1:2" x14ac:dyDescent="0.3">
      <c r="A1" s="1" t="s">
        <v>436</v>
      </c>
    </row>
    <row r="2" spans="1:2" ht="16.5" hidden="1" customHeight="1" x14ac:dyDescent="0.3"/>
    <row r="3" spans="1:2" ht="16.5" hidden="1" customHeight="1" x14ac:dyDescent="0.3">
      <c r="A3" s="1" t="s">
        <v>394</v>
      </c>
    </row>
    <row r="4" spans="1:2" ht="16.5" hidden="1" customHeight="1" thickBot="1" x14ac:dyDescent="0.3"/>
    <row r="5" spans="1:2" ht="16.5" hidden="1" customHeight="1" x14ac:dyDescent="0.3">
      <c r="A5" s="24" t="s">
        <v>437</v>
      </c>
      <c r="B5" s="26"/>
    </row>
    <row r="6" spans="1:2" ht="26.25" hidden="1" customHeight="1" thickBot="1" x14ac:dyDescent="0.35">
      <c r="A6" s="13" t="s">
        <v>438</v>
      </c>
      <c r="B6" s="18" t="s">
        <v>439</v>
      </c>
    </row>
    <row r="7" spans="1:2" ht="26.25" hidden="1" customHeight="1" thickBot="1" x14ac:dyDescent="0.35">
      <c r="A7" s="13" t="s">
        <v>440</v>
      </c>
      <c r="B7" s="18" t="s">
        <v>19</v>
      </c>
    </row>
    <row r="8" spans="1:2" ht="39" hidden="1" customHeight="1" thickBot="1" x14ac:dyDescent="0.35">
      <c r="A8" s="13" t="s">
        <v>441</v>
      </c>
      <c r="B8" s="18">
        <v>2</v>
      </c>
    </row>
    <row r="9" spans="1:2" ht="26.25" hidden="1" customHeight="1" thickBot="1" x14ac:dyDescent="0.35">
      <c r="A9" s="13" t="s">
        <v>442</v>
      </c>
      <c r="B9" s="18" t="s">
        <v>443</v>
      </c>
    </row>
    <row r="10" spans="1:2" ht="26.25" hidden="1" customHeight="1" thickBot="1" x14ac:dyDescent="0.35">
      <c r="A10" s="13" t="s">
        <v>76</v>
      </c>
      <c r="B10" s="18">
        <v>183</v>
      </c>
    </row>
    <row r="11" spans="1:2" ht="26.25" hidden="1" customHeight="1" thickBot="1" x14ac:dyDescent="0.35">
      <c r="A11" s="13" t="s">
        <v>444</v>
      </c>
      <c r="B11" s="18" t="s">
        <v>445</v>
      </c>
    </row>
    <row r="12" spans="1:2" ht="26.25" hidden="1" customHeight="1" thickBot="1" x14ac:dyDescent="0.35">
      <c r="A12" s="13" t="s">
        <v>77</v>
      </c>
      <c r="B12" s="18">
        <v>2855</v>
      </c>
    </row>
    <row r="13" spans="1:2" ht="26.25" hidden="1" customHeight="1" thickBot="1" x14ac:dyDescent="0.35">
      <c r="A13" s="13" t="s">
        <v>446</v>
      </c>
      <c r="B13" s="18" t="s">
        <v>447</v>
      </c>
    </row>
    <row r="14" spans="1:2" ht="26.25" hidden="1" customHeight="1" thickBot="1" x14ac:dyDescent="0.35">
      <c r="A14" s="13" t="s">
        <v>448</v>
      </c>
      <c r="B14" s="18" t="s">
        <v>449</v>
      </c>
    </row>
    <row r="15" spans="1:2" ht="39" hidden="1" customHeight="1" thickBot="1" x14ac:dyDescent="0.35">
      <c r="A15" s="13" t="s">
        <v>450</v>
      </c>
      <c r="B15" s="18" t="s">
        <v>451</v>
      </c>
    </row>
    <row r="16" spans="1:2" ht="38.25" hidden="1" customHeight="1" x14ac:dyDescent="0.3">
      <c r="A16" s="14" t="s">
        <v>452</v>
      </c>
      <c r="B16" s="19" t="s">
        <v>453</v>
      </c>
    </row>
    <row r="17" spans="1:4" ht="16.5" hidden="1" customHeight="1" thickBot="1" x14ac:dyDescent="0.3"/>
    <row r="18" spans="1:4" ht="33" hidden="1" customHeight="1" x14ac:dyDescent="0.3">
      <c r="A18" s="24" t="s">
        <v>80</v>
      </c>
      <c r="B18" s="26"/>
    </row>
    <row r="19" spans="1:4" ht="33.75" hidden="1" customHeight="1" thickBot="1" x14ac:dyDescent="0.35">
      <c r="A19" s="13" t="s">
        <v>81</v>
      </c>
      <c r="B19" s="2" t="s">
        <v>82</v>
      </c>
    </row>
    <row r="20" spans="1:4" ht="66" hidden="1" customHeight="1" x14ac:dyDescent="0.3">
      <c r="A20" s="14" t="s">
        <v>452</v>
      </c>
      <c r="B20" s="2" t="s">
        <v>453</v>
      </c>
    </row>
    <row r="21" spans="1:4" ht="16.5" hidden="1" customHeight="1" thickBot="1" x14ac:dyDescent="0.3"/>
    <row r="22" spans="1:4" ht="39" hidden="1" customHeight="1" thickBot="1" x14ac:dyDescent="0.35">
      <c r="A22" s="20" t="s">
        <v>454</v>
      </c>
      <c r="B22" s="21">
        <v>21079</v>
      </c>
    </row>
    <row r="23" spans="1:4" ht="39" hidden="1" customHeight="1" thickBot="1" x14ac:dyDescent="0.35">
      <c r="A23" s="13" t="s">
        <v>455</v>
      </c>
      <c r="B23" s="2">
        <v>21079</v>
      </c>
    </row>
    <row r="24" spans="1:4" ht="39" hidden="1" customHeight="1" thickBot="1" x14ac:dyDescent="0.35">
      <c r="A24" s="13" t="s">
        <v>456</v>
      </c>
      <c r="B24" s="2">
        <v>11834513</v>
      </c>
    </row>
    <row r="25" spans="1:4" ht="38.25" hidden="1" customHeight="1" x14ac:dyDescent="0.3">
      <c r="A25" s="14" t="s">
        <v>457</v>
      </c>
      <c r="B25" s="2">
        <v>11834513</v>
      </c>
    </row>
    <row r="26" spans="1:4" ht="16.5" hidden="1" customHeight="1" thickBot="1" x14ac:dyDescent="0.3"/>
    <row r="27" spans="1:4" ht="16.5" hidden="1" customHeight="1" x14ac:dyDescent="0.3">
      <c r="A27" s="24" t="s">
        <v>458</v>
      </c>
      <c r="B27" s="26"/>
      <c r="C27" s="26"/>
      <c r="D27" s="26"/>
    </row>
    <row r="28" spans="1:4" ht="16.5" hidden="1" customHeight="1" x14ac:dyDescent="0.3">
      <c r="A28" s="6" t="s">
        <v>459</v>
      </c>
      <c r="B28" s="27" t="s">
        <v>19</v>
      </c>
      <c r="C28" s="3" t="s">
        <v>93</v>
      </c>
      <c r="D28" s="3" t="s">
        <v>93</v>
      </c>
    </row>
    <row r="29" spans="1:4" ht="33" hidden="1" customHeight="1" x14ac:dyDescent="0.3">
      <c r="A29" s="6" t="s">
        <v>460</v>
      </c>
      <c r="B29" s="27"/>
      <c r="C29" s="3" t="s">
        <v>86</v>
      </c>
      <c r="D29" s="3" t="s">
        <v>461</v>
      </c>
    </row>
    <row r="30" spans="1:4" ht="17.25" hidden="1" customHeight="1" thickBot="1" x14ac:dyDescent="0.35">
      <c r="A30" s="6">
        <v>1</v>
      </c>
      <c r="B30" s="17">
        <v>0</v>
      </c>
      <c r="C30" s="2">
        <v>21070</v>
      </c>
      <c r="D30" s="2">
        <v>11829686</v>
      </c>
    </row>
    <row r="31" spans="1:4" ht="16.5" hidden="1" customHeight="1" x14ac:dyDescent="0.3">
      <c r="A31" s="6">
        <v>2</v>
      </c>
      <c r="B31" s="22">
        <v>1</v>
      </c>
      <c r="C31" s="2">
        <v>9</v>
      </c>
      <c r="D31" s="2">
        <v>4827</v>
      </c>
    </row>
    <row r="32" spans="1:4" ht="16.5" hidden="1" customHeight="1" x14ac:dyDescent="0.3"/>
    <row r="33" spans="1:5" ht="16.5" hidden="1" customHeight="1" x14ac:dyDescent="0.3">
      <c r="A33" s="1" t="s">
        <v>513</v>
      </c>
    </row>
    <row r="34" spans="1:5" ht="16.5" hidden="1" customHeight="1" thickBot="1" x14ac:dyDescent="0.3"/>
    <row r="35" spans="1:5" ht="16.5" hidden="1" customHeight="1" x14ac:dyDescent="0.3">
      <c r="A35" s="24" t="s">
        <v>462</v>
      </c>
      <c r="B35" s="26"/>
      <c r="C35" s="26"/>
      <c r="D35" s="26"/>
      <c r="E35" s="26"/>
    </row>
    <row r="36" spans="1:5" ht="16.5" hidden="1" customHeight="1" x14ac:dyDescent="0.3">
      <c r="A36" s="6" t="s">
        <v>463</v>
      </c>
      <c r="B36" s="3" t="s">
        <v>460</v>
      </c>
      <c r="C36" s="27" t="s">
        <v>464</v>
      </c>
      <c r="D36" s="27"/>
      <c r="E36" s="27"/>
    </row>
    <row r="37" spans="1:5" ht="17.25" hidden="1" customHeight="1" thickBot="1" x14ac:dyDescent="0.35">
      <c r="A37" s="13" t="s">
        <v>22</v>
      </c>
      <c r="B37" s="12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13"/>
      <c r="B38" s="12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13"/>
      <c r="B39" s="12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14"/>
      <c r="B40" s="15">
        <v>4</v>
      </c>
      <c r="C40" s="2">
        <v>0</v>
      </c>
      <c r="D40" s="2">
        <v>0</v>
      </c>
      <c r="E40" s="2">
        <v>1</v>
      </c>
    </row>
    <row r="41" spans="1:5" ht="16.5" hidden="1" customHeight="1" thickBot="1" x14ac:dyDescent="0.3"/>
    <row r="42" spans="1:5" ht="66" hidden="1" customHeight="1" x14ac:dyDescent="0.3">
      <c r="A42" s="4" t="s">
        <v>465</v>
      </c>
    </row>
    <row r="43" spans="1:5" ht="99" hidden="1" customHeight="1" x14ac:dyDescent="0.3">
      <c r="A43" s="23" t="s">
        <v>466</v>
      </c>
    </row>
    <row r="44" spans="1:5" ht="16.5" hidden="1" customHeight="1" thickBot="1" x14ac:dyDescent="0.3"/>
    <row r="45" spans="1:5" ht="16.5" hidden="1" customHeight="1" x14ac:dyDescent="0.3">
      <c r="A45" s="24" t="s">
        <v>467</v>
      </c>
      <c r="B45" s="26"/>
      <c r="C45" s="26"/>
    </row>
    <row r="46" spans="1:5" ht="66" hidden="1" customHeight="1" x14ac:dyDescent="0.3">
      <c r="A46" s="6" t="s">
        <v>468</v>
      </c>
      <c r="B46" s="3" t="s">
        <v>469</v>
      </c>
      <c r="C46" s="3" t="s">
        <v>470</v>
      </c>
    </row>
    <row r="47" spans="1:5" ht="17.25" hidden="1" customHeight="1" thickBot="1" x14ac:dyDescent="0.35">
      <c r="A47" s="13" t="s">
        <v>471</v>
      </c>
      <c r="B47" s="2">
        <v>85001.486000000004</v>
      </c>
      <c r="C47" s="2">
        <v>84311.267000000007</v>
      </c>
    </row>
    <row r="48" spans="1:5" ht="17.25" hidden="1" customHeight="1" thickBot="1" x14ac:dyDescent="0.35">
      <c r="A48" s="13" t="s">
        <v>472</v>
      </c>
      <c r="B48" s="2">
        <v>85015.773000000001</v>
      </c>
      <c r="C48" s="2">
        <v>84368.413</v>
      </c>
    </row>
    <row r="49" spans="1:6" ht="16.5" hidden="1" customHeight="1" x14ac:dyDescent="0.3">
      <c r="A49" s="14" t="s">
        <v>473</v>
      </c>
      <c r="B49" s="2" t="s">
        <v>617</v>
      </c>
      <c r="C49" s="2">
        <v>84303.267000000007</v>
      </c>
    </row>
    <row r="50" spans="1:6" ht="16.5" hidden="1" customHeight="1" thickBot="1" x14ac:dyDescent="0.3"/>
    <row r="51" spans="1:6" ht="16.5" hidden="1" customHeight="1" x14ac:dyDescent="0.3">
      <c r="A51" s="24" t="s">
        <v>474</v>
      </c>
      <c r="B51" s="26"/>
      <c r="C51" s="26"/>
      <c r="D51" s="26"/>
      <c r="E51" s="26"/>
    </row>
    <row r="52" spans="1:6" ht="16.5" hidden="1" customHeight="1" x14ac:dyDescent="0.3">
      <c r="A52" s="6" t="s">
        <v>475</v>
      </c>
      <c r="B52" s="3" t="s">
        <v>476</v>
      </c>
      <c r="C52" s="3" t="s">
        <v>477</v>
      </c>
      <c r="D52" s="3" t="s">
        <v>478</v>
      </c>
      <c r="E52" s="3" t="s">
        <v>479</v>
      </c>
    </row>
    <row r="53" spans="1:6" ht="33" hidden="1" customHeight="1" x14ac:dyDescent="0.3">
      <c r="A53" s="25" t="s">
        <v>615</v>
      </c>
      <c r="B53" s="27"/>
      <c r="C53" s="27"/>
      <c r="D53" s="27"/>
      <c r="E53" s="27"/>
    </row>
    <row r="54" spans="1:6" ht="26.25" hidden="1" customHeight="1" thickBot="1" x14ac:dyDescent="0.35">
      <c r="A54" s="13" t="s">
        <v>481</v>
      </c>
      <c r="B54" s="2">
        <v>0.41</v>
      </c>
      <c r="C54" s="2">
        <v>3</v>
      </c>
      <c r="D54" s="2">
        <v>8015.98</v>
      </c>
      <c r="E54" s="2">
        <v>0.74319999999999997</v>
      </c>
    </row>
    <row r="55" spans="1:6" ht="17.25" hidden="1" customHeight="1" thickBot="1" x14ac:dyDescent="0.35">
      <c r="A55" s="13" t="s">
        <v>483</v>
      </c>
      <c r="B55" s="2">
        <v>2.16</v>
      </c>
      <c r="C55" s="2">
        <v>3</v>
      </c>
      <c r="D55" s="2">
        <v>2670</v>
      </c>
      <c r="E55" s="2">
        <v>9.1200000000000003E-2</v>
      </c>
    </row>
    <row r="56" spans="1:6" ht="16.5" hidden="1" customHeight="1" x14ac:dyDescent="0.3">
      <c r="A56" s="14" t="s">
        <v>484</v>
      </c>
      <c r="B56" s="2">
        <v>0.56999999999999995</v>
      </c>
      <c r="C56" s="2">
        <v>3</v>
      </c>
      <c r="D56" s="2">
        <v>2670</v>
      </c>
      <c r="E56" s="2">
        <v>0.63780000000000003</v>
      </c>
    </row>
    <row r="57" spans="1:6" ht="16.5" hidden="1" customHeight="1" thickBot="1" x14ac:dyDescent="0.3"/>
    <row r="58" spans="1:6" ht="16.5" hidden="1" customHeight="1" x14ac:dyDescent="0.3">
      <c r="A58" s="24" t="s">
        <v>485</v>
      </c>
      <c r="B58" s="26"/>
      <c r="C58" s="26"/>
      <c r="D58" s="26"/>
      <c r="E58" s="26"/>
    </row>
    <row r="59" spans="1:6" ht="16.5" hidden="1" customHeight="1" x14ac:dyDescent="0.3">
      <c r="A59" s="6" t="s">
        <v>486</v>
      </c>
      <c r="B59" s="3" t="s">
        <v>476</v>
      </c>
      <c r="C59" s="3" t="s">
        <v>477</v>
      </c>
      <c r="D59" s="3" t="s">
        <v>478</v>
      </c>
      <c r="E59" s="3" t="s">
        <v>479</v>
      </c>
    </row>
    <row r="60" spans="1:6" ht="16.5" hidden="1" customHeight="1" x14ac:dyDescent="0.3">
      <c r="A60" s="14" t="s">
        <v>22</v>
      </c>
      <c r="B60" s="2">
        <v>0.56999999999999995</v>
      </c>
      <c r="C60" s="2">
        <v>3</v>
      </c>
      <c r="D60" s="2">
        <v>2670</v>
      </c>
      <c r="E60" s="2">
        <v>0.63780000000000003</v>
      </c>
    </row>
    <row r="61" spans="1:6" ht="16.5" hidden="1" customHeight="1" thickBot="1" x14ac:dyDescent="0.3"/>
    <row r="62" spans="1:6" ht="16.5" hidden="1" customHeight="1" x14ac:dyDescent="0.3">
      <c r="A62" s="24" t="s">
        <v>487</v>
      </c>
      <c r="B62" s="26"/>
      <c r="C62" s="26"/>
      <c r="D62" s="26"/>
      <c r="E62" s="26"/>
      <c r="F62" s="26"/>
    </row>
    <row r="63" spans="1:6" ht="16.5" hidden="1" customHeight="1" x14ac:dyDescent="0.3">
      <c r="A63" s="25" t="s">
        <v>488</v>
      </c>
      <c r="B63" s="27"/>
      <c r="C63" s="27" t="s">
        <v>489</v>
      </c>
      <c r="D63" s="3" t="s">
        <v>490</v>
      </c>
      <c r="E63" s="27" t="s">
        <v>492</v>
      </c>
      <c r="F63" s="27" t="s">
        <v>493</v>
      </c>
    </row>
    <row r="64" spans="1:6" ht="16.5" hidden="1" customHeight="1" x14ac:dyDescent="0.3">
      <c r="A64" s="25"/>
      <c r="B64" s="27"/>
      <c r="C64" s="27"/>
      <c r="D64" s="3" t="s">
        <v>491</v>
      </c>
      <c r="E64" s="27"/>
      <c r="F64" s="27"/>
    </row>
    <row r="65" spans="1:9" ht="16.5" hidden="1" customHeight="1" x14ac:dyDescent="0.3">
      <c r="A65" s="25" t="s">
        <v>528</v>
      </c>
      <c r="B65" s="27"/>
      <c r="C65" s="27"/>
      <c r="D65" s="27"/>
      <c r="E65" s="27"/>
      <c r="F65" s="27"/>
    </row>
    <row r="66" spans="1:9" ht="17.25" hidden="1" customHeight="1" thickBot="1" x14ac:dyDescent="0.35">
      <c r="A66" s="13" t="s">
        <v>495</v>
      </c>
      <c r="B66" s="12"/>
      <c r="C66" s="16">
        <v>-7.6841999999999997</v>
      </c>
      <c r="D66" s="2">
        <v>0.69299999999999995</v>
      </c>
      <c r="E66" s="16">
        <v>-11.09</v>
      </c>
      <c r="F66" s="2" t="s">
        <v>482</v>
      </c>
      <c r="H66" t="str">
        <f>F66</f>
        <v>&lt;.0001</v>
      </c>
    </row>
    <row r="67" spans="1:9" ht="17.25" hidden="1" customHeight="1" thickBot="1" x14ac:dyDescent="0.35">
      <c r="A67" s="13" t="s">
        <v>22</v>
      </c>
      <c r="B67" s="12">
        <v>2</v>
      </c>
      <c r="C67" s="16">
        <v>-3.1899999999999998E-2</v>
      </c>
      <c r="D67" s="2">
        <v>0.95909999999999995</v>
      </c>
      <c r="E67" s="16">
        <v>-0.03</v>
      </c>
      <c r="F67" s="2">
        <v>0.97350000000000003</v>
      </c>
      <c r="H67">
        <f t="shared" ref="H67:H69" si="0">F67</f>
        <v>0.97350000000000003</v>
      </c>
    </row>
    <row r="68" spans="1:9" ht="17.25" hidden="1" customHeight="1" thickBot="1" x14ac:dyDescent="0.35">
      <c r="A68" s="13" t="s">
        <v>22</v>
      </c>
      <c r="B68" s="12">
        <v>3</v>
      </c>
      <c r="C68" s="2">
        <v>0.1103</v>
      </c>
      <c r="D68" s="2">
        <v>1.0490999999999999</v>
      </c>
      <c r="E68" s="2">
        <v>0.11</v>
      </c>
      <c r="F68" s="2">
        <v>0.9163</v>
      </c>
      <c r="H68">
        <f t="shared" si="0"/>
        <v>0.9163</v>
      </c>
    </row>
    <row r="69" spans="1:9" ht="16.5" hidden="1" customHeight="1" x14ac:dyDescent="0.3">
      <c r="A69" s="14" t="s">
        <v>22</v>
      </c>
      <c r="B69" s="15">
        <v>4</v>
      </c>
      <c r="C69" s="16">
        <v>-1.3824000000000001</v>
      </c>
      <c r="D69" s="2">
        <v>1.2175</v>
      </c>
      <c r="E69" s="16">
        <v>-1.1399999999999999</v>
      </c>
      <c r="F69" s="2">
        <v>0.25629999999999997</v>
      </c>
      <c r="H69">
        <f t="shared" si="0"/>
        <v>0.25629999999999997</v>
      </c>
    </row>
    <row r="70" spans="1:9" ht="16.5" hidden="1" customHeight="1" thickBot="1" x14ac:dyDescent="0.3"/>
    <row r="71" spans="1:9" ht="16.5" hidden="1" customHeight="1" x14ac:dyDescent="0.3">
      <c r="A71" s="24" t="s">
        <v>496</v>
      </c>
      <c r="B71" s="26"/>
      <c r="C71" s="26"/>
      <c r="D71" s="26"/>
    </row>
    <row r="72" spans="1:9" ht="33" hidden="1" customHeight="1" x14ac:dyDescent="0.3">
      <c r="A72" s="6" t="s">
        <v>486</v>
      </c>
      <c r="B72" s="3" t="s">
        <v>497</v>
      </c>
      <c r="C72" s="27" t="s">
        <v>91</v>
      </c>
      <c r="D72" s="27"/>
    </row>
    <row r="73" spans="1:9" ht="49.5" hidden="1" customHeight="1" x14ac:dyDescent="0.3">
      <c r="A73" s="25" t="s">
        <v>529</v>
      </c>
      <c r="B73" s="27"/>
      <c r="C73" s="27"/>
      <c r="D73" s="27"/>
    </row>
    <row r="74" spans="1:9" ht="26.25" customHeight="1" thickBot="1" x14ac:dyDescent="0.35">
      <c r="A74" s="13" t="s">
        <v>499</v>
      </c>
      <c r="B74" s="2">
        <v>0.96899999999999997</v>
      </c>
      <c r="C74" s="2">
        <v>0.14799999999999999</v>
      </c>
      <c r="D74" s="2">
        <v>6.3520000000000003</v>
      </c>
      <c r="H74" s="8" t="str">
        <f>TEXT(B74,"0.00")&amp;" ("&amp;TEXT(C74,"0.00")&amp;" to "&amp;TEXT(D74,"0.00")&amp;")"</f>
        <v>0.97 (0.15 to 6.35)</v>
      </c>
      <c r="I74">
        <f>F67</f>
        <v>0.97350000000000003</v>
      </c>
    </row>
    <row r="75" spans="1:9" ht="26.25" customHeight="1" thickBot="1" x14ac:dyDescent="0.35">
      <c r="A75" s="13" t="s">
        <v>500</v>
      </c>
      <c r="B75" s="2">
        <v>1.117</v>
      </c>
      <c r="C75" s="2">
        <v>0.14299999999999999</v>
      </c>
      <c r="D75" s="2">
        <v>8.7360000000000007</v>
      </c>
      <c r="H75" s="8" t="str">
        <f t="shared" ref="H75:H76" si="1">TEXT(B75,"0.00")&amp;" ("&amp;TEXT(C75,"0.00")&amp;" to "&amp;TEXT(D75,"0.00")&amp;")"</f>
        <v>1.12 (0.14 to 8.74)</v>
      </c>
      <c r="I75">
        <f t="shared" ref="I75:I76" si="2">F68</f>
        <v>0.9163</v>
      </c>
    </row>
    <row r="76" spans="1:9" ht="25.5" customHeight="1" thickBot="1" x14ac:dyDescent="0.35">
      <c r="A76" s="14" t="s">
        <v>501</v>
      </c>
      <c r="B76" s="2">
        <v>0.251</v>
      </c>
      <c r="C76" s="2">
        <v>2.3E-2</v>
      </c>
      <c r="D76" s="2">
        <v>2.7320000000000002</v>
      </c>
      <c r="H76" s="8" t="str">
        <f t="shared" si="1"/>
        <v>0.25 (0.02 to 2.73)</v>
      </c>
      <c r="I76">
        <f t="shared" si="2"/>
        <v>0.25629999999999997</v>
      </c>
    </row>
    <row r="77" spans="1:9" ht="16.5" hidden="1" customHeight="1" x14ac:dyDescent="0.3"/>
    <row r="78" spans="1:9" ht="33" hidden="1" customHeight="1" x14ac:dyDescent="0.3">
      <c r="A78" s="1" t="s">
        <v>616</v>
      </c>
    </row>
    <row r="79" spans="1:9" ht="39" hidden="1" customHeight="1" x14ac:dyDescent="0.3"/>
    <row r="80" spans="1:9" ht="26.25" hidden="1" customHeight="1" x14ac:dyDescent="0.3"/>
    <row r="81" spans="1:2" ht="26.25" hidden="1" customHeight="1" x14ac:dyDescent="0.3"/>
    <row r="82" spans="1:2" ht="16.5" hidden="1" customHeight="1" x14ac:dyDescent="0.3">
      <c r="A82" s="1" t="s">
        <v>436</v>
      </c>
    </row>
    <row r="83" spans="1:2" ht="16.5" hidden="1" customHeight="1" x14ac:dyDescent="0.3"/>
    <row r="84" spans="1:2" ht="16.5" hidden="1" customHeight="1" x14ac:dyDescent="0.3">
      <c r="A84" s="1" t="s">
        <v>395</v>
      </c>
    </row>
    <row r="85" spans="1:2" ht="16.5" hidden="1" customHeight="1" thickBot="1" x14ac:dyDescent="0.3"/>
    <row r="86" spans="1:2" ht="16.5" hidden="1" customHeight="1" x14ac:dyDescent="0.3">
      <c r="A86" s="24" t="s">
        <v>437</v>
      </c>
      <c r="B86" s="26"/>
    </row>
    <row r="87" spans="1:2" ht="16.5" hidden="1" customHeight="1" thickBot="1" x14ac:dyDescent="0.35">
      <c r="A87" s="13" t="s">
        <v>438</v>
      </c>
      <c r="B87" s="18" t="s">
        <v>439</v>
      </c>
    </row>
    <row r="88" spans="1:2" ht="16.5" hidden="1" customHeight="1" thickBot="1" x14ac:dyDescent="0.35">
      <c r="A88" s="13" t="s">
        <v>440</v>
      </c>
      <c r="B88" s="18" t="s">
        <v>19</v>
      </c>
    </row>
    <row r="89" spans="1:2" ht="16.5" hidden="1" customHeight="1" thickBot="1" x14ac:dyDescent="0.35">
      <c r="A89" s="13" t="s">
        <v>441</v>
      </c>
      <c r="B89" s="18">
        <v>2</v>
      </c>
    </row>
    <row r="90" spans="1:2" ht="16.5" hidden="1" customHeight="1" thickBot="1" x14ac:dyDescent="0.35">
      <c r="A90" s="13" t="s">
        <v>442</v>
      </c>
      <c r="B90" s="18" t="s">
        <v>443</v>
      </c>
    </row>
    <row r="91" spans="1:2" ht="26.25" hidden="1" customHeight="1" thickBot="1" x14ac:dyDescent="0.35">
      <c r="A91" s="13" t="s">
        <v>76</v>
      </c>
      <c r="B91" s="18">
        <v>183</v>
      </c>
    </row>
    <row r="92" spans="1:2" ht="26.25" hidden="1" customHeight="1" thickBot="1" x14ac:dyDescent="0.35">
      <c r="A92" s="13" t="s">
        <v>444</v>
      </c>
      <c r="B92" s="18" t="s">
        <v>445</v>
      </c>
    </row>
    <row r="93" spans="1:2" ht="39" hidden="1" customHeight="1" thickBot="1" x14ac:dyDescent="0.35">
      <c r="A93" s="13" t="s">
        <v>77</v>
      </c>
      <c r="B93" s="18">
        <v>2969</v>
      </c>
    </row>
    <row r="94" spans="1:2" ht="26.25" hidden="1" customHeight="1" thickBot="1" x14ac:dyDescent="0.35">
      <c r="A94" s="13" t="s">
        <v>446</v>
      </c>
      <c r="B94" s="18" t="s">
        <v>447</v>
      </c>
    </row>
    <row r="95" spans="1:2" ht="26.25" hidden="1" customHeight="1" thickBot="1" x14ac:dyDescent="0.35">
      <c r="A95" s="13" t="s">
        <v>448</v>
      </c>
      <c r="B95" s="18" t="s">
        <v>449</v>
      </c>
    </row>
    <row r="96" spans="1:2" ht="26.25" hidden="1" customHeight="1" thickBot="1" x14ac:dyDescent="0.35">
      <c r="A96" s="13" t="s">
        <v>450</v>
      </c>
      <c r="B96" s="18" t="s">
        <v>451</v>
      </c>
    </row>
    <row r="97" spans="1:4" ht="26.25" hidden="1" customHeight="1" x14ac:dyDescent="0.3">
      <c r="A97" s="14" t="s">
        <v>452</v>
      </c>
      <c r="B97" s="19" t="s">
        <v>453</v>
      </c>
    </row>
    <row r="98" spans="1:4" ht="26.25" hidden="1" customHeight="1" thickBot="1" x14ac:dyDescent="0.3"/>
    <row r="99" spans="1:4" ht="26.25" hidden="1" customHeight="1" x14ac:dyDescent="0.3">
      <c r="A99" s="24" t="s">
        <v>80</v>
      </c>
      <c r="B99" s="26"/>
    </row>
    <row r="100" spans="1:4" ht="39" hidden="1" customHeight="1" thickBot="1" x14ac:dyDescent="0.35">
      <c r="A100" s="13" t="s">
        <v>81</v>
      </c>
      <c r="B100" s="2" t="s">
        <v>82</v>
      </c>
    </row>
    <row r="101" spans="1:4" ht="38.25" hidden="1" customHeight="1" x14ac:dyDescent="0.3">
      <c r="A101" s="14" t="s">
        <v>452</v>
      </c>
      <c r="B101" s="2" t="s">
        <v>453</v>
      </c>
    </row>
    <row r="102" spans="1:4" ht="16.5" hidden="1" customHeight="1" thickBot="1" x14ac:dyDescent="0.3"/>
    <row r="103" spans="1:4" ht="33" hidden="1" customHeight="1" thickBot="1" x14ac:dyDescent="0.35">
      <c r="A103" s="20" t="s">
        <v>454</v>
      </c>
      <c r="B103" s="21">
        <v>33470</v>
      </c>
    </row>
    <row r="104" spans="1:4" ht="33.75" hidden="1" customHeight="1" thickBot="1" x14ac:dyDescent="0.35">
      <c r="A104" s="13" t="s">
        <v>455</v>
      </c>
      <c r="B104" s="2">
        <v>33470</v>
      </c>
    </row>
    <row r="105" spans="1:4" ht="66" hidden="1" customHeight="1" thickBot="1" x14ac:dyDescent="0.35">
      <c r="A105" s="13" t="s">
        <v>456</v>
      </c>
      <c r="B105" s="2">
        <v>14667390</v>
      </c>
    </row>
    <row r="106" spans="1:4" ht="16.5" hidden="1" customHeight="1" x14ac:dyDescent="0.3">
      <c r="A106" s="14" t="s">
        <v>457</v>
      </c>
      <c r="B106" s="2">
        <v>14667390</v>
      </c>
    </row>
    <row r="107" spans="1:4" ht="39" hidden="1" customHeight="1" thickBot="1" x14ac:dyDescent="0.3"/>
    <row r="108" spans="1:4" ht="39" hidden="1" customHeight="1" x14ac:dyDescent="0.3">
      <c r="A108" s="24" t="s">
        <v>458</v>
      </c>
      <c r="B108" s="26"/>
      <c r="C108" s="26"/>
      <c r="D108" s="26"/>
    </row>
    <row r="109" spans="1:4" ht="39" hidden="1" customHeight="1" x14ac:dyDescent="0.3">
      <c r="A109" s="6" t="s">
        <v>459</v>
      </c>
      <c r="B109" s="27" t="s">
        <v>19</v>
      </c>
      <c r="C109" s="3" t="s">
        <v>93</v>
      </c>
      <c r="D109" s="3" t="s">
        <v>93</v>
      </c>
    </row>
    <row r="110" spans="1:4" ht="38.25" hidden="1" customHeight="1" x14ac:dyDescent="0.3">
      <c r="A110" s="6" t="s">
        <v>460</v>
      </c>
      <c r="B110" s="27"/>
      <c r="C110" s="3" t="s">
        <v>86</v>
      </c>
      <c r="D110" s="3" t="s">
        <v>461</v>
      </c>
    </row>
    <row r="111" spans="1:4" ht="16.5" hidden="1" customHeight="1" thickBot="1" x14ac:dyDescent="0.35">
      <c r="A111" s="6">
        <v>1</v>
      </c>
      <c r="B111" s="17">
        <v>0</v>
      </c>
      <c r="C111" s="2">
        <v>33039</v>
      </c>
      <c r="D111" s="2">
        <v>14494212</v>
      </c>
    </row>
    <row r="112" spans="1:4" ht="16.5" hidden="1" customHeight="1" x14ac:dyDescent="0.3">
      <c r="A112" s="6">
        <v>2</v>
      </c>
      <c r="B112" s="22">
        <v>1</v>
      </c>
      <c r="C112" s="2">
        <v>431</v>
      </c>
      <c r="D112" s="2">
        <v>173178</v>
      </c>
    </row>
    <row r="113" spans="1:5" ht="16.5" hidden="1" customHeight="1" x14ac:dyDescent="0.3"/>
    <row r="114" spans="1:5" ht="33" hidden="1" customHeight="1" x14ac:dyDescent="0.3">
      <c r="A114" s="1" t="s">
        <v>513</v>
      </c>
    </row>
    <row r="115" spans="1:5" ht="17.25" hidden="1" customHeight="1" thickBot="1" x14ac:dyDescent="0.3"/>
    <row r="116" spans="1:5" ht="16.5" hidden="1" customHeight="1" x14ac:dyDescent="0.3">
      <c r="A116" s="24" t="s">
        <v>462</v>
      </c>
      <c r="B116" s="26"/>
      <c r="C116" s="26"/>
      <c r="D116" s="26"/>
      <c r="E116" s="26"/>
    </row>
    <row r="117" spans="1:5" ht="16.5" hidden="1" customHeight="1" x14ac:dyDescent="0.3">
      <c r="A117" s="6" t="s">
        <v>463</v>
      </c>
      <c r="B117" s="3" t="s">
        <v>460</v>
      </c>
      <c r="C117" s="27" t="s">
        <v>464</v>
      </c>
      <c r="D117" s="27"/>
      <c r="E117" s="27"/>
    </row>
    <row r="118" spans="1:5" ht="16.5" hidden="1" customHeight="1" thickBot="1" x14ac:dyDescent="0.35">
      <c r="A118" s="13" t="s">
        <v>22</v>
      </c>
      <c r="B118" s="12">
        <v>1</v>
      </c>
      <c r="C118" s="2">
        <v>0</v>
      </c>
      <c r="D118" s="2">
        <v>0</v>
      </c>
      <c r="E118" s="2">
        <v>0</v>
      </c>
    </row>
    <row r="119" spans="1:5" ht="16.5" hidden="1" customHeight="1" thickBot="1" x14ac:dyDescent="0.35">
      <c r="A119" s="13"/>
      <c r="B119" s="12">
        <v>2</v>
      </c>
      <c r="C119" s="2">
        <v>1</v>
      </c>
      <c r="D119" s="2">
        <v>0</v>
      </c>
      <c r="E119" s="2">
        <v>0</v>
      </c>
    </row>
    <row r="120" spans="1:5" ht="16.5" hidden="1" customHeight="1" thickBot="1" x14ac:dyDescent="0.35">
      <c r="A120" s="13"/>
      <c r="B120" s="12">
        <v>3</v>
      </c>
      <c r="C120" s="2">
        <v>0</v>
      </c>
      <c r="D120" s="2">
        <v>1</v>
      </c>
      <c r="E120" s="2">
        <v>0</v>
      </c>
    </row>
    <row r="121" spans="1:5" ht="16.5" hidden="1" customHeight="1" x14ac:dyDescent="0.3">
      <c r="A121" s="14"/>
      <c r="B121" s="15">
        <v>4</v>
      </c>
      <c r="C121" s="2">
        <v>0</v>
      </c>
      <c r="D121" s="2">
        <v>0</v>
      </c>
      <c r="E121" s="2">
        <v>1</v>
      </c>
    </row>
    <row r="122" spans="1:5" ht="17.25" hidden="1" customHeight="1" thickBot="1" x14ac:dyDescent="0.3"/>
    <row r="123" spans="1:5" ht="17.25" hidden="1" customHeight="1" x14ac:dyDescent="0.3">
      <c r="A123" s="4" t="s">
        <v>465</v>
      </c>
    </row>
    <row r="124" spans="1:5" ht="17.25" hidden="1" customHeight="1" x14ac:dyDescent="0.3">
      <c r="A124" s="23" t="s">
        <v>466</v>
      </c>
    </row>
    <row r="125" spans="1:5" ht="16.5" hidden="1" customHeight="1" thickBot="1" x14ac:dyDescent="0.3"/>
    <row r="126" spans="1:5" ht="16.5" hidden="1" customHeight="1" x14ac:dyDescent="0.3">
      <c r="A126" s="24" t="s">
        <v>467</v>
      </c>
      <c r="B126" s="26"/>
      <c r="C126" s="26"/>
    </row>
    <row r="127" spans="1:5" ht="66" hidden="1" customHeight="1" x14ac:dyDescent="0.3">
      <c r="A127" s="6" t="s">
        <v>468</v>
      </c>
      <c r="B127" s="3" t="s">
        <v>469</v>
      </c>
      <c r="C127" s="3" t="s">
        <v>470</v>
      </c>
    </row>
    <row r="128" spans="1:5" ht="99" hidden="1" customHeight="1" thickBot="1" x14ac:dyDescent="0.35">
      <c r="A128" s="13" t="s">
        <v>471</v>
      </c>
      <c r="B128" s="2">
        <v>1881800.1</v>
      </c>
      <c r="C128" s="2">
        <v>1871182.2</v>
      </c>
    </row>
    <row r="129" spans="1:6" ht="16.5" hidden="1" customHeight="1" thickBot="1" x14ac:dyDescent="0.35">
      <c r="A129" s="13" t="s">
        <v>472</v>
      </c>
      <c r="B129" s="2">
        <v>1881814.6</v>
      </c>
      <c r="C129" s="2">
        <v>1871240.2</v>
      </c>
    </row>
    <row r="130" spans="1:6" ht="16.5" hidden="1" customHeight="1" x14ac:dyDescent="0.3">
      <c r="A130" s="14" t="s">
        <v>473</v>
      </c>
      <c r="B130" s="2" t="s">
        <v>618</v>
      </c>
      <c r="C130" s="2">
        <v>1871174.2</v>
      </c>
    </row>
    <row r="131" spans="1:6" ht="66" hidden="1" customHeight="1" thickBot="1" x14ac:dyDescent="0.3"/>
    <row r="132" spans="1:6" ht="17.25" hidden="1" customHeight="1" x14ac:dyDescent="0.3">
      <c r="A132" s="24" t="s">
        <v>474</v>
      </c>
      <c r="B132" s="26"/>
      <c r="C132" s="26"/>
      <c r="D132" s="26"/>
      <c r="E132" s="26"/>
    </row>
    <row r="133" spans="1:6" ht="17.25" hidden="1" customHeight="1" x14ac:dyDescent="0.3">
      <c r="A133" s="6" t="s">
        <v>475</v>
      </c>
      <c r="B133" s="3" t="s">
        <v>476</v>
      </c>
      <c r="C133" s="3" t="s">
        <v>477</v>
      </c>
      <c r="D133" s="3" t="s">
        <v>478</v>
      </c>
      <c r="E133" s="3" t="s">
        <v>479</v>
      </c>
    </row>
    <row r="134" spans="1:6" ht="16.5" hidden="1" customHeight="1" x14ac:dyDescent="0.3">
      <c r="A134" s="25" t="s">
        <v>610</v>
      </c>
      <c r="B134" s="27"/>
      <c r="C134" s="27"/>
      <c r="D134" s="27"/>
      <c r="E134" s="27"/>
    </row>
    <row r="135" spans="1:6" ht="16.5" hidden="1" customHeight="1" thickBot="1" x14ac:dyDescent="0.35">
      <c r="A135" s="13" t="s">
        <v>481</v>
      </c>
      <c r="B135" s="2">
        <v>8.2200000000000006</v>
      </c>
      <c r="C135" s="2">
        <v>2.9922</v>
      </c>
      <c r="D135" s="2">
        <v>8336.2000000000007</v>
      </c>
      <c r="E135" s="2" t="s">
        <v>482</v>
      </c>
    </row>
    <row r="136" spans="1:6" ht="16.5" hidden="1" customHeight="1" thickBot="1" x14ac:dyDescent="0.35">
      <c r="A136" s="13" t="s">
        <v>483</v>
      </c>
      <c r="B136" s="2">
        <v>7.05</v>
      </c>
      <c r="C136" s="2">
        <v>3</v>
      </c>
      <c r="D136" s="2">
        <v>2784</v>
      </c>
      <c r="E136" s="2">
        <v>1E-4</v>
      </c>
    </row>
    <row r="137" spans="1:6" ht="16.5" hidden="1" customHeight="1" x14ac:dyDescent="0.3">
      <c r="A137" s="14" t="s">
        <v>484</v>
      </c>
      <c r="B137" s="2">
        <v>6.34</v>
      </c>
      <c r="C137" s="2">
        <v>3</v>
      </c>
      <c r="D137" s="2">
        <v>2784</v>
      </c>
      <c r="E137" s="2">
        <v>2.9999999999999997E-4</v>
      </c>
    </row>
    <row r="138" spans="1:6" ht="33" hidden="1" customHeight="1" thickBot="1" x14ac:dyDescent="0.3"/>
    <row r="139" spans="1:6" ht="26.25" hidden="1" customHeight="1" x14ac:dyDescent="0.3">
      <c r="A139" s="24" t="s">
        <v>485</v>
      </c>
      <c r="B139" s="26"/>
      <c r="C139" s="26"/>
      <c r="D139" s="26"/>
      <c r="E139" s="26"/>
    </row>
    <row r="140" spans="1:6" ht="17.25" hidden="1" customHeight="1" x14ac:dyDescent="0.3">
      <c r="A140" s="6" t="s">
        <v>486</v>
      </c>
      <c r="B140" s="3" t="s">
        <v>476</v>
      </c>
      <c r="C140" s="3" t="s">
        <v>477</v>
      </c>
      <c r="D140" s="3" t="s">
        <v>478</v>
      </c>
      <c r="E140" s="3" t="s">
        <v>479</v>
      </c>
    </row>
    <row r="141" spans="1:6" ht="16.5" hidden="1" customHeight="1" x14ac:dyDescent="0.3">
      <c r="A141" s="14" t="s">
        <v>22</v>
      </c>
      <c r="B141" s="2">
        <v>6.34</v>
      </c>
      <c r="C141" s="2">
        <v>3</v>
      </c>
      <c r="D141" s="2">
        <v>2784</v>
      </c>
      <c r="E141" s="2">
        <v>2.9999999999999997E-4</v>
      </c>
    </row>
    <row r="142" spans="1:6" ht="16.5" hidden="1" customHeight="1" thickBot="1" x14ac:dyDescent="0.3"/>
    <row r="143" spans="1:6" ht="16.5" hidden="1" customHeight="1" x14ac:dyDescent="0.3">
      <c r="A143" s="24" t="s">
        <v>487</v>
      </c>
      <c r="B143" s="26"/>
      <c r="C143" s="26"/>
      <c r="D143" s="26"/>
      <c r="E143" s="26"/>
      <c r="F143" s="26"/>
    </row>
    <row r="144" spans="1:6" ht="16.5" hidden="1" customHeight="1" x14ac:dyDescent="0.3">
      <c r="A144" s="25" t="s">
        <v>488</v>
      </c>
      <c r="B144" s="27"/>
      <c r="C144" s="27" t="s">
        <v>489</v>
      </c>
      <c r="D144" s="3" t="s">
        <v>490</v>
      </c>
      <c r="E144" s="27" t="s">
        <v>492</v>
      </c>
      <c r="F144" s="27" t="s">
        <v>493</v>
      </c>
    </row>
    <row r="145" spans="1:9" ht="16.5" hidden="1" customHeight="1" x14ac:dyDescent="0.3">
      <c r="A145" s="25"/>
      <c r="B145" s="27"/>
      <c r="C145" s="27"/>
      <c r="D145" s="3" t="s">
        <v>491</v>
      </c>
      <c r="E145" s="27"/>
      <c r="F145" s="27"/>
    </row>
    <row r="146" spans="1:9" ht="16.5" hidden="1" customHeight="1" x14ac:dyDescent="0.3">
      <c r="A146" s="25" t="s">
        <v>531</v>
      </c>
      <c r="B146" s="27"/>
      <c r="C146" s="27"/>
      <c r="D146" s="27"/>
      <c r="E146" s="27"/>
      <c r="F146" s="27"/>
    </row>
    <row r="147" spans="1:9" ht="16.5" hidden="1" customHeight="1" thickBot="1" x14ac:dyDescent="0.35">
      <c r="A147" s="13" t="s">
        <v>495</v>
      </c>
      <c r="B147" s="12"/>
      <c r="C147" s="16">
        <v>-4.8438999999999997</v>
      </c>
      <c r="D147" s="2">
        <v>0.1573</v>
      </c>
      <c r="E147" s="16">
        <v>-30.8</v>
      </c>
      <c r="F147" s="2" t="s">
        <v>482</v>
      </c>
    </row>
    <row r="148" spans="1:9" ht="16.5" hidden="1" customHeight="1" thickBot="1" x14ac:dyDescent="0.35">
      <c r="A148" s="13" t="s">
        <v>22</v>
      </c>
      <c r="B148" s="12">
        <v>2</v>
      </c>
      <c r="C148" s="2">
        <v>0.20419999999999999</v>
      </c>
      <c r="D148" s="2">
        <v>0.2049</v>
      </c>
      <c r="E148" s="2">
        <v>1</v>
      </c>
      <c r="F148" s="2">
        <v>0.31909999999999999</v>
      </c>
    </row>
    <row r="149" spans="1:9" ht="16.5" hidden="1" customHeight="1" thickBot="1" x14ac:dyDescent="0.35">
      <c r="A149" s="13" t="s">
        <v>22</v>
      </c>
      <c r="B149" s="12">
        <v>3</v>
      </c>
      <c r="C149" s="2">
        <v>0.43030000000000002</v>
      </c>
      <c r="D149" s="2">
        <v>0.19239999999999999</v>
      </c>
      <c r="E149" s="2">
        <v>2.2400000000000002</v>
      </c>
      <c r="F149" s="2">
        <v>2.5399999999999999E-2</v>
      </c>
    </row>
    <row r="150" spans="1:9" ht="16.5" hidden="1" customHeight="1" x14ac:dyDescent="0.3">
      <c r="A150" s="14" t="s">
        <v>22</v>
      </c>
      <c r="B150" s="15">
        <v>4</v>
      </c>
      <c r="C150" s="2">
        <v>0.68920000000000003</v>
      </c>
      <c r="D150" s="2">
        <v>0.18160000000000001</v>
      </c>
      <c r="E150" s="2">
        <v>3.79</v>
      </c>
      <c r="F150" s="2">
        <v>2.0000000000000001E-4</v>
      </c>
    </row>
    <row r="151" spans="1:9" ht="17.25" hidden="1" customHeight="1" thickBot="1" x14ac:dyDescent="0.3"/>
    <row r="152" spans="1:9" ht="17.25" hidden="1" customHeight="1" x14ac:dyDescent="0.3">
      <c r="A152" s="24" t="s">
        <v>496</v>
      </c>
      <c r="B152" s="26"/>
      <c r="C152" s="26"/>
      <c r="D152" s="26"/>
      <c r="H152">
        <f>F152</f>
        <v>0</v>
      </c>
    </row>
    <row r="153" spans="1:9" ht="17.25" hidden="1" customHeight="1" x14ac:dyDescent="0.3">
      <c r="A153" s="6" t="s">
        <v>486</v>
      </c>
      <c r="B153" s="3" t="s">
        <v>497</v>
      </c>
      <c r="C153" s="27" t="s">
        <v>91</v>
      </c>
      <c r="D153" s="27"/>
      <c r="H153">
        <f t="shared" ref="H153:H154" si="3">F153</f>
        <v>0</v>
      </c>
    </row>
    <row r="154" spans="1:9" ht="16.5" hidden="1" customHeight="1" x14ac:dyDescent="0.3">
      <c r="A154" s="25" t="s">
        <v>532</v>
      </c>
      <c r="B154" s="27"/>
      <c r="C154" s="27"/>
      <c r="D154" s="27"/>
      <c r="H154">
        <f t="shared" si="3"/>
        <v>0</v>
      </c>
    </row>
    <row r="155" spans="1:9" ht="16.5" hidden="1" customHeight="1" thickBot="1" x14ac:dyDescent="0.35">
      <c r="A155" s="13" t="s">
        <v>499</v>
      </c>
      <c r="B155" s="2">
        <v>1.2270000000000001</v>
      </c>
      <c r="C155" s="2">
        <v>0.82099999999999995</v>
      </c>
      <c r="D155" s="2">
        <v>1.833</v>
      </c>
    </row>
    <row r="156" spans="1:9" ht="16.5" hidden="1" customHeight="1" thickBot="1" x14ac:dyDescent="0.35">
      <c r="A156" s="13" t="s">
        <v>500</v>
      </c>
      <c r="B156" s="2">
        <v>1.538</v>
      </c>
      <c r="C156" s="2">
        <v>1.0549999999999999</v>
      </c>
      <c r="D156" s="2">
        <v>2.242</v>
      </c>
    </row>
    <row r="157" spans="1:9" ht="33" hidden="1" customHeight="1" thickBot="1" x14ac:dyDescent="0.35">
      <c r="A157" s="14" t="s">
        <v>501</v>
      </c>
      <c r="B157" s="2">
        <v>1.992</v>
      </c>
      <c r="C157" s="2">
        <v>1.395</v>
      </c>
      <c r="D157" s="2">
        <v>2.8439999999999999</v>
      </c>
    </row>
    <row r="158" spans="1:9" ht="49.5" hidden="1" customHeight="1" thickBot="1" x14ac:dyDescent="0.3"/>
    <row r="159" spans="1:9" ht="33" customHeight="1" x14ac:dyDescent="0.3">
      <c r="A159" s="24" t="s">
        <v>502</v>
      </c>
      <c r="B159" s="26"/>
      <c r="C159" s="26"/>
      <c r="D159" s="26"/>
      <c r="H159" s="8" t="str">
        <f t="shared" ref="H159:H161" si="4">TEXT(B159,"0.00")&amp;" ("&amp;TEXT(C159,"0.00")&amp;" to "&amp;TEXT(D159,"0.00")&amp;")"</f>
        <v>0.00 (0.00 to 0.00)</v>
      </c>
      <c r="I159">
        <f>F152</f>
        <v>0</v>
      </c>
    </row>
    <row r="160" spans="1:9" ht="26.25" customHeight="1" thickBot="1" x14ac:dyDescent="0.35">
      <c r="A160" s="13" t="s">
        <v>503</v>
      </c>
      <c r="B160" s="2">
        <v>43.4</v>
      </c>
      <c r="C160" s="12" t="s">
        <v>504</v>
      </c>
      <c r="D160" s="2">
        <v>0.13500000000000001</v>
      </c>
      <c r="H160" s="8" t="str">
        <f t="shared" si="4"/>
        <v>43.40 (Somers' D to 0.14)</v>
      </c>
      <c r="I160">
        <f t="shared" ref="I160:I161" si="5">F153</f>
        <v>0</v>
      </c>
    </row>
    <row r="161" spans="1:9" ht="25.5" customHeight="1" thickBot="1" x14ac:dyDescent="0.35">
      <c r="A161" s="13" t="s">
        <v>505</v>
      </c>
      <c r="B161" s="2">
        <v>29.9</v>
      </c>
      <c r="C161" s="12" t="s">
        <v>506</v>
      </c>
      <c r="D161" s="2">
        <v>0.184</v>
      </c>
      <c r="H161" s="8" t="str">
        <f t="shared" si="4"/>
        <v>29.90 (Gamma to 0.18)</v>
      </c>
      <c r="I161">
        <f t="shared" si="5"/>
        <v>0</v>
      </c>
    </row>
    <row r="162" spans="1:9" ht="16.5" hidden="1" customHeight="1" thickBot="1" x14ac:dyDescent="0.35">
      <c r="A162" s="13" t="s">
        <v>507</v>
      </c>
      <c r="B162" s="2">
        <v>26.8</v>
      </c>
      <c r="C162" s="12" t="s">
        <v>508</v>
      </c>
      <c r="D162" s="2">
        <v>3.0000000000000001E-3</v>
      </c>
    </row>
    <row r="163" spans="1:9" ht="33" hidden="1" customHeight="1" x14ac:dyDescent="0.3">
      <c r="A163" s="14" t="s">
        <v>509</v>
      </c>
      <c r="B163" s="2">
        <v>14239809</v>
      </c>
      <c r="C163" s="15" t="s">
        <v>510</v>
      </c>
      <c r="D163" s="2">
        <v>0.56799999999999995</v>
      </c>
    </row>
    <row r="164" spans="1:9" ht="39" hidden="1" customHeight="1" x14ac:dyDescent="0.3"/>
    <row r="165" spans="1:9" ht="26.25" hidden="1" customHeight="1" x14ac:dyDescent="0.3"/>
    <row r="166" spans="1:9" ht="26.25" hidden="1" customHeight="1" x14ac:dyDescent="0.3"/>
    <row r="167" spans="1:9" ht="16.5" hidden="1" customHeight="1" x14ac:dyDescent="0.3">
      <c r="A167" s="1" t="s">
        <v>436</v>
      </c>
    </row>
    <row r="168" spans="1:9" ht="16.5" hidden="1" customHeight="1" x14ac:dyDescent="0.3"/>
    <row r="169" spans="1:9" ht="16.5" hidden="1" customHeight="1" x14ac:dyDescent="0.3">
      <c r="A169" s="1" t="s">
        <v>396</v>
      </c>
    </row>
    <row r="170" spans="1:9" ht="16.5" hidden="1" customHeight="1" thickBot="1" x14ac:dyDescent="0.3"/>
    <row r="171" spans="1:9" ht="16.5" hidden="1" customHeight="1" x14ac:dyDescent="0.3">
      <c r="A171" s="24" t="s">
        <v>437</v>
      </c>
      <c r="B171" s="26"/>
    </row>
    <row r="172" spans="1:9" ht="16.5" hidden="1" customHeight="1" thickBot="1" x14ac:dyDescent="0.35">
      <c r="A172" s="13" t="s">
        <v>438</v>
      </c>
      <c r="B172" s="18" t="s">
        <v>439</v>
      </c>
    </row>
    <row r="173" spans="1:9" ht="16.5" hidden="1" customHeight="1" thickBot="1" x14ac:dyDescent="0.35">
      <c r="A173" s="13" t="s">
        <v>440</v>
      </c>
      <c r="B173" s="18" t="s">
        <v>19</v>
      </c>
    </row>
    <row r="174" spans="1:9" ht="16.5" hidden="1" customHeight="1" thickBot="1" x14ac:dyDescent="0.35">
      <c r="A174" s="13" t="s">
        <v>441</v>
      </c>
      <c r="B174" s="18">
        <v>2</v>
      </c>
    </row>
    <row r="175" spans="1:9" ht="16.5" hidden="1" customHeight="1" thickBot="1" x14ac:dyDescent="0.35">
      <c r="A175" s="13" t="s">
        <v>442</v>
      </c>
      <c r="B175" s="18" t="s">
        <v>443</v>
      </c>
    </row>
    <row r="176" spans="1:9" ht="26.25" hidden="1" customHeight="1" thickBot="1" x14ac:dyDescent="0.35">
      <c r="A176" s="13" t="s">
        <v>76</v>
      </c>
      <c r="B176" s="18">
        <v>183</v>
      </c>
    </row>
    <row r="177" spans="1:2" ht="26.25" hidden="1" customHeight="1" thickBot="1" x14ac:dyDescent="0.35">
      <c r="A177" s="13" t="s">
        <v>444</v>
      </c>
      <c r="B177" s="18" t="s">
        <v>445</v>
      </c>
    </row>
    <row r="178" spans="1:2" ht="39" hidden="1" customHeight="1" thickBot="1" x14ac:dyDescent="0.35">
      <c r="A178" s="13" t="s">
        <v>77</v>
      </c>
      <c r="B178" s="18">
        <v>2747</v>
      </c>
    </row>
    <row r="179" spans="1:2" ht="26.25" hidden="1" customHeight="1" thickBot="1" x14ac:dyDescent="0.35">
      <c r="A179" s="13" t="s">
        <v>446</v>
      </c>
      <c r="B179" s="18" t="s">
        <v>447</v>
      </c>
    </row>
    <row r="180" spans="1:2" ht="26.25" hidden="1" customHeight="1" thickBot="1" x14ac:dyDescent="0.35">
      <c r="A180" s="13" t="s">
        <v>448</v>
      </c>
      <c r="B180" s="18" t="s">
        <v>449</v>
      </c>
    </row>
    <row r="181" spans="1:2" ht="26.25" hidden="1" customHeight="1" thickBot="1" x14ac:dyDescent="0.35">
      <c r="A181" s="13" t="s">
        <v>450</v>
      </c>
      <c r="B181" s="18" t="s">
        <v>451</v>
      </c>
    </row>
    <row r="182" spans="1:2" ht="26.25" hidden="1" customHeight="1" x14ac:dyDescent="0.3">
      <c r="A182" s="14" t="s">
        <v>452</v>
      </c>
      <c r="B182" s="19" t="s">
        <v>453</v>
      </c>
    </row>
    <row r="183" spans="1:2" ht="26.25" hidden="1" customHeight="1" thickBot="1" x14ac:dyDescent="0.3"/>
    <row r="184" spans="1:2" ht="26.25" hidden="1" customHeight="1" x14ac:dyDescent="0.3">
      <c r="A184" s="24" t="s">
        <v>80</v>
      </c>
      <c r="B184" s="26"/>
    </row>
    <row r="185" spans="1:2" ht="39" hidden="1" customHeight="1" thickBot="1" x14ac:dyDescent="0.35">
      <c r="A185" s="13" t="s">
        <v>81</v>
      </c>
      <c r="B185" s="2" t="s">
        <v>82</v>
      </c>
    </row>
    <row r="186" spans="1:2" ht="38.25" hidden="1" customHeight="1" x14ac:dyDescent="0.3">
      <c r="A186" s="14" t="s">
        <v>452</v>
      </c>
      <c r="B186" s="2" t="s">
        <v>453</v>
      </c>
    </row>
    <row r="187" spans="1:2" ht="16.5" hidden="1" customHeight="1" thickBot="1" x14ac:dyDescent="0.3"/>
    <row r="188" spans="1:2" ht="33" hidden="1" customHeight="1" thickBot="1" x14ac:dyDescent="0.35">
      <c r="A188" s="20" t="s">
        <v>454</v>
      </c>
      <c r="B188" s="21">
        <v>14086</v>
      </c>
    </row>
    <row r="189" spans="1:2" ht="33.75" hidden="1" customHeight="1" thickBot="1" x14ac:dyDescent="0.35">
      <c r="A189" s="13" t="s">
        <v>455</v>
      </c>
      <c r="B189" s="2">
        <v>14086</v>
      </c>
    </row>
    <row r="190" spans="1:2" ht="66" hidden="1" customHeight="1" thickBot="1" x14ac:dyDescent="0.35">
      <c r="A190" s="13" t="s">
        <v>456</v>
      </c>
      <c r="B190" s="2">
        <v>3750032</v>
      </c>
    </row>
    <row r="191" spans="1:2" ht="16.5" hidden="1" customHeight="1" x14ac:dyDescent="0.3">
      <c r="A191" s="14" t="s">
        <v>457</v>
      </c>
      <c r="B191" s="2">
        <v>3750032</v>
      </c>
    </row>
    <row r="192" spans="1:2" ht="39" hidden="1" customHeight="1" thickBot="1" x14ac:dyDescent="0.3"/>
    <row r="193" spans="1:5" ht="39" hidden="1" customHeight="1" x14ac:dyDescent="0.3">
      <c r="A193" s="24" t="s">
        <v>458</v>
      </c>
      <c r="B193" s="26"/>
      <c r="C193" s="26"/>
      <c r="D193" s="26"/>
    </row>
    <row r="194" spans="1:5" ht="39" hidden="1" customHeight="1" x14ac:dyDescent="0.3">
      <c r="A194" s="6" t="s">
        <v>459</v>
      </c>
      <c r="B194" s="27" t="s">
        <v>19</v>
      </c>
      <c r="C194" s="3" t="s">
        <v>93</v>
      </c>
      <c r="D194" s="3" t="s">
        <v>93</v>
      </c>
    </row>
    <row r="195" spans="1:5" ht="38.25" hidden="1" customHeight="1" x14ac:dyDescent="0.3">
      <c r="A195" s="6" t="s">
        <v>460</v>
      </c>
      <c r="B195" s="27"/>
      <c r="C195" s="3" t="s">
        <v>86</v>
      </c>
      <c r="D195" s="3" t="s">
        <v>461</v>
      </c>
    </row>
    <row r="196" spans="1:5" ht="16.5" hidden="1" customHeight="1" thickBot="1" x14ac:dyDescent="0.35">
      <c r="A196" s="6">
        <v>1</v>
      </c>
      <c r="B196" s="17">
        <v>0</v>
      </c>
      <c r="C196" s="2">
        <v>13325</v>
      </c>
      <c r="D196" s="2">
        <v>3550292.5</v>
      </c>
    </row>
    <row r="197" spans="1:5" ht="16.5" hidden="1" customHeight="1" x14ac:dyDescent="0.3">
      <c r="A197" s="6">
        <v>2</v>
      </c>
      <c r="B197" s="22">
        <v>1</v>
      </c>
      <c r="C197" s="2">
        <v>761</v>
      </c>
      <c r="D197" s="2">
        <v>199739.8</v>
      </c>
    </row>
    <row r="198" spans="1:5" ht="16.5" hidden="1" customHeight="1" x14ac:dyDescent="0.3"/>
    <row r="199" spans="1:5" ht="33" hidden="1" customHeight="1" x14ac:dyDescent="0.3">
      <c r="A199" s="1" t="s">
        <v>513</v>
      </c>
    </row>
    <row r="200" spans="1:5" ht="17.25" hidden="1" customHeight="1" thickBot="1" x14ac:dyDescent="0.3"/>
    <row r="201" spans="1:5" ht="16.5" hidden="1" customHeight="1" x14ac:dyDescent="0.3">
      <c r="A201" s="24" t="s">
        <v>462</v>
      </c>
      <c r="B201" s="26"/>
      <c r="C201" s="26"/>
      <c r="D201" s="26"/>
      <c r="E201" s="26"/>
    </row>
    <row r="202" spans="1:5" ht="16.5" hidden="1" customHeight="1" x14ac:dyDescent="0.3">
      <c r="A202" s="6" t="s">
        <v>463</v>
      </c>
      <c r="B202" s="3" t="s">
        <v>460</v>
      </c>
      <c r="C202" s="27" t="s">
        <v>464</v>
      </c>
      <c r="D202" s="27"/>
      <c r="E202" s="27"/>
    </row>
    <row r="203" spans="1:5" ht="16.5" hidden="1" customHeight="1" thickBot="1" x14ac:dyDescent="0.35">
      <c r="A203" s="13" t="s">
        <v>22</v>
      </c>
      <c r="B203" s="12">
        <v>1</v>
      </c>
      <c r="C203" s="2">
        <v>0</v>
      </c>
      <c r="D203" s="2">
        <v>0</v>
      </c>
      <c r="E203" s="2">
        <v>0</v>
      </c>
    </row>
    <row r="204" spans="1:5" ht="16.5" hidden="1" customHeight="1" thickBot="1" x14ac:dyDescent="0.35">
      <c r="A204" s="13"/>
      <c r="B204" s="12">
        <v>2</v>
      </c>
      <c r="C204" s="2">
        <v>1</v>
      </c>
      <c r="D204" s="2">
        <v>0</v>
      </c>
      <c r="E204" s="2">
        <v>0</v>
      </c>
    </row>
    <row r="205" spans="1:5" ht="16.5" hidden="1" customHeight="1" thickBot="1" x14ac:dyDescent="0.35">
      <c r="A205" s="13"/>
      <c r="B205" s="12">
        <v>3</v>
      </c>
      <c r="C205" s="2">
        <v>0</v>
      </c>
      <c r="D205" s="2">
        <v>1</v>
      </c>
      <c r="E205" s="2">
        <v>0</v>
      </c>
    </row>
    <row r="206" spans="1:5" ht="16.5" hidden="1" customHeight="1" x14ac:dyDescent="0.3">
      <c r="A206" s="14"/>
      <c r="B206" s="15">
        <v>4</v>
      </c>
      <c r="C206" s="2">
        <v>0</v>
      </c>
      <c r="D206" s="2">
        <v>0</v>
      </c>
      <c r="E206" s="2">
        <v>1</v>
      </c>
    </row>
    <row r="207" spans="1:5" ht="17.25" hidden="1" customHeight="1" thickBot="1" x14ac:dyDescent="0.3"/>
    <row r="208" spans="1:5" ht="17.25" hidden="1" customHeight="1" x14ac:dyDescent="0.3">
      <c r="A208" s="4" t="s">
        <v>465</v>
      </c>
    </row>
    <row r="209" spans="1:5" ht="17.25" hidden="1" customHeight="1" x14ac:dyDescent="0.3">
      <c r="A209" s="23" t="s">
        <v>466</v>
      </c>
    </row>
    <row r="210" spans="1:5" ht="16.5" hidden="1" customHeight="1" thickBot="1" x14ac:dyDescent="0.3"/>
    <row r="211" spans="1:5" ht="16.5" hidden="1" customHeight="1" x14ac:dyDescent="0.3">
      <c r="A211" s="24" t="s">
        <v>467</v>
      </c>
      <c r="B211" s="26"/>
      <c r="C211" s="26"/>
    </row>
    <row r="212" spans="1:5" ht="66" hidden="1" customHeight="1" x14ac:dyDescent="0.3">
      <c r="A212" s="6" t="s">
        <v>468</v>
      </c>
      <c r="B212" s="3" t="s">
        <v>469</v>
      </c>
      <c r="C212" s="3" t="s">
        <v>470</v>
      </c>
    </row>
    <row r="213" spans="1:5" ht="99" hidden="1" customHeight="1" thickBot="1" x14ac:dyDescent="0.35">
      <c r="A213" s="13" t="s">
        <v>471</v>
      </c>
      <c r="B213" s="2">
        <v>1560124.3</v>
      </c>
      <c r="C213" s="2">
        <v>1558042.5</v>
      </c>
    </row>
    <row r="214" spans="1:5" ht="16.5" hidden="1" customHeight="1" thickBot="1" x14ac:dyDescent="0.35">
      <c r="A214" s="13" t="s">
        <v>472</v>
      </c>
      <c r="B214" s="2">
        <v>1560137.5</v>
      </c>
      <c r="C214" s="2">
        <v>1558095.1</v>
      </c>
    </row>
    <row r="215" spans="1:5" ht="16.5" hidden="1" customHeight="1" x14ac:dyDescent="0.3">
      <c r="A215" s="14" t="s">
        <v>473</v>
      </c>
      <c r="B215" s="2" t="s">
        <v>619</v>
      </c>
      <c r="C215" s="2">
        <v>1558034.5</v>
      </c>
    </row>
    <row r="216" spans="1:5" ht="66" hidden="1" customHeight="1" thickBot="1" x14ac:dyDescent="0.3"/>
    <row r="217" spans="1:5" ht="17.25" hidden="1" customHeight="1" x14ac:dyDescent="0.3">
      <c r="A217" s="24" t="s">
        <v>474</v>
      </c>
      <c r="B217" s="26"/>
      <c r="C217" s="26"/>
      <c r="D217" s="26"/>
      <c r="E217" s="26"/>
    </row>
    <row r="218" spans="1:5" ht="17.25" hidden="1" customHeight="1" x14ac:dyDescent="0.3">
      <c r="A218" s="6" t="s">
        <v>475</v>
      </c>
      <c r="B218" s="3" t="s">
        <v>476</v>
      </c>
      <c r="C218" s="3" t="s">
        <v>477</v>
      </c>
      <c r="D218" s="3" t="s">
        <v>478</v>
      </c>
      <c r="E218" s="3" t="s">
        <v>479</v>
      </c>
    </row>
    <row r="219" spans="1:5" ht="16.5" hidden="1" customHeight="1" x14ac:dyDescent="0.3">
      <c r="A219" s="25" t="s">
        <v>563</v>
      </c>
      <c r="B219" s="27"/>
      <c r="C219" s="27"/>
      <c r="D219" s="27"/>
      <c r="E219" s="27"/>
    </row>
    <row r="220" spans="1:5" ht="16.5" hidden="1" customHeight="1" thickBot="1" x14ac:dyDescent="0.35">
      <c r="A220" s="13" t="s">
        <v>481</v>
      </c>
      <c r="B220" s="2">
        <v>2.62</v>
      </c>
      <c r="C220" s="2">
        <v>2.9962</v>
      </c>
      <c r="D220" s="2">
        <v>7682.26</v>
      </c>
      <c r="E220" s="2">
        <v>4.9200000000000001E-2</v>
      </c>
    </row>
    <row r="221" spans="1:5" ht="16.5" hidden="1" customHeight="1" thickBot="1" x14ac:dyDescent="0.35">
      <c r="A221" s="13" t="s">
        <v>483</v>
      </c>
      <c r="B221" s="2">
        <v>2.2200000000000002</v>
      </c>
      <c r="C221" s="2">
        <v>3</v>
      </c>
      <c r="D221" s="2">
        <v>2562</v>
      </c>
      <c r="E221" s="2">
        <v>8.3400000000000002E-2</v>
      </c>
    </row>
    <row r="222" spans="1:5" ht="16.5" hidden="1" customHeight="1" x14ac:dyDescent="0.3">
      <c r="A222" s="14" t="s">
        <v>484</v>
      </c>
      <c r="B222" s="2">
        <v>2.08</v>
      </c>
      <c r="C222" s="2">
        <v>3</v>
      </c>
      <c r="D222" s="2">
        <v>2562</v>
      </c>
      <c r="E222" s="2">
        <v>0.10059999999999999</v>
      </c>
    </row>
    <row r="223" spans="1:5" ht="33" hidden="1" customHeight="1" thickBot="1" x14ac:dyDescent="0.3"/>
    <row r="224" spans="1:5" ht="26.25" hidden="1" customHeight="1" x14ac:dyDescent="0.3">
      <c r="A224" s="24" t="s">
        <v>485</v>
      </c>
      <c r="B224" s="26"/>
      <c r="C224" s="26"/>
      <c r="D224" s="26"/>
      <c r="E224" s="26"/>
    </row>
    <row r="225" spans="1:8" ht="17.25" hidden="1" customHeight="1" x14ac:dyDescent="0.3">
      <c r="A225" s="6" t="s">
        <v>486</v>
      </c>
      <c r="B225" s="3" t="s">
        <v>476</v>
      </c>
      <c r="C225" s="3" t="s">
        <v>477</v>
      </c>
      <c r="D225" s="3" t="s">
        <v>478</v>
      </c>
      <c r="E225" s="3" t="s">
        <v>479</v>
      </c>
    </row>
    <row r="226" spans="1:8" ht="16.5" hidden="1" customHeight="1" x14ac:dyDescent="0.3">
      <c r="A226" s="14" t="s">
        <v>22</v>
      </c>
      <c r="B226" s="2">
        <v>2.08</v>
      </c>
      <c r="C226" s="2">
        <v>3</v>
      </c>
      <c r="D226" s="2">
        <v>2562</v>
      </c>
      <c r="E226" s="2">
        <v>0.10059999999999999</v>
      </c>
    </row>
    <row r="227" spans="1:8" ht="16.5" hidden="1" customHeight="1" thickBot="1" x14ac:dyDescent="0.3"/>
    <row r="228" spans="1:8" ht="16.5" hidden="1" customHeight="1" x14ac:dyDescent="0.3">
      <c r="A228" s="24" t="s">
        <v>487</v>
      </c>
      <c r="B228" s="26"/>
      <c r="C228" s="26"/>
      <c r="D228" s="26"/>
      <c r="E228" s="26"/>
      <c r="F228" s="26"/>
    </row>
    <row r="229" spans="1:8" ht="16.5" hidden="1" customHeight="1" x14ac:dyDescent="0.3">
      <c r="A229" s="25" t="s">
        <v>488</v>
      </c>
      <c r="B229" s="27"/>
      <c r="C229" s="27" t="s">
        <v>489</v>
      </c>
      <c r="D229" s="3" t="s">
        <v>490</v>
      </c>
      <c r="E229" s="27" t="s">
        <v>492</v>
      </c>
      <c r="F229" s="27" t="s">
        <v>493</v>
      </c>
    </row>
    <row r="230" spans="1:8" ht="16.5" hidden="1" customHeight="1" x14ac:dyDescent="0.3">
      <c r="A230" s="25"/>
      <c r="B230" s="27"/>
      <c r="C230" s="27"/>
      <c r="D230" s="3" t="s">
        <v>491</v>
      </c>
      <c r="E230" s="27"/>
      <c r="F230" s="27"/>
    </row>
    <row r="231" spans="1:8" ht="16.5" hidden="1" customHeight="1" x14ac:dyDescent="0.3">
      <c r="A231" s="25" t="s">
        <v>533</v>
      </c>
      <c r="B231" s="27"/>
      <c r="C231" s="27"/>
      <c r="D231" s="27"/>
      <c r="E231" s="27"/>
      <c r="F231" s="27"/>
    </row>
    <row r="232" spans="1:8" ht="16.5" hidden="1" customHeight="1" thickBot="1" x14ac:dyDescent="0.35">
      <c r="A232" s="13" t="s">
        <v>495</v>
      </c>
      <c r="B232" s="12"/>
      <c r="C232" s="16">
        <v>-2.7376</v>
      </c>
      <c r="D232" s="2">
        <v>0.1168</v>
      </c>
      <c r="E232" s="16">
        <v>-23.44</v>
      </c>
      <c r="F232" s="2" t="s">
        <v>482</v>
      </c>
    </row>
    <row r="233" spans="1:8" ht="16.5" hidden="1" customHeight="1" thickBot="1" x14ac:dyDescent="0.35">
      <c r="A233" s="13" t="s">
        <v>22</v>
      </c>
      <c r="B233" s="12">
        <v>2</v>
      </c>
      <c r="C233" s="16">
        <v>-0.1109</v>
      </c>
      <c r="D233" s="2">
        <v>0.14419999999999999</v>
      </c>
      <c r="E233" s="16">
        <v>-0.77</v>
      </c>
      <c r="F233" s="2">
        <v>0.44209999999999999</v>
      </c>
    </row>
    <row r="234" spans="1:8" ht="16.5" hidden="1" customHeight="1" thickBot="1" x14ac:dyDescent="0.35">
      <c r="A234" s="13" t="s">
        <v>22</v>
      </c>
      <c r="B234" s="12">
        <v>3</v>
      </c>
      <c r="C234" s="16">
        <v>-8.6800000000000002E-2</v>
      </c>
      <c r="D234" s="2">
        <v>0.13950000000000001</v>
      </c>
      <c r="E234" s="16">
        <v>-0.62</v>
      </c>
      <c r="F234" s="2">
        <v>0.53380000000000005</v>
      </c>
    </row>
    <row r="235" spans="1:8" ht="16.5" hidden="1" customHeight="1" x14ac:dyDescent="0.3">
      <c r="A235" s="14" t="s">
        <v>22</v>
      </c>
      <c r="B235" s="15">
        <v>4</v>
      </c>
      <c r="C235" s="16">
        <v>-0.30030000000000001</v>
      </c>
      <c r="D235" s="2">
        <v>0.1399</v>
      </c>
      <c r="E235" s="16">
        <v>-2.15</v>
      </c>
      <c r="F235" s="2">
        <v>3.1800000000000002E-2</v>
      </c>
    </row>
    <row r="236" spans="1:8" ht="17.25" hidden="1" customHeight="1" thickBot="1" x14ac:dyDescent="0.3"/>
    <row r="237" spans="1:8" ht="17.25" hidden="1" customHeight="1" x14ac:dyDescent="0.3">
      <c r="A237" s="24" t="s">
        <v>496</v>
      </c>
      <c r="B237" s="26"/>
      <c r="C237" s="26"/>
      <c r="D237" s="26"/>
      <c r="H237">
        <f>F237</f>
        <v>0</v>
      </c>
    </row>
    <row r="238" spans="1:8" ht="17.25" hidden="1" customHeight="1" x14ac:dyDescent="0.3">
      <c r="A238" s="6" t="s">
        <v>486</v>
      </c>
      <c r="B238" s="3" t="s">
        <v>497</v>
      </c>
      <c r="C238" s="27" t="s">
        <v>91</v>
      </c>
      <c r="D238" s="27"/>
      <c r="H238">
        <f t="shared" ref="H238:H239" si="6">F238</f>
        <v>0</v>
      </c>
    </row>
    <row r="239" spans="1:8" ht="16.5" hidden="1" customHeight="1" x14ac:dyDescent="0.3">
      <c r="A239" s="25" t="s">
        <v>534</v>
      </c>
      <c r="B239" s="27"/>
      <c r="C239" s="27"/>
      <c r="D239" s="27"/>
      <c r="H239">
        <f t="shared" si="6"/>
        <v>0</v>
      </c>
    </row>
    <row r="240" spans="1:8" ht="16.5" hidden="1" customHeight="1" thickBot="1" x14ac:dyDescent="0.35">
      <c r="A240" s="13" t="s">
        <v>499</v>
      </c>
      <c r="B240" s="2">
        <v>0.89500000000000002</v>
      </c>
      <c r="C240" s="2">
        <v>0.67500000000000004</v>
      </c>
      <c r="D240" s="2">
        <v>1.1879999999999999</v>
      </c>
    </row>
    <row r="241" spans="1:9" ht="16.5" hidden="1" customHeight="1" thickBot="1" x14ac:dyDescent="0.35">
      <c r="A241" s="13" t="s">
        <v>500</v>
      </c>
      <c r="B241" s="2">
        <v>0.91700000000000004</v>
      </c>
      <c r="C241" s="2">
        <v>0.69699999999999995</v>
      </c>
      <c r="D241" s="2">
        <v>1.2050000000000001</v>
      </c>
    </row>
    <row r="242" spans="1:9" ht="33" hidden="1" customHeight="1" thickBot="1" x14ac:dyDescent="0.35">
      <c r="A242" s="14" t="s">
        <v>501</v>
      </c>
      <c r="B242" s="2">
        <v>0.74099999999999999</v>
      </c>
      <c r="C242" s="2">
        <v>0.56299999999999994</v>
      </c>
      <c r="D242" s="2">
        <v>0.97399999999999998</v>
      </c>
    </row>
    <row r="243" spans="1:9" ht="49.5" hidden="1" customHeight="1" thickBot="1" x14ac:dyDescent="0.3"/>
    <row r="244" spans="1:9" ht="33" customHeight="1" x14ac:dyDescent="0.3">
      <c r="A244" s="24" t="s">
        <v>502</v>
      </c>
      <c r="B244" s="26"/>
      <c r="C244" s="26"/>
      <c r="D244" s="26"/>
      <c r="H244" s="8" t="str">
        <f t="shared" ref="H244:H246" si="7">TEXT(B244,"0.00")&amp;" ("&amp;TEXT(C244,"0.00")&amp;" to "&amp;TEXT(D244,"0.00")&amp;")"</f>
        <v>0.00 (0.00 to 0.00)</v>
      </c>
      <c r="I244">
        <f>F237</f>
        <v>0</v>
      </c>
    </row>
    <row r="245" spans="1:9" ht="26.25" customHeight="1" thickBot="1" x14ac:dyDescent="0.35">
      <c r="A245" s="13" t="s">
        <v>503</v>
      </c>
      <c r="B245" s="2">
        <v>38.299999999999997</v>
      </c>
      <c r="C245" s="12" t="s">
        <v>504</v>
      </c>
      <c r="D245" s="2">
        <v>3.4000000000000002E-2</v>
      </c>
      <c r="H245" s="8" t="str">
        <f t="shared" si="7"/>
        <v>38.30 (Somers' D to 0.03)</v>
      </c>
      <c r="I245">
        <f t="shared" ref="I245:I246" si="8">F238</f>
        <v>0</v>
      </c>
    </row>
    <row r="246" spans="1:9" ht="25.5" customHeight="1" thickBot="1" x14ac:dyDescent="0.35">
      <c r="A246" s="13" t="s">
        <v>505</v>
      </c>
      <c r="B246" s="2">
        <v>34.9</v>
      </c>
      <c r="C246" s="12" t="s">
        <v>506</v>
      </c>
      <c r="D246" s="2">
        <v>4.7E-2</v>
      </c>
      <c r="H246" s="8" t="str">
        <f t="shared" si="7"/>
        <v>34.90 (Gamma to 0.05)</v>
      </c>
      <c r="I246">
        <f t="shared" si="8"/>
        <v>0</v>
      </c>
    </row>
    <row r="247" spans="1:9" ht="16.5" hidden="1" customHeight="1" thickBot="1" x14ac:dyDescent="0.35">
      <c r="A247" s="13" t="s">
        <v>507</v>
      </c>
      <c r="B247" s="2">
        <v>26.8</v>
      </c>
      <c r="C247" s="12" t="s">
        <v>508</v>
      </c>
      <c r="D247" s="2">
        <v>3.0000000000000001E-3</v>
      </c>
    </row>
    <row r="248" spans="1:9" ht="33" hidden="1" customHeight="1" x14ac:dyDescent="0.3">
      <c r="A248" s="14" t="s">
        <v>509</v>
      </c>
      <c r="B248" s="2">
        <v>10140325</v>
      </c>
      <c r="C248" s="15" t="s">
        <v>510</v>
      </c>
      <c r="D248" s="2">
        <v>0.51700000000000002</v>
      </c>
    </row>
    <row r="249" spans="1:9" ht="39" hidden="1" customHeight="1" x14ac:dyDescent="0.3"/>
    <row r="250" spans="1:9" ht="26.25" hidden="1" customHeight="1" x14ac:dyDescent="0.3"/>
    <row r="251" spans="1:9" ht="26.25" hidden="1" customHeight="1" x14ac:dyDescent="0.3"/>
    <row r="252" spans="1:9" ht="16.5" hidden="1" customHeight="1" x14ac:dyDescent="0.3">
      <c r="A252" s="1" t="s">
        <v>436</v>
      </c>
    </row>
    <row r="253" spans="1:9" ht="16.5" hidden="1" customHeight="1" x14ac:dyDescent="0.3"/>
    <row r="254" spans="1:9" ht="16.5" hidden="1" customHeight="1" x14ac:dyDescent="0.3">
      <c r="A254" s="1" t="s">
        <v>397</v>
      </c>
    </row>
    <row r="255" spans="1:9" ht="16.5" hidden="1" customHeight="1" thickBot="1" x14ac:dyDescent="0.3"/>
    <row r="256" spans="1:9" ht="16.5" hidden="1" customHeight="1" x14ac:dyDescent="0.3">
      <c r="A256" s="24" t="s">
        <v>437</v>
      </c>
      <c r="B256" s="26"/>
    </row>
    <row r="257" spans="1:2" ht="16.5" hidden="1" customHeight="1" thickBot="1" x14ac:dyDescent="0.35">
      <c r="A257" s="13" t="s">
        <v>438</v>
      </c>
      <c r="B257" s="18" t="s">
        <v>439</v>
      </c>
    </row>
    <row r="258" spans="1:2" ht="16.5" hidden="1" customHeight="1" thickBot="1" x14ac:dyDescent="0.35">
      <c r="A258" s="13" t="s">
        <v>440</v>
      </c>
      <c r="B258" s="18" t="s">
        <v>19</v>
      </c>
    </row>
    <row r="259" spans="1:2" ht="16.5" hidden="1" customHeight="1" thickBot="1" x14ac:dyDescent="0.35">
      <c r="A259" s="13" t="s">
        <v>441</v>
      </c>
      <c r="B259" s="18">
        <v>2</v>
      </c>
    </row>
    <row r="260" spans="1:2" ht="16.5" hidden="1" customHeight="1" thickBot="1" x14ac:dyDescent="0.35">
      <c r="A260" s="13" t="s">
        <v>442</v>
      </c>
      <c r="B260" s="18" t="s">
        <v>443</v>
      </c>
    </row>
    <row r="261" spans="1:2" ht="26.25" hidden="1" customHeight="1" thickBot="1" x14ac:dyDescent="0.35">
      <c r="A261" s="13" t="s">
        <v>76</v>
      </c>
      <c r="B261" s="18">
        <v>183</v>
      </c>
    </row>
    <row r="262" spans="1:2" ht="26.25" hidden="1" customHeight="1" thickBot="1" x14ac:dyDescent="0.35">
      <c r="A262" s="13" t="s">
        <v>444</v>
      </c>
      <c r="B262" s="18" t="s">
        <v>445</v>
      </c>
    </row>
    <row r="263" spans="1:2" ht="39" hidden="1" customHeight="1" thickBot="1" x14ac:dyDescent="0.35">
      <c r="A263" s="13" t="s">
        <v>77</v>
      </c>
      <c r="B263" s="18">
        <v>2981</v>
      </c>
    </row>
    <row r="264" spans="1:2" ht="26.25" hidden="1" customHeight="1" thickBot="1" x14ac:dyDescent="0.35">
      <c r="A264" s="13" t="s">
        <v>446</v>
      </c>
      <c r="B264" s="18" t="s">
        <v>447</v>
      </c>
    </row>
    <row r="265" spans="1:2" ht="26.25" hidden="1" customHeight="1" thickBot="1" x14ac:dyDescent="0.35">
      <c r="A265" s="13" t="s">
        <v>448</v>
      </c>
      <c r="B265" s="18" t="s">
        <v>449</v>
      </c>
    </row>
    <row r="266" spans="1:2" ht="26.25" hidden="1" customHeight="1" thickBot="1" x14ac:dyDescent="0.35">
      <c r="A266" s="13" t="s">
        <v>450</v>
      </c>
      <c r="B266" s="18" t="s">
        <v>451</v>
      </c>
    </row>
    <row r="267" spans="1:2" ht="26.25" hidden="1" customHeight="1" x14ac:dyDescent="0.3">
      <c r="A267" s="14" t="s">
        <v>452</v>
      </c>
      <c r="B267" s="19" t="s">
        <v>453</v>
      </c>
    </row>
    <row r="268" spans="1:2" ht="26.25" hidden="1" customHeight="1" thickBot="1" x14ac:dyDescent="0.3"/>
    <row r="269" spans="1:2" ht="26.25" hidden="1" customHeight="1" x14ac:dyDescent="0.3">
      <c r="A269" s="24" t="s">
        <v>80</v>
      </c>
      <c r="B269" s="26"/>
    </row>
    <row r="270" spans="1:2" ht="39" hidden="1" customHeight="1" thickBot="1" x14ac:dyDescent="0.35">
      <c r="A270" s="13" t="s">
        <v>81</v>
      </c>
      <c r="B270" s="2" t="s">
        <v>82</v>
      </c>
    </row>
    <row r="271" spans="1:2" ht="38.25" hidden="1" customHeight="1" x14ac:dyDescent="0.3">
      <c r="A271" s="14" t="s">
        <v>452</v>
      </c>
      <c r="B271" s="2" t="s">
        <v>453</v>
      </c>
    </row>
    <row r="272" spans="1:2" ht="16.5" hidden="1" customHeight="1" thickBot="1" x14ac:dyDescent="0.3"/>
    <row r="273" spans="1:5" ht="33" hidden="1" customHeight="1" thickBot="1" x14ac:dyDescent="0.35">
      <c r="A273" s="20" t="s">
        <v>454</v>
      </c>
      <c r="B273" s="21">
        <v>33200</v>
      </c>
    </row>
    <row r="274" spans="1:5" ht="33.75" hidden="1" customHeight="1" thickBot="1" x14ac:dyDescent="0.35">
      <c r="A274" s="13" t="s">
        <v>455</v>
      </c>
      <c r="B274" s="2">
        <v>33200</v>
      </c>
    </row>
    <row r="275" spans="1:5" ht="66" hidden="1" customHeight="1" thickBot="1" x14ac:dyDescent="0.35">
      <c r="A275" s="13" t="s">
        <v>456</v>
      </c>
      <c r="B275" s="2">
        <v>16448830</v>
      </c>
    </row>
    <row r="276" spans="1:5" ht="16.5" hidden="1" customHeight="1" x14ac:dyDescent="0.3">
      <c r="A276" s="14" t="s">
        <v>457</v>
      </c>
      <c r="B276" s="2">
        <v>16448830</v>
      </c>
    </row>
    <row r="277" spans="1:5" ht="39" hidden="1" customHeight="1" thickBot="1" x14ac:dyDescent="0.3"/>
    <row r="278" spans="1:5" ht="39" hidden="1" customHeight="1" x14ac:dyDescent="0.3">
      <c r="A278" s="24" t="s">
        <v>458</v>
      </c>
      <c r="B278" s="26"/>
      <c r="C278" s="26"/>
      <c r="D278" s="26"/>
    </row>
    <row r="279" spans="1:5" ht="39" hidden="1" customHeight="1" x14ac:dyDescent="0.3">
      <c r="A279" s="6" t="s">
        <v>459</v>
      </c>
      <c r="B279" s="27" t="s">
        <v>19</v>
      </c>
      <c r="C279" s="3" t="s">
        <v>93</v>
      </c>
      <c r="D279" s="3" t="s">
        <v>93</v>
      </c>
    </row>
    <row r="280" spans="1:5" ht="38.25" hidden="1" customHeight="1" x14ac:dyDescent="0.3">
      <c r="A280" s="6" t="s">
        <v>460</v>
      </c>
      <c r="B280" s="27"/>
      <c r="C280" s="3" t="s">
        <v>86</v>
      </c>
      <c r="D280" s="3" t="s">
        <v>461</v>
      </c>
    </row>
    <row r="281" spans="1:5" ht="16.5" hidden="1" customHeight="1" thickBot="1" x14ac:dyDescent="0.35">
      <c r="A281" s="6">
        <v>1</v>
      </c>
      <c r="B281" s="17">
        <v>0</v>
      </c>
      <c r="C281" s="2">
        <v>32509</v>
      </c>
      <c r="D281" s="2">
        <v>16221280</v>
      </c>
    </row>
    <row r="282" spans="1:5" ht="16.5" hidden="1" customHeight="1" x14ac:dyDescent="0.3">
      <c r="A282" s="6">
        <v>2</v>
      </c>
      <c r="B282" s="22">
        <v>1</v>
      </c>
      <c r="C282" s="2">
        <v>691</v>
      </c>
      <c r="D282" s="2">
        <v>227551</v>
      </c>
    </row>
    <row r="283" spans="1:5" ht="16.5" hidden="1" customHeight="1" x14ac:dyDescent="0.3"/>
    <row r="284" spans="1:5" ht="33" hidden="1" customHeight="1" x14ac:dyDescent="0.3">
      <c r="A284" s="1" t="s">
        <v>513</v>
      </c>
    </row>
    <row r="285" spans="1:5" ht="17.25" hidden="1" customHeight="1" thickBot="1" x14ac:dyDescent="0.3"/>
    <row r="286" spans="1:5" ht="16.5" hidden="1" customHeight="1" x14ac:dyDescent="0.3">
      <c r="A286" s="24" t="s">
        <v>462</v>
      </c>
      <c r="B286" s="26"/>
      <c r="C286" s="26"/>
      <c r="D286" s="26"/>
      <c r="E286" s="26"/>
    </row>
    <row r="287" spans="1:5" ht="16.5" hidden="1" customHeight="1" x14ac:dyDescent="0.3">
      <c r="A287" s="6" t="s">
        <v>463</v>
      </c>
      <c r="B287" s="3" t="s">
        <v>460</v>
      </c>
      <c r="C287" s="27" t="s">
        <v>464</v>
      </c>
      <c r="D287" s="27"/>
      <c r="E287" s="27"/>
    </row>
    <row r="288" spans="1:5" ht="16.5" hidden="1" customHeight="1" thickBot="1" x14ac:dyDescent="0.35">
      <c r="A288" s="13" t="s">
        <v>22</v>
      </c>
      <c r="B288" s="12">
        <v>1</v>
      </c>
      <c r="C288" s="2">
        <v>0</v>
      </c>
      <c r="D288" s="2">
        <v>0</v>
      </c>
      <c r="E288" s="2">
        <v>0</v>
      </c>
    </row>
    <row r="289" spans="1:5" ht="16.5" hidden="1" customHeight="1" thickBot="1" x14ac:dyDescent="0.35">
      <c r="A289" s="13"/>
      <c r="B289" s="12">
        <v>2</v>
      </c>
      <c r="C289" s="2">
        <v>1</v>
      </c>
      <c r="D289" s="2">
        <v>0</v>
      </c>
      <c r="E289" s="2">
        <v>0</v>
      </c>
    </row>
    <row r="290" spans="1:5" ht="16.5" hidden="1" customHeight="1" thickBot="1" x14ac:dyDescent="0.35">
      <c r="A290" s="13"/>
      <c r="B290" s="12">
        <v>3</v>
      </c>
      <c r="C290" s="2">
        <v>0</v>
      </c>
      <c r="D290" s="2">
        <v>1</v>
      </c>
      <c r="E290" s="2">
        <v>0</v>
      </c>
    </row>
    <row r="291" spans="1:5" ht="16.5" hidden="1" customHeight="1" x14ac:dyDescent="0.3">
      <c r="A291" s="14"/>
      <c r="B291" s="15">
        <v>4</v>
      </c>
      <c r="C291" s="2">
        <v>0</v>
      </c>
      <c r="D291" s="2">
        <v>0</v>
      </c>
      <c r="E291" s="2">
        <v>1</v>
      </c>
    </row>
    <row r="292" spans="1:5" ht="17.25" hidden="1" customHeight="1" thickBot="1" x14ac:dyDescent="0.3"/>
    <row r="293" spans="1:5" ht="17.25" hidden="1" customHeight="1" x14ac:dyDescent="0.3">
      <c r="A293" s="4" t="s">
        <v>465</v>
      </c>
    </row>
    <row r="294" spans="1:5" ht="17.25" hidden="1" customHeight="1" x14ac:dyDescent="0.3">
      <c r="A294" s="23" t="s">
        <v>466</v>
      </c>
    </row>
    <row r="295" spans="1:5" ht="16.5" hidden="1" customHeight="1" thickBot="1" x14ac:dyDescent="0.3"/>
    <row r="296" spans="1:5" ht="16.5" hidden="1" customHeight="1" x14ac:dyDescent="0.3">
      <c r="A296" s="24" t="s">
        <v>467</v>
      </c>
      <c r="B296" s="26"/>
      <c r="C296" s="26"/>
    </row>
    <row r="297" spans="1:5" ht="66" hidden="1" customHeight="1" x14ac:dyDescent="0.3">
      <c r="A297" s="6" t="s">
        <v>468</v>
      </c>
      <c r="B297" s="3" t="s">
        <v>469</v>
      </c>
      <c r="C297" s="3" t="s">
        <v>470</v>
      </c>
    </row>
    <row r="298" spans="1:5" ht="99" hidden="1" customHeight="1" thickBot="1" x14ac:dyDescent="0.35">
      <c r="A298" s="13" t="s">
        <v>471</v>
      </c>
      <c r="B298" s="2">
        <v>2400063.1</v>
      </c>
      <c r="C298" s="2">
        <v>2397109.5</v>
      </c>
    </row>
    <row r="299" spans="1:5" ht="16.5" hidden="1" customHeight="1" thickBot="1" x14ac:dyDescent="0.35">
      <c r="A299" s="13" t="s">
        <v>472</v>
      </c>
      <c r="B299" s="2">
        <v>2400077.7000000002</v>
      </c>
      <c r="C299" s="2">
        <v>2397168</v>
      </c>
    </row>
    <row r="300" spans="1:5" ht="16.5" hidden="1" customHeight="1" x14ac:dyDescent="0.3">
      <c r="A300" s="14" t="s">
        <v>473</v>
      </c>
      <c r="B300" s="2" t="s">
        <v>620</v>
      </c>
      <c r="C300" s="2">
        <v>2397101.5</v>
      </c>
    </row>
    <row r="301" spans="1:5" ht="66" hidden="1" customHeight="1" thickBot="1" x14ac:dyDescent="0.3"/>
    <row r="302" spans="1:5" ht="17.25" hidden="1" customHeight="1" x14ac:dyDescent="0.3">
      <c r="A302" s="24" t="s">
        <v>474</v>
      </c>
      <c r="B302" s="26"/>
      <c r="C302" s="26"/>
      <c r="D302" s="26"/>
      <c r="E302" s="26"/>
    </row>
    <row r="303" spans="1:5" ht="17.25" hidden="1" customHeight="1" x14ac:dyDescent="0.3">
      <c r="A303" s="6" t="s">
        <v>475</v>
      </c>
      <c r="B303" s="3" t="s">
        <v>476</v>
      </c>
      <c r="C303" s="3" t="s">
        <v>477</v>
      </c>
      <c r="D303" s="3" t="s">
        <v>478</v>
      </c>
      <c r="E303" s="3" t="s">
        <v>479</v>
      </c>
    </row>
    <row r="304" spans="1:5" ht="16.5" hidden="1" customHeight="1" x14ac:dyDescent="0.3">
      <c r="A304" s="25" t="s">
        <v>602</v>
      </c>
      <c r="B304" s="27"/>
      <c r="C304" s="27"/>
      <c r="D304" s="27"/>
      <c r="E304" s="27"/>
    </row>
    <row r="305" spans="1:6" ht="16.5" hidden="1" customHeight="1" thickBot="1" x14ac:dyDescent="0.35">
      <c r="A305" s="13" t="s">
        <v>481</v>
      </c>
      <c r="B305" s="2">
        <v>1.91</v>
      </c>
      <c r="C305" s="2">
        <v>2.9802</v>
      </c>
      <c r="D305" s="2">
        <v>8338.5</v>
      </c>
      <c r="E305" s="2">
        <v>0.12529999999999999</v>
      </c>
    </row>
    <row r="306" spans="1:6" ht="16.5" hidden="1" customHeight="1" thickBot="1" x14ac:dyDescent="0.35">
      <c r="A306" s="13" t="s">
        <v>483</v>
      </c>
      <c r="B306" s="2">
        <v>2.11</v>
      </c>
      <c r="C306" s="2">
        <v>3</v>
      </c>
      <c r="D306" s="2">
        <v>2796</v>
      </c>
      <c r="E306" s="2">
        <v>9.7299999999999998E-2</v>
      </c>
    </row>
    <row r="307" spans="1:6" ht="16.5" hidden="1" customHeight="1" x14ac:dyDescent="0.3">
      <c r="A307" s="14" t="s">
        <v>484</v>
      </c>
      <c r="B307" s="2">
        <v>1.72</v>
      </c>
      <c r="C307" s="2">
        <v>3</v>
      </c>
      <c r="D307" s="2">
        <v>2796</v>
      </c>
      <c r="E307" s="2">
        <v>0.1603</v>
      </c>
    </row>
    <row r="308" spans="1:6" ht="33" hidden="1" customHeight="1" thickBot="1" x14ac:dyDescent="0.3"/>
    <row r="309" spans="1:6" ht="26.25" hidden="1" customHeight="1" x14ac:dyDescent="0.3">
      <c r="A309" s="24" t="s">
        <v>485</v>
      </c>
      <c r="B309" s="26"/>
      <c r="C309" s="26"/>
      <c r="D309" s="26"/>
      <c r="E309" s="26"/>
    </row>
    <row r="310" spans="1:6" ht="17.25" hidden="1" customHeight="1" x14ac:dyDescent="0.3">
      <c r="A310" s="6" t="s">
        <v>486</v>
      </c>
      <c r="B310" s="3" t="s">
        <v>476</v>
      </c>
      <c r="C310" s="3" t="s">
        <v>477</v>
      </c>
      <c r="D310" s="3" t="s">
        <v>478</v>
      </c>
      <c r="E310" s="3" t="s">
        <v>479</v>
      </c>
    </row>
    <row r="311" spans="1:6" ht="16.5" hidden="1" customHeight="1" x14ac:dyDescent="0.3">
      <c r="A311" s="14" t="s">
        <v>22</v>
      </c>
      <c r="B311" s="2">
        <v>1.72</v>
      </c>
      <c r="C311" s="2">
        <v>3</v>
      </c>
      <c r="D311" s="2">
        <v>2796</v>
      </c>
      <c r="E311" s="2">
        <v>0.1603</v>
      </c>
    </row>
    <row r="312" spans="1:6" ht="16.5" hidden="1" customHeight="1" thickBot="1" x14ac:dyDescent="0.3"/>
    <row r="313" spans="1:6" ht="16.5" hidden="1" customHeight="1" x14ac:dyDescent="0.3">
      <c r="A313" s="24" t="s">
        <v>487</v>
      </c>
      <c r="B313" s="26"/>
      <c r="C313" s="26"/>
      <c r="D313" s="26"/>
      <c r="E313" s="26"/>
      <c r="F313" s="26"/>
    </row>
    <row r="314" spans="1:6" ht="16.5" hidden="1" customHeight="1" x14ac:dyDescent="0.3">
      <c r="A314" s="25" t="s">
        <v>488</v>
      </c>
      <c r="B314" s="27"/>
      <c r="C314" s="27" t="s">
        <v>489</v>
      </c>
      <c r="D314" s="3" t="s">
        <v>490</v>
      </c>
      <c r="E314" s="27" t="s">
        <v>492</v>
      </c>
      <c r="F314" s="27" t="s">
        <v>493</v>
      </c>
    </row>
    <row r="315" spans="1:6" ht="16.5" hidden="1" customHeight="1" x14ac:dyDescent="0.3">
      <c r="A315" s="25"/>
      <c r="B315" s="27"/>
      <c r="C315" s="27"/>
      <c r="D315" s="3" t="s">
        <v>491</v>
      </c>
      <c r="E315" s="27"/>
      <c r="F315" s="27"/>
    </row>
    <row r="316" spans="1:6" ht="16.5" hidden="1" customHeight="1" x14ac:dyDescent="0.3">
      <c r="A316" s="25" t="s">
        <v>535</v>
      </c>
      <c r="B316" s="27"/>
      <c r="C316" s="27"/>
      <c r="D316" s="27"/>
      <c r="E316" s="27"/>
      <c r="F316" s="27"/>
    </row>
    <row r="317" spans="1:6" ht="16.5" hidden="1" customHeight="1" thickBot="1" x14ac:dyDescent="0.35">
      <c r="A317" s="13" t="s">
        <v>495</v>
      </c>
      <c r="B317" s="12"/>
      <c r="C317" s="16">
        <v>-4.5435999999999996</v>
      </c>
      <c r="D317" s="2">
        <v>0.14069999999999999</v>
      </c>
      <c r="E317" s="16">
        <v>-32.29</v>
      </c>
      <c r="F317" s="2" t="s">
        <v>482</v>
      </c>
    </row>
    <row r="318" spans="1:6" ht="16.5" hidden="1" customHeight="1" thickBot="1" x14ac:dyDescent="0.35">
      <c r="A318" s="13" t="s">
        <v>22</v>
      </c>
      <c r="B318" s="12">
        <v>2</v>
      </c>
      <c r="C318" s="2">
        <v>0.34960000000000002</v>
      </c>
      <c r="D318" s="2">
        <v>0.1673</v>
      </c>
      <c r="E318" s="2">
        <v>2.09</v>
      </c>
      <c r="F318" s="2">
        <v>3.6700000000000003E-2</v>
      </c>
    </row>
    <row r="319" spans="1:6" ht="16.5" hidden="1" customHeight="1" thickBot="1" x14ac:dyDescent="0.35">
      <c r="A319" s="13" t="s">
        <v>22</v>
      </c>
      <c r="B319" s="12">
        <v>3</v>
      </c>
      <c r="C319" s="2">
        <v>0.35220000000000001</v>
      </c>
      <c r="D319" s="2">
        <v>0.16650000000000001</v>
      </c>
      <c r="E319" s="2">
        <v>2.11</v>
      </c>
      <c r="F319" s="2">
        <v>3.4500000000000003E-2</v>
      </c>
    </row>
    <row r="320" spans="1:6" ht="16.5" hidden="1" customHeight="1" x14ac:dyDescent="0.3">
      <c r="A320" s="14" t="s">
        <v>22</v>
      </c>
      <c r="B320" s="15">
        <v>4</v>
      </c>
      <c r="C320" s="2">
        <v>0.28039999999999998</v>
      </c>
      <c r="D320" s="2">
        <v>0.16339999999999999</v>
      </c>
      <c r="E320" s="2">
        <v>1.72</v>
      </c>
      <c r="F320" s="2">
        <v>8.6300000000000002E-2</v>
      </c>
    </row>
    <row r="321" spans="1:9" ht="17.25" hidden="1" customHeight="1" thickBot="1" x14ac:dyDescent="0.3"/>
    <row r="322" spans="1:9" ht="17.25" hidden="1" customHeight="1" x14ac:dyDescent="0.3">
      <c r="A322" s="24" t="s">
        <v>496</v>
      </c>
      <c r="B322" s="26"/>
      <c r="C322" s="26"/>
      <c r="D322" s="26"/>
      <c r="H322">
        <f>F322</f>
        <v>0</v>
      </c>
    </row>
    <row r="323" spans="1:9" ht="17.25" hidden="1" customHeight="1" x14ac:dyDescent="0.3">
      <c r="A323" s="6" t="s">
        <v>486</v>
      </c>
      <c r="B323" s="3" t="s">
        <v>497</v>
      </c>
      <c r="C323" s="27" t="s">
        <v>91</v>
      </c>
      <c r="D323" s="27"/>
      <c r="H323">
        <f t="shared" ref="H323:H324" si="9">F323</f>
        <v>0</v>
      </c>
    </row>
    <row r="324" spans="1:9" ht="16.5" hidden="1" customHeight="1" x14ac:dyDescent="0.3">
      <c r="A324" s="25" t="s">
        <v>536</v>
      </c>
      <c r="B324" s="27"/>
      <c r="C324" s="27"/>
      <c r="D324" s="27"/>
      <c r="H324">
        <f t="shared" si="9"/>
        <v>0</v>
      </c>
    </row>
    <row r="325" spans="1:9" ht="16.5" hidden="1" customHeight="1" thickBot="1" x14ac:dyDescent="0.35">
      <c r="A325" s="13" t="s">
        <v>499</v>
      </c>
      <c r="B325" s="2">
        <v>1.4179999999999999</v>
      </c>
      <c r="C325" s="2">
        <v>1.022</v>
      </c>
      <c r="D325" s="2">
        <v>1.9690000000000001</v>
      </c>
    </row>
    <row r="326" spans="1:9" ht="16.5" hidden="1" customHeight="1" thickBot="1" x14ac:dyDescent="0.35">
      <c r="A326" s="13" t="s">
        <v>500</v>
      </c>
      <c r="B326" s="2">
        <v>1.4219999999999999</v>
      </c>
      <c r="C326" s="2">
        <v>1.026</v>
      </c>
      <c r="D326" s="2">
        <v>1.9710000000000001</v>
      </c>
    </row>
    <row r="327" spans="1:9" ht="33" hidden="1" customHeight="1" thickBot="1" x14ac:dyDescent="0.35">
      <c r="A327" s="14" t="s">
        <v>501</v>
      </c>
      <c r="B327" s="2">
        <v>1.3240000000000001</v>
      </c>
      <c r="C327" s="2">
        <v>0.96099999999999997</v>
      </c>
      <c r="D327" s="2">
        <v>1.8240000000000001</v>
      </c>
    </row>
    <row r="328" spans="1:9" ht="49.5" hidden="1" customHeight="1" thickBot="1" x14ac:dyDescent="0.3"/>
    <row r="329" spans="1:9" ht="33" customHeight="1" x14ac:dyDescent="0.3">
      <c r="A329" s="24" t="s">
        <v>502</v>
      </c>
      <c r="B329" s="26"/>
      <c r="C329" s="26"/>
      <c r="D329" s="26"/>
      <c r="H329" s="8" t="str">
        <f t="shared" ref="H329:H331" si="10">TEXT(B329,"0.00")&amp;" ("&amp;TEXT(C329,"0.00")&amp;" to "&amp;TEXT(D329,"0.00")&amp;")"</f>
        <v>0.00 (0.00 to 0.00)</v>
      </c>
      <c r="I329">
        <f>F322</f>
        <v>0</v>
      </c>
    </row>
    <row r="330" spans="1:9" ht="26.25" customHeight="1" thickBot="1" x14ac:dyDescent="0.35">
      <c r="A330" s="13" t="s">
        <v>503</v>
      </c>
      <c r="B330" s="2">
        <v>32.700000000000003</v>
      </c>
      <c r="C330" s="12" t="s">
        <v>504</v>
      </c>
      <c r="D330" s="2">
        <v>5.8999999999999997E-2</v>
      </c>
      <c r="H330" s="8" t="str">
        <f t="shared" si="10"/>
        <v>32.70 (Somers' D to 0.06)</v>
      </c>
      <c r="I330">
        <f t="shared" ref="I330:I331" si="11">F323</f>
        <v>0</v>
      </c>
    </row>
    <row r="331" spans="1:9" ht="25.5" customHeight="1" thickBot="1" x14ac:dyDescent="0.35">
      <c r="A331" s="13" t="s">
        <v>505</v>
      </c>
      <c r="B331" s="2">
        <v>26.7</v>
      </c>
      <c r="C331" s="12" t="s">
        <v>506</v>
      </c>
      <c r="D331" s="2">
        <v>0.1</v>
      </c>
      <c r="H331" s="8" t="str">
        <f t="shared" si="10"/>
        <v>26.70 (Gamma to 0.10)</v>
      </c>
      <c r="I331">
        <f t="shared" si="11"/>
        <v>0</v>
      </c>
    </row>
    <row r="332" spans="1:9" ht="16.5" hidden="1" customHeight="1" thickBot="1" x14ac:dyDescent="0.35">
      <c r="A332" s="13" t="s">
        <v>507</v>
      </c>
      <c r="B332" s="2">
        <v>40.6</v>
      </c>
      <c r="C332" s="12" t="s">
        <v>508</v>
      </c>
      <c r="D332" s="2">
        <v>2E-3</v>
      </c>
    </row>
    <row r="333" spans="1:9" ht="33" hidden="1" customHeight="1" x14ac:dyDescent="0.3">
      <c r="A333" s="14" t="s">
        <v>509</v>
      </c>
      <c r="B333" s="2">
        <v>22463719</v>
      </c>
      <c r="C333" s="15" t="s">
        <v>510</v>
      </c>
      <c r="D333" s="2">
        <v>0.53</v>
      </c>
    </row>
    <row r="334" spans="1:9" ht="39" hidden="1" customHeight="1" x14ac:dyDescent="0.3"/>
    <row r="335" spans="1:9" ht="26.25" hidden="1" customHeight="1" x14ac:dyDescent="0.3"/>
    <row r="336" spans="1:9" ht="26.25" hidden="1" customHeight="1" x14ac:dyDescent="0.3"/>
    <row r="337" spans="1:2" ht="16.5" hidden="1" customHeight="1" x14ac:dyDescent="0.3">
      <c r="A337" s="1" t="s">
        <v>436</v>
      </c>
    </row>
    <row r="338" spans="1:2" ht="16.5" hidden="1" customHeight="1" x14ac:dyDescent="0.3"/>
    <row r="339" spans="1:2" ht="16.5" hidden="1" customHeight="1" x14ac:dyDescent="0.3">
      <c r="A339" s="1" t="s">
        <v>398</v>
      </c>
    </row>
    <row r="340" spans="1:2" ht="16.5" hidden="1" customHeight="1" thickBot="1" x14ac:dyDescent="0.3"/>
    <row r="341" spans="1:2" ht="16.5" hidden="1" customHeight="1" x14ac:dyDescent="0.3">
      <c r="A341" s="24" t="s">
        <v>437</v>
      </c>
      <c r="B341" s="26"/>
    </row>
    <row r="342" spans="1:2" ht="16.5" hidden="1" customHeight="1" thickBot="1" x14ac:dyDescent="0.35">
      <c r="A342" s="13" t="s">
        <v>438</v>
      </c>
      <c r="B342" s="18" t="s">
        <v>439</v>
      </c>
    </row>
    <row r="343" spans="1:2" ht="16.5" hidden="1" customHeight="1" thickBot="1" x14ac:dyDescent="0.35">
      <c r="A343" s="13" t="s">
        <v>440</v>
      </c>
      <c r="B343" s="18" t="s">
        <v>19</v>
      </c>
    </row>
    <row r="344" spans="1:2" ht="16.5" hidden="1" customHeight="1" thickBot="1" x14ac:dyDescent="0.35">
      <c r="A344" s="13" t="s">
        <v>441</v>
      </c>
      <c r="B344" s="18">
        <v>2</v>
      </c>
    </row>
    <row r="345" spans="1:2" ht="16.5" hidden="1" customHeight="1" thickBot="1" x14ac:dyDescent="0.35">
      <c r="A345" s="13" t="s">
        <v>442</v>
      </c>
      <c r="B345" s="18" t="s">
        <v>443</v>
      </c>
    </row>
    <row r="346" spans="1:2" ht="26.25" hidden="1" customHeight="1" thickBot="1" x14ac:dyDescent="0.35">
      <c r="A346" s="13" t="s">
        <v>76</v>
      </c>
      <c r="B346" s="18">
        <v>183</v>
      </c>
    </row>
    <row r="347" spans="1:2" ht="26.25" hidden="1" customHeight="1" thickBot="1" x14ac:dyDescent="0.35">
      <c r="A347" s="13" t="s">
        <v>444</v>
      </c>
      <c r="B347" s="18" t="s">
        <v>445</v>
      </c>
    </row>
    <row r="348" spans="1:2" ht="39" hidden="1" customHeight="1" thickBot="1" x14ac:dyDescent="0.35">
      <c r="A348" s="13" t="s">
        <v>77</v>
      </c>
      <c r="B348" s="18">
        <v>2981</v>
      </c>
    </row>
    <row r="349" spans="1:2" ht="26.25" hidden="1" customHeight="1" thickBot="1" x14ac:dyDescent="0.35">
      <c r="A349" s="13" t="s">
        <v>446</v>
      </c>
      <c r="B349" s="18" t="s">
        <v>447</v>
      </c>
    </row>
    <row r="350" spans="1:2" ht="26.25" hidden="1" customHeight="1" thickBot="1" x14ac:dyDescent="0.35">
      <c r="A350" s="13" t="s">
        <v>448</v>
      </c>
      <c r="B350" s="18" t="s">
        <v>449</v>
      </c>
    </row>
    <row r="351" spans="1:2" ht="26.25" hidden="1" customHeight="1" thickBot="1" x14ac:dyDescent="0.35">
      <c r="A351" s="13" t="s">
        <v>450</v>
      </c>
      <c r="B351" s="18" t="s">
        <v>451</v>
      </c>
    </row>
    <row r="352" spans="1:2" ht="26.25" hidden="1" customHeight="1" x14ac:dyDescent="0.3">
      <c r="A352" s="14" t="s">
        <v>452</v>
      </c>
      <c r="B352" s="19" t="s">
        <v>453</v>
      </c>
    </row>
    <row r="353" spans="1:4" ht="26.25" hidden="1" customHeight="1" thickBot="1" x14ac:dyDescent="0.3"/>
    <row r="354" spans="1:4" ht="26.25" hidden="1" customHeight="1" x14ac:dyDescent="0.3">
      <c r="A354" s="24" t="s">
        <v>80</v>
      </c>
      <c r="B354" s="26"/>
    </row>
    <row r="355" spans="1:4" ht="39" hidden="1" customHeight="1" thickBot="1" x14ac:dyDescent="0.35">
      <c r="A355" s="13" t="s">
        <v>81</v>
      </c>
      <c r="B355" s="2" t="s">
        <v>82</v>
      </c>
    </row>
    <row r="356" spans="1:4" ht="38.25" hidden="1" customHeight="1" x14ac:dyDescent="0.3">
      <c r="A356" s="14" t="s">
        <v>452</v>
      </c>
      <c r="B356" s="2" t="s">
        <v>453</v>
      </c>
    </row>
    <row r="357" spans="1:4" ht="16.5" hidden="1" customHeight="1" thickBot="1" x14ac:dyDescent="0.3"/>
    <row r="358" spans="1:4" ht="33" hidden="1" customHeight="1" thickBot="1" x14ac:dyDescent="0.35">
      <c r="A358" s="20" t="s">
        <v>454</v>
      </c>
      <c r="B358" s="21">
        <v>35435</v>
      </c>
    </row>
    <row r="359" spans="1:4" ht="33.75" hidden="1" customHeight="1" thickBot="1" x14ac:dyDescent="0.35">
      <c r="A359" s="13" t="s">
        <v>455</v>
      </c>
      <c r="B359" s="2">
        <v>35435</v>
      </c>
    </row>
    <row r="360" spans="1:4" ht="66" hidden="1" customHeight="1" thickBot="1" x14ac:dyDescent="0.35">
      <c r="A360" s="13" t="s">
        <v>456</v>
      </c>
      <c r="B360" s="2">
        <v>13803105</v>
      </c>
    </row>
    <row r="361" spans="1:4" ht="16.5" hidden="1" customHeight="1" x14ac:dyDescent="0.3">
      <c r="A361" s="14" t="s">
        <v>457</v>
      </c>
      <c r="B361" s="2">
        <v>13803105</v>
      </c>
    </row>
    <row r="362" spans="1:4" ht="39" hidden="1" customHeight="1" thickBot="1" x14ac:dyDescent="0.3"/>
    <row r="363" spans="1:4" ht="39" hidden="1" customHeight="1" x14ac:dyDescent="0.3">
      <c r="A363" s="24" t="s">
        <v>458</v>
      </c>
      <c r="B363" s="26"/>
      <c r="C363" s="26"/>
      <c r="D363" s="26"/>
    </row>
    <row r="364" spans="1:4" ht="39" hidden="1" customHeight="1" x14ac:dyDescent="0.3">
      <c r="A364" s="6" t="s">
        <v>459</v>
      </c>
      <c r="B364" s="27" t="s">
        <v>19</v>
      </c>
      <c r="C364" s="3" t="s">
        <v>93</v>
      </c>
      <c r="D364" s="3" t="s">
        <v>93</v>
      </c>
    </row>
    <row r="365" spans="1:4" ht="38.25" hidden="1" customHeight="1" x14ac:dyDescent="0.3">
      <c r="A365" s="6" t="s">
        <v>460</v>
      </c>
      <c r="B365" s="27"/>
      <c r="C365" s="3" t="s">
        <v>86</v>
      </c>
      <c r="D365" s="3" t="s">
        <v>461</v>
      </c>
    </row>
    <row r="366" spans="1:4" ht="16.5" hidden="1" customHeight="1" thickBot="1" x14ac:dyDescent="0.35">
      <c r="A366" s="6">
        <v>1</v>
      </c>
      <c r="B366" s="17">
        <v>0</v>
      </c>
      <c r="C366" s="2">
        <v>34925</v>
      </c>
      <c r="D366" s="2">
        <v>13652911</v>
      </c>
    </row>
    <row r="367" spans="1:4" ht="16.5" hidden="1" customHeight="1" x14ac:dyDescent="0.3">
      <c r="A367" s="6">
        <v>2</v>
      </c>
      <c r="B367" s="22">
        <v>1</v>
      </c>
      <c r="C367" s="2">
        <v>510</v>
      </c>
      <c r="D367" s="2">
        <v>150194</v>
      </c>
    </row>
    <row r="368" spans="1:4" ht="16.5" hidden="1" customHeight="1" x14ac:dyDescent="0.3"/>
    <row r="369" spans="1:5" ht="33" hidden="1" customHeight="1" x14ac:dyDescent="0.3">
      <c r="A369" s="1" t="s">
        <v>513</v>
      </c>
    </row>
    <row r="370" spans="1:5" ht="17.25" hidden="1" customHeight="1" thickBot="1" x14ac:dyDescent="0.3"/>
    <row r="371" spans="1:5" ht="16.5" hidden="1" customHeight="1" x14ac:dyDescent="0.3">
      <c r="A371" s="24" t="s">
        <v>462</v>
      </c>
      <c r="B371" s="26"/>
      <c r="C371" s="26"/>
      <c r="D371" s="26"/>
      <c r="E371" s="26"/>
    </row>
    <row r="372" spans="1:5" ht="16.5" hidden="1" customHeight="1" x14ac:dyDescent="0.3">
      <c r="A372" s="6" t="s">
        <v>463</v>
      </c>
      <c r="B372" s="3" t="s">
        <v>460</v>
      </c>
      <c r="C372" s="27" t="s">
        <v>464</v>
      </c>
      <c r="D372" s="27"/>
      <c r="E372" s="27"/>
    </row>
    <row r="373" spans="1:5" ht="16.5" hidden="1" customHeight="1" thickBot="1" x14ac:dyDescent="0.35">
      <c r="A373" s="13" t="s">
        <v>22</v>
      </c>
      <c r="B373" s="12">
        <v>1</v>
      </c>
      <c r="C373" s="2">
        <v>0</v>
      </c>
      <c r="D373" s="2">
        <v>0</v>
      </c>
      <c r="E373" s="2">
        <v>0</v>
      </c>
    </row>
    <row r="374" spans="1:5" ht="16.5" hidden="1" customHeight="1" thickBot="1" x14ac:dyDescent="0.35">
      <c r="A374" s="13"/>
      <c r="B374" s="12">
        <v>2</v>
      </c>
      <c r="C374" s="2">
        <v>1</v>
      </c>
      <c r="D374" s="2">
        <v>0</v>
      </c>
      <c r="E374" s="2">
        <v>0</v>
      </c>
    </row>
    <row r="375" spans="1:5" ht="16.5" hidden="1" customHeight="1" thickBot="1" x14ac:dyDescent="0.35">
      <c r="A375" s="13"/>
      <c r="B375" s="12">
        <v>3</v>
      </c>
      <c r="C375" s="2">
        <v>0</v>
      </c>
      <c r="D375" s="2">
        <v>1</v>
      </c>
      <c r="E375" s="2">
        <v>0</v>
      </c>
    </row>
    <row r="376" spans="1:5" ht="16.5" hidden="1" customHeight="1" x14ac:dyDescent="0.3">
      <c r="A376" s="14"/>
      <c r="B376" s="15">
        <v>4</v>
      </c>
      <c r="C376" s="2">
        <v>0</v>
      </c>
      <c r="D376" s="2">
        <v>0</v>
      </c>
      <c r="E376" s="2">
        <v>1</v>
      </c>
    </row>
    <row r="377" spans="1:5" ht="17.25" hidden="1" customHeight="1" thickBot="1" x14ac:dyDescent="0.3"/>
    <row r="378" spans="1:5" ht="17.25" hidden="1" customHeight="1" x14ac:dyDescent="0.3">
      <c r="A378" s="4" t="s">
        <v>465</v>
      </c>
    </row>
    <row r="379" spans="1:5" ht="17.25" hidden="1" customHeight="1" x14ac:dyDescent="0.3">
      <c r="A379" s="23" t="s">
        <v>466</v>
      </c>
    </row>
    <row r="380" spans="1:5" ht="16.5" hidden="1" customHeight="1" thickBot="1" x14ac:dyDescent="0.3"/>
    <row r="381" spans="1:5" ht="16.5" hidden="1" customHeight="1" x14ac:dyDescent="0.3">
      <c r="A381" s="24" t="s">
        <v>467</v>
      </c>
      <c r="B381" s="26"/>
      <c r="C381" s="26"/>
    </row>
    <row r="382" spans="1:5" ht="66" hidden="1" customHeight="1" x14ac:dyDescent="0.3">
      <c r="A382" s="6" t="s">
        <v>468</v>
      </c>
      <c r="B382" s="3" t="s">
        <v>469</v>
      </c>
      <c r="C382" s="3" t="s">
        <v>470</v>
      </c>
    </row>
    <row r="383" spans="1:5" ht="99" hidden="1" customHeight="1" thickBot="1" x14ac:dyDescent="0.35">
      <c r="A383" s="13" t="s">
        <v>471</v>
      </c>
      <c r="B383" s="2">
        <v>1656723.1</v>
      </c>
      <c r="C383" s="2">
        <v>1614612.3</v>
      </c>
    </row>
    <row r="384" spans="1:5" ht="16.5" hidden="1" customHeight="1" thickBot="1" x14ac:dyDescent="0.35">
      <c r="A384" s="13" t="s">
        <v>472</v>
      </c>
      <c r="B384" s="2">
        <v>1656737.6</v>
      </c>
      <c r="C384" s="2">
        <v>1614670</v>
      </c>
    </row>
    <row r="385" spans="1:6" ht="16.5" hidden="1" customHeight="1" x14ac:dyDescent="0.3">
      <c r="A385" s="14" t="s">
        <v>473</v>
      </c>
      <c r="B385" s="2" t="s">
        <v>621</v>
      </c>
      <c r="C385" s="2">
        <v>1614604.3</v>
      </c>
    </row>
    <row r="386" spans="1:6" ht="66" hidden="1" customHeight="1" thickBot="1" x14ac:dyDescent="0.3"/>
    <row r="387" spans="1:6" ht="17.25" hidden="1" customHeight="1" x14ac:dyDescent="0.3">
      <c r="A387" s="24" t="s">
        <v>474</v>
      </c>
      <c r="B387" s="26"/>
      <c r="C387" s="26"/>
      <c r="D387" s="26"/>
      <c r="E387" s="26"/>
    </row>
    <row r="388" spans="1:6" ht="17.25" hidden="1" customHeight="1" x14ac:dyDescent="0.3">
      <c r="A388" s="6" t="s">
        <v>475</v>
      </c>
      <c r="B388" s="3" t="s">
        <v>476</v>
      </c>
      <c r="C388" s="3" t="s">
        <v>477</v>
      </c>
      <c r="D388" s="3" t="s">
        <v>478</v>
      </c>
      <c r="E388" s="3" t="s">
        <v>479</v>
      </c>
    </row>
    <row r="389" spans="1:6" ht="16.5" hidden="1" customHeight="1" x14ac:dyDescent="0.3">
      <c r="A389" s="25" t="s">
        <v>605</v>
      </c>
      <c r="B389" s="27"/>
      <c r="C389" s="27"/>
      <c r="D389" s="27"/>
      <c r="E389" s="27"/>
    </row>
    <row r="390" spans="1:6" ht="16.5" hidden="1" customHeight="1" thickBot="1" x14ac:dyDescent="0.35">
      <c r="A390" s="13" t="s">
        <v>481</v>
      </c>
      <c r="B390" s="2">
        <v>37.5</v>
      </c>
      <c r="C390" s="2">
        <v>2.9937999999999998</v>
      </c>
      <c r="D390" s="2">
        <v>8376.73</v>
      </c>
      <c r="E390" s="2" t="s">
        <v>482</v>
      </c>
    </row>
    <row r="391" spans="1:6" ht="16.5" hidden="1" customHeight="1" thickBot="1" x14ac:dyDescent="0.35">
      <c r="A391" s="13" t="s">
        <v>483</v>
      </c>
      <c r="B391" s="2">
        <v>39.159999999999997</v>
      </c>
      <c r="C391" s="2">
        <v>3</v>
      </c>
      <c r="D391" s="2">
        <v>2796</v>
      </c>
      <c r="E391" s="2" t="s">
        <v>482</v>
      </c>
    </row>
    <row r="392" spans="1:6" ht="16.5" hidden="1" customHeight="1" x14ac:dyDescent="0.3">
      <c r="A392" s="14" t="s">
        <v>484</v>
      </c>
      <c r="B392" s="2">
        <v>33.85</v>
      </c>
      <c r="C392" s="2">
        <v>3</v>
      </c>
      <c r="D392" s="2">
        <v>2796</v>
      </c>
      <c r="E392" s="2" t="s">
        <v>482</v>
      </c>
    </row>
    <row r="393" spans="1:6" ht="33" hidden="1" customHeight="1" thickBot="1" x14ac:dyDescent="0.3"/>
    <row r="394" spans="1:6" ht="26.25" hidden="1" customHeight="1" x14ac:dyDescent="0.3">
      <c r="A394" s="24" t="s">
        <v>485</v>
      </c>
      <c r="B394" s="26"/>
      <c r="C394" s="26"/>
      <c r="D394" s="26"/>
      <c r="E394" s="26"/>
    </row>
    <row r="395" spans="1:6" ht="17.25" hidden="1" customHeight="1" x14ac:dyDescent="0.3">
      <c r="A395" s="6" t="s">
        <v>486</v>
      </c>
      <c r="B395" s="3" t="s">
        <v>476</v>
      </c>
      <c r="C395" s="3" t="s">
        <v>477</v>
      </c>
      <c r="D395" s="3" t="s">
        <v>478</v>
      </c>
      <c r="E395" s="3" t="s">
        <v>479</v>
      </c>
    </row>
    <row r="396" spans="1:6" ht="16.5" hidden="1" customHeight="1" x14ac:dyDescent="0.3">
      <c r="A396" s="14" t="s">
        <v>22</v>
      </c>
      <c r="B396" s="2">
        <v>33.85</v>
      </c>
      <c r="C396" s="2">
        <v>3</v>
      </c>
      <c r="D396" s="2">
        <v>2796</v>
      </c>
      <c r="E396" s="2" t="s">
        <v>482</v>
      </c>
    </row>
    <row r="397" spans="1:6" ht="16.5" hidden="1" customHeight="1" thickBot="1" x14ac:dyDescent="0.3"/>
    <row r="398" spans="1:6" ht="16.5" hidden="1" customHeight="1" x14ac:dyDescent="0.3">
      <c r="A398" s="24" t="s">
        <v>487</v>
      </c>
      <c r="B398" s="26"/>
      <c r="C398" s="26"/>
      <c r="D398" s="26"/>
      <c r="E398" s="26"/>
      <c r="F398" s="26"/>
    </row>
    <row r="399" spans="1:6" ht="16.5" hidden="1" customHeight="1" x14ac:dyDescent="0.3">
      <c r="A399" s="25" t="s">
        <v>488</v>
      </c>
      <c r="B399" s="27"/>
      <c r="C399" s="27" t="s">
        <v>489</v>
      </c>
      <c r="D399" s="3" t="s">
        <v>490</v>
      </c>
      <c r="E399" s="27" t="s">
        <v>492</v>
      </c>
      <c r="F399" s="27" t="s">
        <v>493</v>
      </c>
    </row>
    <row r="400" spans="1:6" ht="16.5" hidden="1" customHeight="1" x14ac:dyDescent="0.3">
      <c r="A400" s="25"/>
      <c r="B400" s="27"/>
      <c r="C400" s="27"/>
      <c r="D400" s="3" t="s">
        <v>491</v>
      </c>
      <c r="E400" s="27"/>
      <c r="F400" s="27"/>
    </row>
    <row r="401" spans="1:9" ht="16.5" hidden="1" customHeight="1" x14ac:dyDescent="0.3">
      <c r="A401" s="25" t="s">
        <v>535</v>
      </c>
      <c r="B401" s="27"/>
      <c r="C401" s="27"/>
      <c r="D401" s="27"/>
      <c r="E401" s="27"/>
      <c r="F401" s="27"/>
    </row>
    <row r="402" spans="1:9" ht="16.5" hidden="1" customHeight="1" thickBot="1" x14ac:dyDescent="0.35">
      <c r="A402" s="13" t="s">
        <v>495</v>
      </c>
      <c r="B402" s="12"/>
      <c r="C402" s="16">
        <v>-5.2291999999999996</v>
      </c>
      <c r="D402" s="2">
        <v>0.12790000000000001</v>
      </c>
      <c r="E402" s="16">
        <v>-40.89</v>
      </c>
      <c r="F402" s="2" t="s">
        <v>482</v>
      </c>
    </row>
    <row r="403" spans="1:9" ht="16.5" hidden="1" customHeight="1" thickBot="1" x14ac:dyDescent="0.35">
      <c r="A403" s="13" t="s">
        <v>22</v>
      </c>
      <c r="B403" s="12">
        <v>2</v>
      </c>
      <c r="C403" s="2">
        <v>0.41610000000000003</v>
      </c>
      <c r="D403" s="2">
        <v>0.1709</v>
      </c>
      <c r="E403" s="2">
        <v>2.44</v>
      </c>
      <c r="F403" s="2">
        <v>1.49E-2</v>
      </c>
    </row>
    <row r="404" spans="1:9" ht="16.5" hidden="1" customHeight="1" thickBot="1" x14ac:dyDescent="0.35">
      <c r="A404" s="13" t="s">
        <v>22</v>
      </c>
      <c r="B404" s="12">
        <v>3</v>
      </c>
      <c r="C404" s="2">
        <v>1.1013999999999999</v>
      </c>
      <c r="D404" s="2">
        <v>0.158</v>
      </c>
      <c r="E404" s="2">
        <v>6.97</v>
      </c>
      <c r="F404" s="2" t="s">
        <v>482</v>
      </c>
    </row>
    <row r="405" spans="1:9" ht="16.5" hidden="1" customHeight="1" x14ac:dyDescent="0.3">
      <c r="A405" s="14" t="s">
        <v>22</v>
      </c>
      <c r="B405" s="15">
        <v>4</v>
      </c>
      <c r="C405" s="2">
        <v>1.3752</v>
      </c>
      <c r="D405" s="2">
        <v>0.15590000000000001</v>
      </c>
      <c r="E405" s="2">
        <v>8.82</v>
      </c>
      <c r="F405" s="2" t="s">
        <v>482</v>
      </c>
    </row>
    <row r="406" spans="1:9" ht="17.25" hidden="1" customHeight="1" thickBot="1" x14ac:dyDescent="0.3"/>
    <row r="407" spans="1:9" ht="17.25" hidden="1" customHeight="1" x14ac:dyDescent="0.3">
      <c r="A407" s="24" t="s">
        <v>496</v>
      </c>
      <c r="B407" s="26"/>
      <c r="C407" s="26"/>
      <c r="D407" s="26"/>
      <c r="H407">
        <f>F407</f>
        <v>0</v>
      </c>
    </row>
    <row r="408" spans="1:9" ht="17.25" hidden="1" customHeight="1" x14ac:dyDescent="0.3">
      <c r="A408" s="6" t="s">
        <v>486</v>
      </c>
      <c r="B408" s="3" t="s">
        <v>497</v>
      </c>
      <c r="C408" s="27" t="s">
        <v>91</v>
      </c>
      <c r="D408" s="27"/>
      <c r="H408">
        <f t="shared" ref="H408:H409" si="12">F408</f>
        <v>0</v>
      </c>
    </row>
    <row r="409" spans="1:9" ht="16.5" hidden="1" customHeight="1" x14ac:dyDescent="0.3">
      <c r="A409" s="25" t="s">
        <v>536</v>
      </c>
      <c r="B409" s="27"/>
      <c r="C409" s="27"/>
      <c r="D409" s="27"/>
      <c r="H409">
        <f t="shared" si="12"/>
        <v>0</v>
      </c>
    </row>
    <row r="410" spans="1:9" ht="16.5" hidden="1" customHeight="1" thickBot="1" x14ac:dyDescent="0.35">
      <c r="A410" s="13" t="s">
        <v>499</v>
      </c>
      <c r="B410" s="2">
        <v>1.516</v>
      </c>
      <c r="C410" s="2">
        <v>1.0840000000000001</v>
      </c>
      <c r="D410" s="2">
        <v>2.1190000000000002</v>
      </c>
    </row>
    <row r="411" spans="1:9" ht="16.5" hidden="1" customHeight="1" thickBot="1" x14ac:dyDescent="0.35">
      <c r="A411" s="13" t="s">
        <v>500</v>
      </c>
      <c r="B411" s="2">
        <v>3.008</v>
      </c>
      <c r="C411" s="2">
        <v>2.2069999999999999</v>
      </c>
      <c r="D411" s="2">
        <v>4.101</v>
      </c>
    </row>
    <row r="412" spans="1:9" ht="33" hidden="1" customHeight="1" thickBot="1" x14ac:dyDescent="0.35">
      <c r="A412" s="14" t="s">
        <v>501</v>
      </c>
      <c r="B412" s="2">
        <v>3.956</v>
      </c>
      <c r="C412" s="2">
        <v>2.9140000000000001</v>
      </c>
      <c r="D412" s="2">
        <v>5.37</v>
      </c>
    </row>
    <row r="413" spans="1:9" ht="49.5" hidden="1" customHeight="1" thickBot="1" x14ac:dyDescent="0.3"/>
    <row r="414" spans="1:9" ht="33" customHeight="1" x14ac:dyDescent="0.3">
      <c r="A414" s="24" t="s">
        <v>502</v>
      </c>
      <c r="B414" s="26"/>
      <c r="C414" s="26"/>
      <c r="D414" s="26"/>
      <c r="H414" s="8" t="str">
        <f t="shared" ref="H414:H416" si="13">TEXT(B414,"0.00")&amp;" ("&amp;TEXT(C414,"0.00")&amp;" to "&amp;TEXT(D414,"0.00")&amp;")"</f>
        <v>0.00 (0.00 to 0.00)</v>
      </c>
      <c r="I414">
        <f>F407</f>
        <v>0</v>
      </c>
    </row>
    <row r="415" spans="1:9" ht="26.25" customHeight="1" thickBot="1" x14ac:dyDescent="0.35">
      <c r="A415" s="13" t="s">
        <v>503</v>
      </c>
      <c r="B415" s="2">
        <v>50.8</v>
      </c>
      <c r="C415" s="12" t="s">
        <v>504</v>
      </c>
      <c r="D415" s="2">
        <v>0.254</v>
      </c>
      <c r="H415" s="8" t="str">
        <f t="shared" si="13"/>
        <v>50.80 (Somers' D to 0.25)</v>
      </c>
      <c r="I415">
        <f t="shared" ref="I415:I416" si="14">F408</f>
        <v>0</v>
      </c>
    </row>
    <row r="416" spans="1:9" ht="25.5" customHeight="1" thickBot="1" x14ac:dyDescent="0.35">
      <c r="A416" s="13" t="s">
        <v>505</v>
      </c>
      <c r="B416" s="2">
        <v>25.4</v>
      </c>
      <c r="C416" s="12" t="s">
        <v>506</v>
      </c>
      <c r="D416" s="2">
        <v>0.33300000000000002</v>
      </c>
      <c r="H416" s="8" t="str">
        <f t="shared" si="13"/>
        <v>25.40 (Gamma to 0.33)</v>
      </c>
      <c r="I416">
        <f t="shared" si="14"/>
        <v>0</v>
      </c>
    </row>
    <row r="417" spans="1:4" ht="16.5" hidden="1" customHeight="1" thickBot="1" x14ac:dyDescent="0.35">
      <c r="A417" s="13" t="s">
        <v>507</v>
      </c>
      <c r="B417" s="2">
        <v>23.8</v>
      </c>
      <c r="C417" s="12" t="s">
        <v>508</v>
      </c>
      <c r="D417" s="2">
        <v>7.0000000000000001E-3</v>
      </c>
    </row>
    <row r="418" spans="1:4" ht="33" hidden="1" customHeight="1" x14ac:dyDescent="0.3">
      <c r="A418" s="14" t="s">
        <v>509</v>
      </c>
      <c r="B418" s="2">
        <v>17811750</v>
      </c>
      <c r="C418" s="15" t="s">
        <v>510</v>
      </c>
      <c r="D418" s="2">
        <v>0.627</v>
      </c>
    </row>
    <row r="419" spans="1:4" ht="39" hidden="1" customHeight="1" x14ac:dyDescent="0.3"/>
    <row r="420" spans="1:4" ht="26.25" hidden="1" customHeight="1" x14ac:dyDescent="0.3"/>
    <row r="421" spans="1:4" ht="26.25" hidden="1" customHeight="1" x14ac:dyDescent="0.3"/>
    <row r="422" spans="1:4" ht="16.5" hidden="1" customHeight="1" x14ac:dyDescent="0.3">
      <c r="A422" s="1" t="s">
        <v>436</v>
      </c>
    </row>
    <row r="423" spans="1:4" ht="16.5" hidden="1" customHeight="1" x14ac:dyDescent="0.3"/>
    <row r="424" spans="1:4" ht="16.5" hidden="1" customHeight="1" x14ac:dyDescent="0.3">
      <c r="A424" s="1" t="s">
        <v>399</v>
      </c>
    </row>
    <row r="425" spans="1:4" ht="16.5" hidden="1" customHeight="1" thickBot="1" x14ac:dyDescent="0.3"/>
    <row r="426" spans="1:4" ht="16.5" hidden="1" customHeight="1" x14ac:dyDescent="0.3">
      <c r="A426" s="24" t="s">
        <v>437</v>
      </c>
      <c r="B426" s="26"/>
    </row>
    <row r="427" spans="1:4" ht="16.5" hidden="1" customHeight="1" thickBot="1" x14ac:dyDescent="0.35">
      <c r="A427" s="13" t="s">
        <v>438</v>
      </c>
      <c r="B427" s="18" t="s">
        <v>439</v>
      </c>
    </row>
    <row r="428" spans="1:4" ht="16.5" hidden="1" customHeight="1" thickBot="1" x14ac:dyDescent="0.35">
      <c r="A428" s="13" t="s">
        <v>440</v>
      </c>
      <c r="B428" s="18" t="s">
        <v>19</v>
      </c>
    </row>
    <row r="429" spans="1:4" ht="16.5" hidden="1" customHeight="1" thickBot="1" x14ac:dyDescent="0.35">
      <c r="A429" s="13" t="s">
        <v>441</v>
      </c>
      <c r="B429" s="18">
        <v>2</v>
      </c>
    </row>
    <row r="430" spans="1:4" ht="16.5" hidden="1" customHeight="1" thickBot="1" x14ac:dyDescent="0.35">
      <c r="A430" s="13" t="s">
        <v>442</v>
      </c>
      <c r="B430" s="18" t="s">
        <v>443</v>
      </c>
    </row>
    <row r="431" spans="1:4" ht="26.25" hidden="1" customHeight="1" thickBot="1" x14ac:dyDescent="0.35">
      <c r="A431" s="13" t="s">
        <v>76</v>
      </c>
      <c r="B431" s="18">
        <v>179</v>
      </c>
    </row>
    <row r="432" spans="1:4" ht="26.25" hidden="1" customHeight="1" thickBot="1" x14ac:dyDescent="0.35">
      <c r="A432" s="13" t="s">
        <v>444</v>
      </c>
      <c r="B432" s="18" t="s">
        <v>445</v>
      </c>
    </row>
    <row r="433" spans="1:4" ht="39" hidden="1" customHeight="1" thickBot="1" x14ac:dyDescent="0.35">
      <c r="A433" s="13" t="s">
        <v>77</v>
      </c>
      <c r="B433" s="18">
        <v>2372</v>
      </c>
    </row>
    <row r="434" spans="1:4" ht="26.25" hidden="1" customHeight="1" thickBot="1" x14ac:dyDescent="0.35">
      <c r="A434" s="13" t="s">
        <v>446</v>
      </c>
      <c r="B434" s="18" t="s">
        <v>447</v>
      </c>
    </row>
    <row r="435" spans="1:4" ht="26.25" hidden="1" customHeight="1" thickBot="1" x14ac:dyDescent="0.35">
      <c r="A435" s="13" t="s">
        <v>448</v>
      </c>
      <c r="B435" s="18" t="s">
        <v>449</v>
      </c>
    </row>
    <row r="436" spans="1:4" ht="26.25" hidden="1" customHeight="1" thickBot="1" x14ac:dyDescent="0.35">
      <c r="A436" s="13" t="s">
        <v>450</v>
      </c>
      <c r="B436" s="18" t="s">
        <v>451</v>
      </c>
    </row>
    <row r="437" spans="1:4" ht="26.25" hidden="1" customHeight="1" x14ac:dyDescent="0.3">
      <c r="A437" s="14" t="s">
        <v>452</v>
      </c>
      <c r="B437" s="19" t="s">
        <v>453</v>
      </c>
    </row>
    <row r="438" spans="1:4" ht="26.25" hidden="1" customHeight="1" thickBot="1" x14ac:dyDescent="0.3"/>
    <row r="439" spans="1:4" ht="26.25" hidden="1" customHeight="1" x14ac:dyDescent="0.3">
      <c r="A439" s="24" t="s">
        <v>80</v>
      </c>
      <c r="B439" s="26"/>
    </row>
    <row r="440" spans="1:4" ht="39" hidden="1" customHeight="1" thickBot="1" x14ac:dyDescent="0.35">
      <c r="A440" s="13" t="s">
        <v>81</v>
      </c>
      <c r="B440" s="2" t="s">
        <v>82</v>
      </c>
    </row>
    <row r="441" spans="1:4" ht="38.25" hidden="1" customHeight="1" x14ac:dyDescent="0.3">
      <c r="A441" s="14" t="s">
        <v>452</v>
      </c>
      <c r="B441" s="2" t="s">
        <v>453</v>
      </c>
    </row>
    <row r="442" spans="1:4" ht="16.5" hidden="1" customHeight="1" thickBot="1" x14ac:dyDescent="0.3"/>
    <row r="443" spans="1:4" ht="33" hidden="1" customHeight="1" thickBot="1" x14ac:dyDescent="0.35">
      <c r="A443" s="20" t="s">
        <v>454</v>
      </c>
      <c r="B443" s="21">
        <v>55176</v>
      </c>
    </row>
    <row r="444" spans="1:4" ht="33.75" hidden="1" customHeight="1" thickBot="1" x14ac:dyDescent="0.35">
      <c r="A444" s="13" t="s">
        <v>455</v>
      </c>
      <c r="B444" s="2">
        <v>55176</v>
      </c>
    </row>
    <row r="445" spans="1:4" ht="66" hidden="1" customHeight="1" thickBot="1" x14ac:dyDescent="0.35">
      <c r="A445" s="13" t="s">
        <v>456</v>
      </c>
      <c r="B445" s="2">
        <v>25392078</v>
      </c>
    </row>
    <row r="446" spans="1:4" ht="16.5" hidden="1" customHeight="1" x14ac:dyDescent="0.3">
      <c r="A446" s="14" t="s">
        <v>457</v>
      </c>
      <c r="B446" s="2">
        <v>25392078</v>
      </c>
    </row>
    <row r="447" spans="1:4" ht="39" hidden="1" customHeight="1" thickBot="1" x14ac:dyDescent="0.3"/>
    <row r="448" spans="1:4" ht="39" hidden="1" customHeight="1" x14ac:dyDescent="0.3">
      <c r="A448" s="24" t="s">
        <v>458</v>
      </c>
      <c r="B448" s="26"/>
      <c r="C448" s="26"/>
      <c r="D448" s="26"/>
    </row>
    <row r="449" spans="1:5" ht="39" hidden="1" customHeight="1" x14ac:dyDescent="0.3">
      <c r="A449" s="6" t="s">
        <v>459</v>
      </c>
      <c r="B449" s="27" t="s">
        <v>19</v>
      </c>
      <c r="C449" s="3" t="s">
        <v>93</v>
      </c>
      <c r="D449" s="3" t="s">
        <v>93</v>
      </c>
    </row>
    <row r="450" spans="1:5" ht="38.25" hidden="1" customHeight="1" x14ac:dyDescent="0.3">
      <c r="A450" s="6" t="s">
        <v>460</v>
      </c>
      <c r="B450" s="27"/>
      <c r="C450" s="3" t="s">
        <v>86</v>
      </c>
      <c r="D450" s="3" t="s">
        <v>461</v>
      </c>
    </row>
    <row r="451" spans="1:5" ht="16.5" hidden="1" customHeight="1" thickBot="1" x14ac:dyDescent="0.35">
      <c r="A451" s="6">
        <v>1</v>
      </c>
      <c r="B451" s="17">
        <v>0</v>
      </c>
      <c r="C451" s="2">
        <v>54269</v>
      </c>
      <c r="D451" s="2">
        <v>25089756</v>
      </c>
    </row>
    <row r="452" spans="1:5" ht="16.5" hidden="1" customHeight="1" x14ac:dyDescent="0.3">
      <c r="A452" s="6">
        <v>2</v>
      </c>
      <c r="B452" s="22">
        <v>1</v>
      </c>
      <c r="C452" s="2">
        <v>907</v>
      </c>
      <c r="D452" s="2">
        <v>302322</v>
      </c>
    </row>
    <row r="453" spans="1:5" ht="16.5" hidden="1" customHeight="1" x14ac:dyDescent="0.3"/>
    <row r="454" spans="1:5" ht="33" hidden="1" customHeight="1" x14ac:dyDescent="0.3">
      <c r="A454" s="1" t="s">
        <v>513</v>
      </c>
    </row>
    <row r="455" spans="1:5" ht="17.25" hidden="1" customHeight="1" thickBot="1" x14ac:dyDescent="0.3"/>
    <row r="456" spans="1:5" ht="16.5" hidden="1" customHeight="1" x14ac:dyDescent="0.3">
      <c r="A456" s="24" t="s">
        <v>462</v>
      </c>
      <c r="B456" s="26"/>
      <c r="C456" s="26"/>
      <c r="D456" s="26"/>
      <c r="E456" s="26"/>
    </row>
    <row r="457" spans="1:5" ht="16.5" hidden="1" customHeight="1" x14ac:dyDescent="0.3">
      <c r="A457" s="6" t="s">
        <v>463</v>
      </c>
      <c r="B457" s="3" t="s">
        <v>460</v>
      </c>
      <c r="C457" s="27" t="s">
        <v>464</v>
      </c>
      <c r="D457" s="27"/>
      <c r="E457" s="27"/>
    </row>
    <row r="458" spans="1:5" ht="16.5" hidden="1" customHeight="1" thickBot="1" x14ac:dyDescent="0.35">
      <c r="A458" s="13" t="s">
        <v>22</v>
      </c>
      <c r="B458" s="12">
        <v>1</v>
      </c>
      <c r="C458" s="2">
        <v>0</v>
      </c>
      <c r="D458" s="2">
        <v>0</v>
      </c>
      <c r="E458" s="2">
        <v>0</v>
      </c>
    </row>
    <row r="459" spans="1:5" ht="16.5" hidden="1" customHeight="1" thickBot="1" x14ac:dyDescent="0.35">
      <c r="A459" s="13"/>
      <c r="B459" s="12">
        <v>2</v>
      </c>
      <c r="C459" s="2">
        <v>1</v>
      </c>
      <c r="D459" s="2">
        <v>0</v>
      </c>
      <c r="E459" s="2">
        <v>0</v>
      </c>
    </row>
    <row r="460" spans="1:5" ht="16.5" hidden="1" customHeight="1" thickBot="1" x14ac:dyDescent="0.35">
      <c r="A460" s="13"/>
      <c r="B460" s="12">
        <v>3</v>
      </c>
      <c r="C460" s="2">
        <v>0</v>
      </c>
      <c r="D460" s="2">
        <v>1</v>
      </c>
      <c r="E460" s="2">
        <v>0</v>
      </c>
    </row>
    <row r="461" spans="1:5" ht="16.5" hidden="1" customHeight="1" x14ac:dyDescent="0.3">
      <c r="A461" s="14"/>
      <c r="B461" s="15">
        <v>4</v>
      </c>
      <c r="C461" s="2">
        <v>0</v>
      </c>
      <c r="D461" s="2">
        <v>0</v>
      </c>
      <c r="E461" s="2">
        <v>1</v>
      </c>
    </row>
    <row r="462" spans="1:5" ht="17.25" hidden="1" customHeight="1" thickBot="1" x14ac:dyDescent="0.3"/>
    <row r="463" spans="1:5" ht="17.25" hidden="1" customHeight="1" x14ac:dyDescent="0.3">
      <c r="A463" s="4" t="s">
        <v>465</v>
      </c>
    </row>
    <row r="464" spans="1:5" ht="17.25" hidden="1" customHeight="1" x14ac:dyDescent="0.3">
      <c r="A464" s="23" t="s">
        <v>466</v>
      </c>
    </row>
    <row r="465" spans="1:5" ht="16.5" hidden="1" customHeight="1" thickBot="1" x14ac:dyDescent="0.3"/>
    <row r="466" spans="1:5" ht="16.5" hidden="1" customHeight="1" x14ac:dyDescent="0.3">
      <c r="A466" s="24" t="s">
        <v>467</v>
      </c>
      <c r="B466" s="26"/>
      <c r="C466" s="26"/>
    </row>
    <row r="467" spans="1:5" ht="66" hidden="1" customHeight="1" x14ac:dyDescent="0.3">
      <c r="A467" s="6" t="s">
        <v>468</v>
      </c>
      <c r="B467" s="3" t="s">
        <v>469</v>
      </c>
      <c r="C467" s="3" t="s">
        <v>470</v>
      </c>
    </row>
    <row r="468" spans="1:5" ht="99" hidden="1" customHeight="1" thickBot="1" x14ac:dyDescent="0.35">
      <c r="A468" s="13" t="s">
        <v>471</v>
      </c>
      <c r="B468" s="2">
        <v>3280032.6</v>
      </c>
      <c r="C468" s="2">
        <v>3248165.5</v>
      </c>
    </row>
    <row r="469" spans="1:5" ht="16.5" hidden="1" customHeight="1" thickBot="1" x14ac:dyDescent="0.35">
      <c r="A469" s="13" t="s">
        <v>472</v>
      </c>
      <c r="B469" s="2">
        <v>3280047.6</v>
      </c>
      <c r="C469" s="2">
        <v>3248225.7</v>
      </c>
    </row>
    <row r="470" spans="1:5" ht="16.5" hidden="1" customHeight="1" x14ac:dyDescent="0.3">
      <c r="A470" s="14" t="s">
        <v>473</v>
      </c>
      <c r="B470" s="2" t="s">
        <v>622</v>
      </c>
      <c r="C470" s="2">
        <v>3248157.5</v>
      </c>
    </row>
    <row r="471" spans="1:5" ht="66" hidden="1" customHeight="1" thickBot="1" x14ac:dyDescent="0.3"/>
    <row r="472" spans="1:5" ht="17.25" hidden="1" customHeight="1" x14ac:dyDescent="0.3">
      <c r="A472" s="24" t="s">
        <v>474</v>
      </c>
      <c r="B472" s="26"/>
      <c r="C472" s="26"/>
      <c r="D472" s="26"/>
      <c r="E472" s="26"/>
    </row>
    <row r="473" spans="1:5" ht="17.25" hidden="1" customHeight="1" x14ac:dyDescent="0.3">
      <c r="A473" s="6" t="s">
        <v>475</v>
      </c>
      <c r="B473" s="3" t="s">
        <v>476</v>
      </c>
      <c r="C473" s="3" t="s">
        <v>477</v>
      </c>
      <c r="D473" s="3" t="s">
        <v>478</v>
      </c>
      <c r="E473" s="3" t="s">
        <v>479</v>
      </c>
    </row>
    <row r="474" spans="1:5" ht="16.5" hidden="1" customHeight="1" x14ac:dyDescent="0.3">
      <c r="A474" s="25" t="s">
        <v>560</v>
      </c>
      <c r="B474" s="27"/>
      <c r="C474" s="27"/>
      <c r="D474" s="27"/>
      <c r="E474" s="27"/>
    </row>
    <row r="475" spans="1:5" ht="16.5" hidden="1" customHeight="1" thickBot="1" x14ac:dyDescent="0.35">
      <c r="A475" s="13" t="s">
        <v>481</v>
      </c>
      <c r="B475" s="2">
        <v>22.72</v>
      </c>
      <c r="C475" s="2">
        <v>2.9954000000000001</v>
      </c>
      <c r="D475" s="2">
        <v>6568.9</v>
      </c>
      <c r="E475" s="2" t="s">
        <v>482</v>
      </c>
    </row>
    <row r="476" spans="1:5" ht="16.5" hidden="1" customHeight="1" thickBot="1" x14ac:dyDescent="0.35">
      <c r="A476" s="13" t="s">
        <v>483</v>
      </c>
      <c r="B476" s="2">
        <v>27.14</v>
      </c>
      <c r="C476" s="2">
        <v>3</v>
      </c>
      <c r="D476" s="2">
        <v>2191</v>
      </c>
      <c r="E476" s="2" t="s">
        <v>482</v>
      </c>
    </row>
    <row r="477" spans="1:5" ht="16.5" hidden="1" customHeight="1" x14ac:dyDescent="0.3">
      <c r="A477" s="14" t="s">
        <v>484</v>
      </c>
      <c r="B477" s="2">
        <v>18.809999999999999</v>
      </c>
      <c r="C477" s="2">
        <v>3</v>
      </c>
      <c r="D477" s="2">
        <v>2191</v>
      </c>
      <c r="E477" s="2" t="s">
        <v>482</v>
      </c>
    </row>
    <row r="478" spans="1:5" ht="33" hidden="1" customHeight="1" thickBot="1" x14ac:dyDescent="0.3"/>
    <row r="479" spans="1:5" ht="26.25" hidden="1" customHeight="1" x14ac:dyDescent="0.3">
      <c r="A479" s="24" t="s">
        <v>485</v>
      </c>
      <c r="B479" s="26"/>
      <c r="C479" s="26"/>
      <c r="D479" s="26"/>
      <c r="E479" s="26"/>
    </row>
    <row r="480" spans="1:5" ht="17.25" hidden="1" customHeight="1" x14ac:dyDescent="0.3">
      <c r="A480" s="6" t="s">
        <v>486</v>
      </c>
      <c r="B480" s="3" t="s">
        <v>476</v>
      </c>
      <c r="C480" s="3" t="s">
        <v>477</v>
      </c>
      <c r="D480" s="3" t="s">
        <v>478</v>
      </c>
      <c r="E480" s="3" t="s">
        <v>479</v>
      </c>
    </row>
    <row r="481" spans="1:8" ht="16.5" hidden="1" customHeight="1" x14ac:dyDescent="0.3">
      <c r="A481" s="14" t="s">
        <v>22</v>
      </c>
      <c r="B481" s="2">
        <v>18.809999999999999</v>
      </c>
      <c r="C481" s="2">
        <v>3</v>
      </c>
      <c r="D481" s="2">
        <v>2191</v>
      </c>
      <c r="E481" s="2" t="s">
        <v>482</v>
      </c>
    </row>
    <row r="482" spans="1:8" ht="16.5" hidden="1" customHeight="1" thickBot="1" x14ac:dyDescent="0.3"/>
    <row r="483" spans="1:8" ht="16.5" hidden="1" customHeight="1" x14ac:dyDescent="0.3">
      <c r="A483" s="24" t="s">
        <v>487</v>
      </c>
      <c r="B483" s="26"/>
      <c r="C483" s="26"/>
      <c r="D483" s="26"/>
      <c r="E483" s="26"/>
      <c r="F483" s="26"/>
    </row>
    <row r="484" spans="1:8" ht="16.5" hidden="1" customHeight="1" x14ac:dyDescent="0.3">
      <c r="A484" s="25" t="s">
        <v>488</v>
      </c>
      <c r="B484" s="27"/>
      <c r="C484" s="27" t="s">
        <v>489</v>
      </c>
      <c r="D484" s="3" t="s">
        <v>490</v>
      </c>
      <c r="E484" s="27" t="s">
        <v>492</v>
      </c>
      <c r="F484" s="27" t="s">
        <v>493</v>
      </c>
    </row>
    <row r="485" spans="1:8" ht="16.5" hidden="1" customHeight="1" x14ac:dyDescent="0.3">
      <c r="A485" s="25"/>
      <c r="B485" s="27"/>
      <c r="C485" s="27"/>
      <c r="D485" s="3" t="s">
        <v>491</v>
      </c>
      <c r="E485" s="27"/>
      <c r="F485" s="27"/>
    </row>
    <row r="486" spans="1:8" ht="16.5" hidden="1" customHeight="1" x14ac:dyDescent="0.3">
      <c r="A486" s="25" t="s">
        <v>539</v>
      </c>
      <c r="B486" s="27"/>
      <c r="C486" s="27"/>
      <c r="D486" s="27"/>
      <c r="E486" s="27"/>
      <c r="F486" s="27"/>
    </row>
    <row r="487" spans="1:8" ht="16.5" hidden="1" customHeight="1" thickBot="1" x14ac:dyDescent="0.35">
      <c r="A487" s="13" t="s">
        <v>495</v>
      </c>
      <c r="B487" s="12"/>
      <c r="C487" s="16">
        <v>-5.0518999999999998</v>
      </c>
      <c r="D487" s="2">
        <v>0.1091</v>
      </c>
      <c r="E487" s="16">
        <v>-46.29</v>
      </c>
      <c r="F487" s="2" t="s">
        <v>482</v>
      </c>
    </row>
    <row r="488" spans="1:8" ht="16.5" hidden="1" customHeight="1" thickBot="1" x14ac:dyDescent="0.35">
      <c r="A488" s="13" t="s">
        <v>22</v>
      </c>
      <c r="B488" s="12">
        <v>2</v>
      </c>
      <c r="C488" s="2">
        <v>0.54369999999999996</v>
      </c>
      <c r="D488" s="2">
        <v>0.13569999999999999</v>
      </c>
      <c r="E488" s="2">
        <v>4.01</v>
      </c>
      <c r="F488" s="2" t="s">
        <v>482</v>
      </c>
    </row>
    <row r="489" spans="1:8" ht="16.5" hidden="1" customHeight="1" thickBot="1" x14ac:dyDescent="0.35">
      <c r="A489" s="13" t="s">
        <v>22</v>
      </c>
      <c r="B489" s="12">
        <v>3</v>
      </c>
      <c r="C489" s="2">
        <v>0.8508</v>
      </c>
      <c r="D489" s="2">
        <v>0.13159999999999999</v>
      </c>
      <c r="E489" s="2">
        <v>6.47</v>
      </c>
      <c r="F489" s="2" t="s">
        <v>482</v>
      </c>
    </row>
    <row r="490" spans="1:8" ht="16.5" hidden="1" customHeight="1" x14ac:dyDescent="0.3">
      <c r="A490" s="14" t="s">
        <v>22</v>
      </c>
      <c r="B490" s="15">
        <v>4</v>
      </c>
      <c r="C490" s="2">
        <v>0.91</v>
      </c>
      <c r="D490" s="2">
        <v>0.13109999999999999</v>
      </c>
      <c r="E490" s="2">
        <v>6.94</v>
      </c>
      <c r="F490" s="2" t="s">
        <v>482</v>
      </c>
    </row>
    <row r="491" spans="1:8" ht="17.25" hidden="1" customHeight="1" thickBot="1" x14ac:dyDescent="0.3"/>
    <row r="492" spans="1:8" ht="17.25" hidden="1" customHeight="1" x14ac:dyDescent="0.3">
      <c r="A492" s="24" t="s">
        <v>496</v>
      </c>
      <c r="B492" s="26"/>
      <c r="C492" s="26"/>
      <c r="D492" s="26"/>
      <c r="H492">
        <f>F492</f>
        <v>0</v>
      </c>
    </row>
    <row r="493" spans="1:8" ht="17.25" hidden="1" customHeight="1" x14ac:dyDescent="0.3">
      <c r="A493" s="6" t="s">
        <v>486</v>
      </c>
      <c r="B493" s="3" t="s">
        <v>497</v>
      </c>
      <c r="C493" s="27" t="s">
        <v>91</v>
      </c>
      <c r="D493" s="27"/>
      <c r="H493">
        <f t="shared" ref="H493:H494" si="15">F493</f>
        <v>0</v>
      </c>
    </row>
    <row r="494" spans="1:8" ht="16.5" hidden="1" customHeight="1" x14ac:dyDescent="0.3">
      <c r="A494" s="25" t="s">
        <v>540</v>
      </c>
      <c r="B494" s="27"/>
      <c r="C494" s="27"/>
      <c r="D494" s="27"/>
      <c r="H494">
        <f t="shared" si="15"/>
        <v>0</v>
      </c>
    </row>
    <row r="495" spans="1:8" ht="16.5" hidden="1" customHeight="1" thickBot="1" x14ac:dyDescent="0.35">
      <c r="A495" s="13" t="s">
        <v>499</v>
      </c>
      <c r="B495" s="2">
        <v>1.722</v>
      </c>
      <c r="C495" s="2">
        <v>1.32</v>
      </c>
      <c r="D495" s="2">
        <v>2.2480000000000002</v>
      </c>
    </row>
    <row r="496" spans="1:8" ht="16.5" hidden="1" customHeight="1" thickBot="1" x14ac:dyDescent="0.35">
      <c r="A496" s="13" t="s">
        <v>500</v>
      </c>
      <c r="B496" s="2">
        <v>2.3420000000000001</v>
      </c>
      <c r="C496" s="2">
        <v>1.8089999999999999</v>
      </c>
      <c r="D496" s="2">
        <v>3.0310000000000001</v>
      </c>
    </row>
    <row r="497" spans="1:9" ht="33" hidden="1" customHeight="1" thickBot="1" x14ac:dyDescent="0.35">
      <c r="A497" s="14" t="s">
        <v>501</v>
      </c>
      <c r="B497" s="2">
        <v>2.484</v>
      </c>
      <c r="C497" s="2">
        <v>1.921</v>
      </c>
      <c r="D497" s="2">
        <v>3.2130000000000001</v>
      </c>
    </row>
    <row r="498" spans="1:9" ht="49.5" hidden="1" customHeight="1" thickBot="1" x14ac:dyDescent="0.3"/>
    <row r="499" spans="1:9" ht="33" customHeight="1" x14ac:dyDescent="0.3">
      <c r="A499" s="24" t="s">
        <v>502</v>
      </c>
      <c r="B499" s="26"/>
      <c r="C499" s="26"/>
      <c r="D499" s="26"/>
      <c r="H499" s="8" t="str">
        <f t="shared" ref="H499:H501" si="16">TEXT(B499,"0.00")&amp;" ("&amp;TEXT(C499,"0.00")&amp;" to "&amp;TEXT(D499,"0.00")&amp;")"</f>
        <v>0.00 (0.00 to 0.00)</v>
      </c>
      <c r="I499">
        <f t="shared" ref="I499:I501" si="17">F492</f>
        <v>0</v>
      </c>
    </row>
    <row r="500" spans="1:9" ht="26.25" customHeight="1" thickBot="1" x14ac:dyDescent="0.35">
      <c r="A500" s="13" t="s">
        <v>503</v>
      </c>
      <c r="B500" s="2">
        <v>36.9</v>
      </c>
      <c r="C500" s="12" t="s">
        <v>504</v>
      </c>
      <c r="D500" s="2">
        <v>0.14599999999999999</v>
      </c>
      <c r="H500" s="8" t="str">
        <f t="shared" si="16"/>
        <v>36.90 (Somers' D to 0.15)</v>
      </c>
      <c r="I500">
        <f t="shared" si="17"/>
        <v>0</v>
      </c>
    </row>
    <row r="501" spans="1:9" ht="25.5" customHeight="1" thickBot="1" x14ac:dyDescent="0.35">
      <c r="A501" s="13" t="s">
        <v>505</v>
      </c>
      <c r="B501" s="2">
        <v>22.3</v>
      </c>
      <c r="C501" s="12" t="s">
        <v>506</v>
      </c>
      <c r="D501" s="2">
        <v>0.246</v>
      </c>
      <c r="H501" s="8" t="str">
        <f t="shared" si="16"/>
        <v>22.30 (Gamma to 0.25)</v>
      </c>
      <c r="I501">
        <f t="shared" si="17"/>
        <v>0</v>
      </c>
    </row>
    <row r="502" spans="1:9" ht="16.5" hidden="1" customHeight="1" thickBot="1" x14ac:dyDescent="0.35">
      <c r="A502" s="13" t="s">
        <v>507</v>
      </c>
      <c r="B502" s="2">
        <v>40.799999999999997</v>
      </c>
      <c r="C502" s="12" t="s">
        <v>508</v>
      </c>
      <c r="D502" s="2">
        <v>5.0000000000000001E-3</v>
      </c>
    </row>
    <row r="503" spans="1:9" ht="33" hidden="1" customHeight="1" x14ac:dyDescent="0.3">
      <c r="A503" s="14" t="s">
        <v>509</v>
      </c>
      <c r="B503" s="2">
        <v>49221983</v>
      </c>
      <c r="C503" s="15" t="s">
        <v>510</v>
      </c>
      <c r="D503" s="2">
        <v>0.57299999999999995</v>
      </c>
    </row>
    <row r="504" spans="1:9" ht="39" hidden="1" customHeight="1" x14ac:dyDescent="0.3"/>
    <row r="505" spans="1:9" ht="26.25" hidden="1" customHeight="1" x14ac:dyDescent="0.3"/>
    <row r="506" spans="1:9" ht="26.25" hidden="1" customHeight="1" x14ac:dyDescent="0.3"/>
    <row r="507" spans="1:9" ht="16.5" hidden="1" customHeight="1" x14ac:dyDescent="0.3">
      <c r="A507" s="1" t="s">
        <v>436</v>
      </c>
    </row>
    <row r="508" spans="1:9" ht="16.5" hidden="1" customHeight="1" x14ac:dyDescent="0.3"/>
    <row r="509" spans="1:9" ht="16.5" hidden="1" customHeight="1" x14ac:dyDescent="0.3">
      <c r="A509" s="1" t="s">
        <v>400</v>
      </c>
    </row>
    <row r="510" spans="1:9" ht="16.5" hidden="1" customHeight="1" thickBot="1" x14ac:dyDescent="0.3"/>
    <row r="511" spans="1:9" ht="16.5" hidden="1" customHeight="1" x14ac:dyDescent="0.3">
      <c r="A511" s="24" t="s">
        <v>437</v>
      </c>
      <c r="B511" s="26"/>
    </row>
    <row r="512" spans="1:9" ht="16.5" hidden="1" customHeight="1" thickBot="1" x14ac:dyDescent="0.35">
      <c r="A512" s="13" t="s">
        <v>438</v>
      </c>
      <c r="B512" s="18" t="s">
        <v>439</v>
      </c>
    </row>
    <row r="513" spans="1:2" ht="16.5" hidden="1" customHeight="1" thickBot="1" x14ac:dyDescent="0.35">
      <c r="A513" s="13" t="s">
        <v>440</v>
      </c>
      <c r="B513" s="18" t="s">
        <v>19</v>
      </c>
    </row>
    <row r="514" spans="1:2" ht="16.5" hidden="1" customHeight="1" thickBot="1" x14ac:dyDescent="0.35">
      <c r="A514" s="13" t="s">
        <v>441</v>
      </c>
      <c r="B514" s="18">
        <v>2</v>
      </c>
    </row>
    <row r="515" spans="1:2" ht="16.5" hidden="1" customHeight="1" thickBot="1" x14ac:dyDescent="0.35">
      <c r="A515" s="13" t="s">
        <v>442</v>
      </c>
      <c r="B515" s="18" t="s">
        <v>443</v>
      </c>
    </row>
    <row r="516" spans="1:2" ht="26.25" hidden="1" customHeight="1" thickBot="1" x14ac:dyDescent="0.35">
      <c r="A516" s="13" t="s">
        <v>76</v>
      </c>
      <c r="B516" s="18">
        <v>130</v>
      </c>
    </row>
    <row r="517" spans="1:2" ht="26.25" hidden="1" customHeight="1" thickBot="1" x14ac:dyDescent="0.35">
      <c r="A517" s="13" t="s">
        <v>444</v>
      </c>
      <c r="B517" s="18" t="s">
        <v>445</v>
      </c>
    </row>
    <row r="518" spans="1:2" ht="39" hidden="1" customHeight="1" thickBot="1" x14ac:dyDescent="0.35">
      <c r="A518" s="13" t="s">
        <v>77</v>
      </c>
      <c r="B518" s="18">
        <v>610</v>
      </c>
    </row>
    <row r="519" spans="1:2" ht="26.25" hidden="1" customHeight="1" thickBot="1" x14ac:dyDescent="0.35">
      <c r="A519" s="13" t="s">
        <v>446</v>
      </c>
      <c r="B519" s="18" t="s">
        <v>447</v>
      </c>
    </row>
    <row r="520" spans="1:2" ht="26.25" hidden="1" customHeight="1" thickBot="1" x14ac:dyDescent="0.35">
      <c r="A520" s="13" t="s">
        <v>448</v>
      </c>
      <c r="B520" s="18" t="s">
        <v>449</v>
      </c>
    </row>
    <row r="521" spans="1:2" ht="26.25" hidden="1" customHeight="1" thickBot="1" x14ac:dyDescent="0.35">
      <c r="A521" s="13" t="s">
        <v>450</v>
      </c>
      <c r="B521" s="18" t="s">
        <v>451</v>
      </c>
    </row>
    <row r="522" spans="1:2" ht="26.25" hidden="1" customHeight="1" x14ac:dyDescent="0.3">
      <c r="A522" s="14" t="s">
        <v>452</v>
      </c>
      <c r="B522" s="19" t="s">
        <v>453</v>
      </c>
    </row>
    <row r="523" spans="1:2" ht="26.25" hidden="1" customHeight="1" thickBot="1" x14ac:dyDescent="0.3"/>
    <row r="524" spans="1:2" ht="26.25" hidden="1" customHeight="1" x14ac:dyDescent="0.3">
      <c r="A524" s="24" t="s">
        <v>80</v>
      </c>
      <c r="B524" s="26"/>
    </row>
    <row r="525" spans="1:2" ht="39" hidden="1" customHeight="1" thickBot="1" x14ac:dyDescent="0.35">
      <c r="A525" s="13" t="s">
        <v>81</v>
      </c>
      <c r="B525" s="2" t="s">
        <v>82</v>
      </c>
    </row>
    <row r="526" spans="1:2" ht="38.25" hidden="1" customHeight="1" x14ac:dyDescent="0.3">
      <c r="A526" s="14" t="s">
        <v>452</v>
      </c>
      <c r="B526" s="2" t="s">
        <v>453</v>
      </c>
    </row>
    <row r="527" spans="1:2" ht="16.5" hidden="1" customHeight="1" thickBot="1" x14ac:dyDescent="0.3"/>
    <row r="528" spans="1:2" ht="33" hidden="1" customHeight="1" thickBot="1" x14ac:dyDescent="0.35">
      <c r="A528" s="20" t="s">
        <v>454</v>
      </c>
      <c r="B528" s="21">
        <v>13459</v>
      </c>
    </row>
    <row r="529" spans="1:5" ht="33.75" hidden="1" customHeight="1" thickBot="1" x14ac:dyDescent="0.35">
      <c r="A529" s="13" t="s">
        <v>455</v>
      </c>
      <c r="B529" s="2">
        <v>13459</v>
      </c>
    </row>
    <row r="530" spans="1:5" ht="66" hidden="1" customHeight="1" thickBot="1" x14ac:dyDescent="0.35">
      <c r="A530" s="13" t="s">
        <v>456</v>
      </c>
      <c r="B530" s="2">
        <v>4859858</v>
      </c>
    </row>
    <row r="531" spans="1:5" ht="16.5" hidden="1" customHeight="1" x14ac:dyDescent="0.3">
      <c r="A531" s="14" t="s">
        <v>457</v>
      </c>
      <c r="B531" s="2">
        <v>4859858</v>
      </c>
    </row>
    <row r="532" spans="1:5" ht="39" hidden="1" customHeight="1" thickBot="1" x14ac:dyDescent="0.3"/>
    <row r="533" spans="1:5" ht="39" hidden="1" customHeight="1" x14ac:dyDescent="0.3">
      <c r="A533" s="24" t="s">
        <v>458</v>
      </c>
      <c r="B533" s="26"/>
      <c r="C533" s="26"/>
      <c r="D533" s="26"/>
    </row>
    <row r="534" spans="1:5" ht="39" hidden="1" customHeight="1" x14ac:dyDescent="0.3">
      <c r="A534" s="6" t="s">
        <v>459</v>
      </c>
      <c r="B534" s="27" t="s">
        <v>19</v>
      </c>
      <c r="C534" s="3" t="s">
        <v>93</v>
      </c>
      <c r="D534" s="3" t="s">
        <v>93</v>
      </c>
    </row>
    <row r="535" spans="1:5" ht="38.25" hidden="1" customHeight="1" x14ac:dyDescent="0.3">
      <c r="A535" s="6" t="s">
        <v>460</v>
      </c>
      <c r="B535" s="27"/>
      <c r="C535" s="3" t="s">
        <v>86</v>
      </c>
      <c r="D535" s="3" t="s">
        <v>461</v>
      </c>
    </row>
    <row r="536" spans="1:5" ht="16.5" hidden="1" customHeight="1" thickBot="1" x14ac:dyDescent="0.35">
      <c r="A536" s="6">
        <v>1</v>
      </c>
      <c r="B536" s="17">
        <v>0</v>
      </c>
      <c r="C536" s="2">
        <v>13165</v>
      </c>
      <c r="D536" s="2">
        <v>4784435.3</v>
      </c>
    </row>
    <row r="537" spans="1:5" ht="16.5" hidden="1" customHeight="1" x14ac:dyDescent="0.3">
      <c r="A537" s="6">
        <v>2</v>
      </c>
      <c r="B537" s="22">
        <v>1</v>
      </c>
      <c r="C537" s="2">
        <v>294</v>
      </c>
      <c r="D537" s="2">
        <v>75422.399999999994</v>
      </c>
    </row>
    <row r="538" spans="1:5" ht="16.5" hidden="1" customHeight="1" x14ac:dyDescent="0.3"/>
    <row r="539" spans="1:5" ht="33" hidden="1" customHeight="1" x14ac:dyDescent="0.3">
      <c r="A539" s="1" t="s">
        <v>513</v>
      </c>
    </row>
    <row r="540" spans="1:5" ht="17.25" hidden="1" customHeight="1" thickBot="1" x14ac:dyDescent="0.3"/>
    <row r="541" spans="1:5" ht="16.5" hidden="1" customHeight="1" x14ac:dyDescent="0.3">
      <c r="A541" s="24" t="s">
        <v>462</v>
      </c>
      <c r="B541" s="26"/>
      <c r="C541" s="26"/>
      <c r="D541" s="26"/>
      <c r="E541" s="26"/>
    </row>
    <row r="542" spans="1:5" ht="16.5" hidden="1" customHeight="1" x14ac:dyDescent="0.3">
      <c r="A542" s="6" t="s">
        <v>463</v>
      </c>
      <c r="B542" s="3" t="s">
        <v>460</v>
      </c>
      <c r="C542" s="27" t="s">
        <v>464</v>
      </c>
      <c r="D542" s="27"/>
      <c r="E542" s="27"/>
    </row>
    <row r="543" spans="1:5" ht="16.5" hidden="1" customHeight="1" thickBot="1" x14ac:dyDescent="0.35">
      <c r="A543" s="13" t="s">
        <v>22</v>
      </c>
      <c r="B543" s="12">
        <v>1</v>
      </c>
      <c r="C543" s="2">
        <v>0</v>
      </c>
      <c r="D543" s="2">
        <v>0</v>
      </c>
      <c r="E543" s="2">
        <v>0</v>
      </c>
    </row>
    <row r="544" spans="1:5" ht="16.5" hidden="1" customHeight="1" thickBot="1" x14ac:dyDescent="0.35">
      <c r="A544" s="13"/>
      <c r="B544" s="12">
        <v>2</v>
      </c>
      <c r="C544" s="2">
        <v>1</v>
      </c>
      <c r="D544" s="2">
        <v>0</v>
      </c>
      <c r="E544" s="2">
        <v>0</v>
      </c>
    </row>
    <row r="545" spans="1:5" ht="16.5" hidden="1" customHeight="1" thickBot="1" x14ac:dyDescent="0.35">
      <c r="A545" s="13"/>
      <c r="B545" s="12">
        <v>3</v>
      </c>
      <c r="C545" s="2">
        <v>0</v>
      </c>
      <c r="D545" s="2">
        <v>1</v>
      </c>
      <c r="E545" s="2">
        <v>0</v>
      </c>
    </row>
    <row r="546" spans="1:5" ht="16.5" hidden="1" customHeight="1" x14ac:dyDescent="0.3">
      <c r="A546" s="14"/>
      <c r="B546" s="15">
        <v>4</v>
      </c>
      <c r="C546" s="2">
        <v>0</v>
      </c>
      <c r="D546" s="2">
        <v>0</v>
      </c>
      <c r="E546" s="2">
        <v>1</v>
      </c>
    </row>
    <row r="547" spans="1:5" ht="17.25" hidden="1" customHeight="1" thickBot="1" x14ac:dyDescent="0.3"/>
    <row r="548" spans="1:5" ht="17.25" hidden="1" customHeight="1" x14ac:dyDescent="0.3">
      <c r="A548" s="4" t="s">
        <v>465</v>
      </c>
    </row>
    <row r="549" spans="1:5" ht="17.25" hidden="1" customHeight="1" x14ac:dyDescent="0.3">
      <c r="A549" s="23" t="s">
        <v>466</v>
      </c>
    </row>
    <row r="550" spans="1:5" ht="16.5" hidden="1" customHeight="1" thickBot="1" x14ac:dyDescent="0.3"/>
    <row r="551" spans="1:5" ht="16.5" hidden="1" customHeight="1" x14ac:dyDescent="0.3">
      <c r="A551" s="24" t="s">
        <v>467</v>
      </c>
      <c r="B551" s="26"/>
      <c r="C551" s="26"/>
    </row>
    <row r="552" spans="1:5" ht="66" hidden="1" customHeight="1" x14ac:dyDescent="0.3">
      <c r="A552" s="6" t="s">
        <v>468</v>
      </c>
      <c r="B552" s="3" t="s">
        <v>469</v>
      </c>
      <c r="C552" s="3" t="s">
        <v>470</v>
      </c>
    </row>
    <row r="553" spans="1:5" ht="99" hidden="1" customHeight="1" thickBot="1" x14ac:dyDescent="0.35">
      <c r="A553" s="13" t="s">
        <v>471</v>
      </c>
      <c r="B553" s="2">
        <v>778038.06</v>
      </c>
      <c r="C553" s="2">
        <v>776695.43</v>
      </c>
    </row>
    <row r="554" spans="1:5" ht="16.5" hidden="1" customHeight="1" thickBot="1" x14ac:dyDescent="0.35">
      <c r="A554" s="13" t="s">
        <v>472</v>
      </c>
      <c r="B554" s="2">
        <v>778051.45</v>
      </c>
      <c r="C554" s="2">
        <v>776749.02</v>
      </c>
    </row>
    <row r="555" spans="1:5" ht="16.5" hidden="1" customHeight="1" x14ac:dyDescent="0.3">
      <c r="A555" s="14" t="s">
        <v>473</v>
      </c>
      <c r="B555" s="2" t="s">
        <v>623</v>
      </c>
      <c r="C555" s="2">
        <v>776687.43</v>
      </c>
    </row>
    <row r="556" spans="1:5" ht="66" hidden="1" customHeight="1" thickBot="1" x14ac:dyDescent="0.3"/>
    <row r="557" spans="1:5" ht="17.25" hidden="1" customHeight="1" x14ac:dyDescent="0.3">
      <c r="A557" s="24" t="s">
        <v>474</v>
      </c>
      <c r="B557" s="26"/>
      <c r="C557" s="26"/>
      <c r="D557" s="26"/>
      <c r="E557" s="26"/>
    </row>
    <row r="558" spans="1:5" ht="17.25" hidden="1" customHeight="1" x14ac:dyDescent="0.3">
      <c r="A558" s="6" t="s">
        <v>475</v>
      </c>
      <c r="B558" s="3" t="s">
        <v>476</v>
      </c>
      <c r="C558" s="3" t="s">
        <v>477</v>
      </c>
      <c r="D558" s="3" t="s">
        <v>478</v>
      </c>
      <c r="E558" s="3" t="s">
        <v>479</v>
      </c>
    </row>
    <row r="559" spans="1:5" ht="16.5" hidden="1" customHeight="1" x14ac:dyDescent="0.3">
      <c r="A559" s="25" t="s">
        <v>603</v>
      </c>
      <c r="B559" s="27"/>
      <c r="C559" s="27"/>
      <c r="D559" s="27"/>
      <c r="E559" s="27"/>
    </row>
    <row r="560" spans="1:5" ht="16.5" hidden="1" customHeight="1" thickBot="1" x14ac:dyDescent="0.35">
      <c r="A560" s="13" t="s">
        <v>481</v>
      </c>
      <c r="B560" s="2">
        <v>1.29</v>
      </c>
      <c r="C560" s="2">
        <v>2.9912000000000001</v>
      </c>
      <c r="D560" s="2">
        <v>1435.79</v>
      </c>
      <c r="E560" s="2">
        <v>0.27679999999999999</v>
      </c>
    </row>
    <row r="561" spans="1:6" ht="16.5" hidden="1" customHeight="1" thickBot="1" x14ac:dyDescent="0.35">
      <c r="A561" s="13" t="s">
        <v>483</v>
      </c>
      <c r="B561" s="2">
        <v>1.21</v>
      </c>
      <c r="C561" s="2">
        <v>3</v>
      </c>
      <c r="D561" s="2">
        <v>478</v>
      </c>
      <c r="E561" s="2">
        <v>0.30559999999999998</v>
      </c>
    </row>
    <row r="562" spans="1:6" ht="16.5" hidden="1" customHeight="1" x14ac:dyDescent="0.3">
      <c r="A562" s="14" t="s">
        <v>484</v>
      </c>
      <c r="B562" s="2">
        <v>1.1299999999999999</v>
      </c>
      <c r="C562" s="2">
        <v>3</v>
      </c>
      <c r="D562" s="2">
        <v>478</v>
      </c>
      <c r="E562" s="2">
        <v>0.33560000000000001</v>
      </c>
    </row>
    <row r="563" spans="1:6" ht="33" hidden="1" customHeight="1" thickBot="1" x14ac:dyDescent="0.3"/>
    <row r="564" spans="1:6" ht="26.25" hidden="1" customHeight="1" x14ac:dyDescent="0.3">
      <c r="A564" s="24" t="s">
        <v>485</v>
      </c>
      <c r="B564" s="26"/>
      <c r="C564" s="26"/>
      <c r="D564" s="26"/>
      <c r="E564" s="26"/>
    </row>
    <row r="565" spans="1:6" ht="17.25" hidden="1" customHeight="1" x14ac:dyDescent="0.3">
      <c r="A565" s="6" t="s">
        <v>486</v>
      </c>
      <c r="B565" s="3" t="s">
        <v>476</v>
      </c>
      <c r="C565" s="3" t="s">
        <v>477</v>
      </c>
      <c r="D565" s="3" t="s">
        <v>478</v>
      </c>
      <c r="E565" s="3" t="s">
        <v>479</v>
      </c>
    </row>
    <row r="566" spans="1:6" ht="16.5" hidden="1" customHeight="1" x14ac:dyDescent="0.3">
      <c r="A566" s="14" t="s">
        <v>22</v>
      </c>
      <c r="B566" s="2">
        <v>1.1299999999999999</v>
      </c>
      <c r="C566" s="2">
        <v>3</v>
      </c>
      <c r="D566" s="2">
        <v>478</v>
      </c>
      <c r="E566" s="2">
        <v>0.33560000000000001</v>
      </c>
    </row>
    <row r="567" spans="1:6" ht="16.5" hidden="1" customHeight="1" thickBot="1" x14ac:dyDescent="0.3"/>
    <row r="568" spans="1:6" ht="16.5" hidden="1" customHeight="1" x14ac:dyDescent="0.3">
      <c r="A568" s="24" t="s">
        <v>487</v>
      </c>
      <c r="B568" s="26"/>
      <c r="C568" s="26"/>
      <c r="D568" s="26"/>
      <c r="E568" s="26"/>
      <c r="F568" s="26"/>
    </row>
    <row r="569" spans="1:6" ht="16.5" hidden="1" customHeight="1" x14ac:dyDescent="0.3">
      <c r="A569" s="25" t="s">
        <v>488</v>
      </c>
      <c r="B569" s="27"/>
      <c r="C569" s="27" t="s">
        <v>489</v>
      </c>
      <c r="D569" s="3" t="s">
        <v>490</v>
      </c>
      <c r="E569" s="27" t="s">
        <v>492</v>
      </c>
      <c r="F569" s="27" t="s">
        <v>493</v>
      </c>
    </row>
    <row r="570" spans="1:6" ht="16.5" hidden="1" customHeight="1" x14ac:dyDescent="0.3">
      <c r="A570" s="25"/>
      <c r="B570" s="27"/>
      <c r="C570" s="27"/>
      <c r="D570" s="3" t="s">
        <v>491</v>
      </c>
      <c r="E570" s="27"/>
      <c r="F570" s="27"/>
    </row>
    <row r="571" spans="1:6" ht="16.5" hidden="1" customHeight="1" x14ac:dyDescent="0.3">
      <c r="A571" s="25" t="s">
        <v>541</v>
      </c>
      <c r="B571" s="27"/>
      <c r="C571" s="27"/>
      <c r="D571" s="27"/>
      <c r="E571" s="27"/>
      <c r="F571" s="27"/>
    </row>
    <row r="572" spans="1:6" ht="16.5" hidden="1" customHeight="1" thickBot="1" x14ac:dyDescent="0.35">
      <c r="A572" s="13" t="s">
        <v>495</v>
      </c>
      <c r="B572" s="12"/>
      <c r="C572" s="16">
        <v>-4.3738999999999999</v>
      </c>
      <c r="D572" s="2">
        <v>0.186</v>
      </c>
      <c r="E572" s="16">
        <v>-23.52</v>
      </c>
      <c r="F572" s="2" t="s">
        <v>482</v>
      </c>
    </row>
    <row r="573" spans="1:6" ht="16.5" hidden="1" customHeight="1" thickBot="1" x14ac:dyDescent="0.35">
      <c r="A573" s="13" t="s">
        <v>22</v>
      </c>
      <c r="B573" s="12">
        <v>2</v>
      </c>
      <c r="C573" s="2">
        <v>0.13150000000000001</v>
      </c>
      <c r="D573" s="2">
        <v>0.22889999999999999</v>
      </c>
      <c r="E573" s="2">
        <v>0.56999999999999995</v>
      </c>
      <c r="F573" s="2">
        <v>0.56610000000000005</v>
      </c>
    </row>
    <row r="574" spans="1:6" ht="16.5" hidden="1" customHeight="1" thickBot="1" x14ac:dyDescent="0.35">
      <c r="A574" s="13" t="s">
        <v>22</v>
      </c>
      <c r="B574" s="12">
        <v>3</v>
      </c>
      <c r="C574" s="2">
        <v>0.36659999999999998</v>
      </c>
      <c r="D574" s="2">
        <v>0.2291</v>
      </c>
      <c r="E574" s="2">
        <v>1.6</v>
      </c>
      <c r="F574" s="2">
        <v>0.11020000000000001</v>
      </c>
    </row>
    <row r="575" spans="1:6" ht="16.5" hidden="1" customHeight="1" x14ac:dyDescent="0.3">
      <c r="A575" s="14" t="s">
        <v>22</v>
      </c>
      <c r="B575" s="15">
        <v>4</v>
      </c>
      <c r="C575" s="2">
        <v>0.2928</v>
      </c>
      <c r="D575" s="2">
        <v>0.22090000000000001</v>
      </c>
      <c r="E575" s="2">
        <v>1.33</v>
      </c>
      <c r="F575" s="2">
        <v>0.18559999999999999</v>
      </c>
    </row>
    <row r="576" spans="1:6" ht="17.25" hidden="1" customHeight="1" thickBot="1" x14ac:dyDescent="0.3"/>
    <row r="577" spans="1:9" ht="17.25" hidden="1" customHeight="1" x14ac:dyDescent="0.3">
      <c r="A577" s="24" t="s">
        <v>496</v>
      </c>
      <c r="B577" s="26"/>
      <c r="C577" s="26"/>
      <c r="D577" s="26"/>
      <c r="H577">
        <f>F577</f>
        <v>0</v>
      </c>
    </row>
    <row r="578" spans="1:9" ht="17.25" hidden="1" customHeight="1" x14ac:dyDescent="0.3">
      <c r="A578" s="6" t="s">
        <v>486</v>
      </c>
      <c r="B578" s="3" t="s">
        <v>497</v>
      </c>
      <c r="C578" s="27" t="s">
        <v>91</v>
      </c>
      <c r="D578" s="27"/>
      <c r="H578">
        <f t="shared" ref="H578:H579" si="18">F578</f>
        <v>0</v>
      </c>
    </row>
    <row r="579" spans="1:9" ht="16.5" hidden="1" customHeight="1" x14ac:dyDescent="0.3">
      <c r="A579" s="25" t="s">
        <v>542</v>
      </c>
      <c r="B579" s="27"/>
      <c r="C579" s="27"/>
      <c r="D579" s="27"/>
      <c r="H579">
        <f t="shared" si="18"/>
        <v>0</v>
      </c>
    </row>
    <row r="580" spans="1:9" ht="16.5" hidden="1" customHeight="1" thickBot="1" x14ac:dyDescent="0.35">
      <c r="A580" s="13" t="s">
        <v>499</v>
      </c>
      <c r="B580" s="2">
        <v>1.141</v>
      </c>
      <c r="C580" s="2">
        <v>0.72699999999999998</v>
      </c>
      <c r="D580" s="2">
        <v>1.788</v>
      </c>
    </row>
    <row r="581" spans="1:9" ht="16.5" hidden="1" customHeight="1" thickBot="1" x14ac:dyDescent="0.35">
      <c r="A581" s="13" t="s">
        <v>500</v>
      </c>
      <c r="B581" s="2">
        <v>1.4430000000000001</v>
      </c>
      <c r="C581" s="2">
        <v>0.92</v>
      </c>
      <c r="D581" s="2">
        <v>2.2629999999999999</v>
      </c>
    </row>
    <row r="582" spans="1:9" ht="33" hidden="1" customHeight="1" thickBot="1" x14ac:dyDescent="0.35">
      <c r="A582" s="14" t="s">
        <v>501</v>
      </c>
      <c r="B582" s="2">
        <v>1.34</v>
      </c>
      <c r="C582" s="2">
        <v>0.86799999999999999</v>
      </c>
      <c r="D582" s="2">
        <v>2.069</v>
      </c>
    </row>
    <row r="583" spans="1:9" ht="33" hidden="1" customHeight="1" thickBot="1" x14ac:dyDescent="0.3"/>
    <row r="584" spans="1:9" ht="33" customHeight="1" x14ac:dyDescent="0.3">
      <c r="A584" s="24" t="s">
        <v>502</v>
      </c>
      <c r="B584" s="26"/>
      <c r="C584" s="26"/>
      <c r="D584" s="26"/>
      <c r="H584" s="8" t="str">
        <f t="shared" ref="H584:H586" si="19">TEXT(B584,"0.00")&amp;" ("&amp;TEXT(C584,"0.00")&amp;" to "&amp;TEXT(D584,"0.00")&amp;")"</f>
        <v>0.00 (0.00 to 0.00)</v>
      </c>
      <c r="I584">
        <f t="shared" ref="I584:I586" si="20">F577</f>
        <v>0</v>
      </c>
    </row>
    <row r="585" spans="1:9" ht="26.25" customHeight="1" thickBot="1" x14ac:dyDescent="0.35">
      <c r="A585" s="13" t="s">
        <v>503</v>
      </c>
      <c r="B585" s="2">
        <v>30.8</v>
      </c>
      <c r="C585" s="12" t="s">
        <v>504</v>
      </c>
      <c r="D585" s="2">
        <v>4.4999999999999998E-2</v>
      </c>
      <c r="H585" s="8" t="str">
        <f t="shared" si="19"/>
        <v>30.80 (Somers' D to 0.05)</v>
      </c>
      <c r="I585">
        <f t="shared" si="20"/>
        <v>0</v>
      </c>
    </row>
    <row r="586" spans="1:9" ht="25.5" customHeight="1" thickBot="1" x14ac:dyDescent="0.35">
      <c r="A586" s="13" t="s">
        <v>505</v>
      </c>
      <c r="B586" s="2">
        <v>26.3</v>
      </c>
      <c r="C586" s="12" t="s">
        <v>506</v>
      </c>
      <c r="D586" s="2">
        <v>0.08</v>
      </c>
      <c r="H586" s="8" t="str">
        <f t="shared" si="19"/>
        <v>26.30 (Gamma to 0.08)</v>
      </c>
      <c r="I586">
        <f t="shared" si="20"/>
        <v>0</v>
      </c>
    </row>
    <row r="587" spans="1:9" ht="16.5" hidden="1" customHeight="1" thickBot="1" x14ac:dyDescent="0.35">
      <c r="A587" s="13" t="s">
        <v>507</v>
      </c>
      <c r="B587" s="2">
        <v>42.9</v>
      </c>
      <c r="C587" s="12" t="s">
        <v>508</v>
      </c>
      <c r="D587" s="2">
        <v>2E-3</v>
      </c>
    </row>
    <row r="588" spans="1:9" ht="33" hidden="1" customHeight="1" x14ac:dyDescent="0.3">
      <c r="A588" s="14" t="s">
        <v>509</v>
      </c>
      <c r="B588" s="2">
        <v>3870510</v>
      </c>
      <c r="C588" s="15" t="s">
        <v>510</v>
      </c>
      <c r="D588" s="2">
        <v>0.52300000000000002</v>
      </c>
    </row>
    <row r="589" spans="1:9" ht="39" hidden="1" customHeight="1" x14ac:dyDescent="0.3"/>
    <row r="590" spans="1:9" ht="26.25" hidden="1" customHeight="1" x14ac:dyDescent="0.3"/>
    <row r="591" spans="1:9" ht="26.25" hidden="1" customHeight="1" x14ac:dyDescent="0.3"/>
    <row r="592" spans="1:9" ht="16.5" hidden="1" customHeight="1" x14ac:dyDescent="0.3">
      <c r="A592" s="1" t="s">
        <v>436</v>
      </c>
    </row>
    <row r="593" spans="1:2" ht="16.5" hidden="1" customHeight="1" x14ac:dyDescent="0.3"/>
    <row r="594" spans="1:2" ht="16.5" hidden="1" customHeight="1" x14ac:dyDescent="0.3">
      <c r="A594" s="1" t="s">
        <v>401</v>
      </c>
    </row>
    <row r="595" spans="1:2" ht="16.5" hidden="1" customHeight="1" thickBot="1" x14ac:dyDescent="0.3"/>
    <row r="596" spans="1:2" ht="16.5" hidden="1" customHeight="1" x14ac:dyDescent="0.3">
      <c r="A596" s="24" t="s">
        <v>437</v>
      </c>
      <c r="B596" s="26"/>
    </row>
    <row r="597" spans="1:2" ht="16.5" hidden="1" customHeight="1" thickBot="1" x14ac:dyDescent="0.35">
      <c r="A597" s="13" t="s">
        <v>438</v>
      </c>
      <c r="B597" s="18" t="s">
        <v>439</v>
      </c>
    </row>
    <row r="598" spans="1:2" ht="16.5" hidden="1" customHeight="1" thickBot="1" x14ac:dyDescent="0.35">
      <c r="A598" s="13" t="s">
        <v>440</v>
      </c>
      <c r="B598" s="18" t="s">
        <v>19</v>
      </c>
    </row>
    <row r="599" spans="1:2" ht="16.5" hidden="1" customHeight="1" thickBot="1" x14ac:dyDescent="0.35">
      <c r="A599" s="13" t="s">
        <v>441</v>
      </c>
      <c r="B599" s="18">
        <v>2</v>
      </c>
    </row>
    <row r="600" spans="1:2" ht="16.5" hidden="1" customHeight="1" thickBot="1" x14ac:dyDescent="0.35">
      <c r="A600" s="13" t="s">
        <v>442</v>
      </c>
      <c r="B600" s="18" t="s">
        <v>443</v>
      </c>
    </row>
    <row r="601" spans="1:2" ht="26.25" hidden="1" customHeight="1" thickBot="1" x14ac:dyDescent="0.35">
      <c r="A601" s="13" t="s">
        <v>76</v>
      </c>
      <c r="B601" s="18">
        <v>183</v>
      </c>
    </row>
    <row r="602" spans="1:2" ht="26.25" hidden="1" customHeight="1" thickBot="1" x14ac:dyDescent="0.35">
      <c r="A602" s="13" t="s">
        <v>444</v>
      </c>
      <c r="B602" s="18" t="s">
        <v>445</v>
      </c>
    </row>
    <row r="603" spans="1:2" ht="39" hidden="1" customHeight="1" thickBot="1" x14ac:dyDescent="0.35">
      <c r="A603" s="13" t="s">
        <v>77</v>
      </c>
      <c r="B603" s="18">
        <v>2354</v>
      </c>
    </row>
    <row r="604" spans="1:2" ht="26.25" hidden="1" customHeight="1" thickBot="1" x14ac:dyDescent="0.35">
      <c r="A604" s="13" t="s">
        <v>446</v>
      </c>
      <c r="B604" s="18" t="s">
        <v>447</v>
      </c>
    </row>
    <row r="605" spans="1:2" ht="26.25" hidden="1" customHeight="1" thickBot="1" x14ac:dyDescent="0.35">
      <c r="A605" s="13" t="s">
        <v>448</v>
      </c>
      <c r="B605" s="18" t="s">
        <v>449</v>
      </c>
    </row>
    <row r="606" spans="1:2" ht="26.25" hidden="1" customHeight="1" thickBot="1" x14ac:dyDescent="0.35">
      <c r="A606" s="13" t="s">
        <v>450</v>
      </c>
      <c r="B606" s="18" t="s">
        <v>451</v>
      </c>
    </row>
    <row r="607" spans="1:2" ht="26.25" hidden="1" customHeight="1" x14ac:dyDescent="0.3">
      <c r="A607" s="14" t="s">
        <v>452</v>
      </c>
      <c r="B607" s="19" t="s">
        <v>453</v>
      </c>
    </row>
    <row r="608" spans="1:2" ht="26.25" hidden="1" customHeight="1" thickBot="1" x14ac:dyDescent="0.3"/>
    <row r="609" spans="1:4" ht="26.25" hidden="1" customHeight="1" x14ac:dyDescent="0.3">
      <c r="A609" s="24" t="s">
        <v>80</v>
      </c>
      <c r="B609" s="26"/>
    </row>
    <row r="610" spans="1:4" ht="39" hidden="1" customHeight="1" thickBot="1" x14ac:dyDescent="0.35">
      <c r="A610" s="13" t="s">
        <v>81</v>
      </c>
      <c r="B610" s="2" t="s">
        <v>82</v>
      </c>
    </row>
    <row r="611" spans="1:4" ht="38.25" hidden="1" customHeight="1" x14ac:dyDescent="0.3">
      <c r="A611" s="14" t="s">
        <v>452</v>
      </c>
      <c r="B611" s="2" t="s">
        <v>453</v>
      </c>
    </row>
    <row r="612" spans="1:4" ht="16.5" hidden="1" customHeight="1" thickBot="1" x14ac:dyDescent="0.3"/>
    <row r="613" spans="1:4" ht="33" hidden="1" customHeight="1" thickBot="1" x14ac:dyDescent="0.35">
      <c r="A613" s="20" t="s">
        <v>454</v>
      </c>
      <c r="B613" s="21">
        <v>9199</v>
      </c>
    </row>
    <row r="614" spans="1:4" ht="33.75" hidden="1" customHeight="1" thickBot="1" x14ac:dyDescent="0.35">
      <c r="A614" s="13" t="s">
        <v>455</v>
      </c>
      <c r="B614" s="2">
        <v>9199</v>
      </c>
    </row>
    <row r="615" spans="1:4" ht="66" hidden="1" customHeight="1" thickBot="1" x14ac:dyDescent="0.35">
      <c r="A615" s="13" t="s">
        <v>456</v>
      </c>
      <c r="B615" s="2">
        <v>2778708</v>
      </c>
    </row>
    <row r="616" spans="1:4" ht="16.5" hidden="1" customHeight="1" x14ac:dyDescent="0.3">
      <c r="A616" s="14" t="s">
        <v>457</v>
      </c>
      <c r="B616" s="2">
        <v>2778708</v>
      </c>
    </row>
    <row r="617" spans="1:4" ht="39" hidden="1" customHeight="1" thickBot="1" x14ac:dyDescent="0.3"/>
    <row r="618" spans="1:4" ht="39" hidden="1" customHeight="1" x14ac:dyDescent="0.3">
      <c r="A618" s="24" t="s">
        <v>458</v>
      </c>
      <c r="B618" s="26"/>
      <c r="C618" s="26"/>
      <c r="D618" s="26"/>
    </row>
    <row r="619" spans="1:4" ht="39" hidden="1" customHeight="1" x14ac:dyDescent="0.3">
      <c r="A619" s="6" t="s">
        <v>459</v>
      </c>
      <c r="B619" s="27" t="s">
        <v>19</v>
      </c>
      <c r="C619" s="3" t="s">
        <v>93</v>
      </c>
      <c r="D619" s="3" t="s">
        <v>93</v>
      </c>
    </row>
    <row r="620" spans="1:4" ht="38.25" hidden="1" customHeight="1" x14ac:dyDescent="0.3">
      <c r="A620" s="6" t="s">
        <v>460</v>
      </c>
      <c r="B620" s="27"/>
      <c r="C620" s="3" t="s">
        <v>86</v>
      </c>
      <c r="D620" s="3" t="s">
        <v>461</v>
      </c>
    </row>
    <row r="621" spans="1:4" ht="16.5" hidden="1" customHeight="1" thickBot="1" x14ac:dyDescent="0.35">
      <c r="A621" s="6">
        <v>1</v>
      </c>
      <c r="B621" s="17">
        <v>0</v>
      </c>
      <c r="C621" s="2">
        <v>8791</v>
      </c>
      <c r="D621" s="2">
        <v>2666671.9</v>
      </c>
    </row>
    <row r="622" spans="1:4" ht="16.5" hidden="1" customHeight="1" x14ac:dyDescent="0.3">
      <c r="A622" s="6">
        <v>2</v>
      </c>
      <c r="B622" s="22">
        <v>1</v>
      </c>
      <c r="C622" s="2">
        <v>408</v>
      </c>
      <c r="D622" s="2">
        <v>112036.2</v>
      </c>
    </row>
    <row r="623" spans="1:4" ht="16.5" hidden="1" customHeight="1" x14ac:dyDescent="0.3"/>
    <row r="624" spans="1:4" ht="33" hidden="1" customHeight="1" x14ac:dyDescent="0.3">
      <c r="A624" s="1" t="s">
        <v>513</v>
      </c>
    </row>
    <row r="625" spans="1:5" ht="17.25" hidden="1" customHeight="1" thickBot="1" x14ac:dyDescent="0.3"/>
    <row r="626" spans="1:5" ht="16.5" hidden="1" customHeight="1" x14ac:dyDescent="0.3">
      <c r="A626" s="24" t="s">
        <v>462</v>
      </c>
      <c r="B626" s="26"/>
      <c r="C626" s="26"/>
      <c r="D626" s="26"/>
      <c r="E626" s="26"/>
    </row>
    <row r="627" spans="1:5" ht="16.5" hidden="1" customHeight="1" x14ac:dyDescent="0.3">
      <c r="A627" s="6" t="s">
        <v>463</v>
      </c>
      <c r="B627" s="3" t="s">
        <v>460</v>
      </c>
      <c r="C627" s="27" t="s">
        <v>464</v>
      </c>
      <c r="D627" s="27"/>
      <c r="E627" s="27"/>
    </row>
    <row r="628" spans="1:5" ht="16.5" hidden="1" customHeight="1" thickBot="1" x14ac:dyDescent="0.35">
      <c r="A628" s="13" t="s">
        <v>22</v>
      </c>
      <c r="B628" s="12">
        <v>1</v>
      </c>
      <c r="C628" s="2">
        <v>0</v>
      </c>
      <c r="D628" s="2">
        <v>0</v>
      </c>
      <c r="E628" s="2">
        <v>0</v>
      </c>
    </row>
    <row r="629" spans="1:5" ht="16.5" hidden="1" customHeight="1" thickBot="1" x14ac:dyDescent="0.35">
      <c r="A629" s="13"/>
      <c r="B629" s="12">
        <v>2</v>
      </c>
      <c r="C629" s="2">
        <v>1</v>
      </c>
      <c r="D629" s="2">
        <v>0</v>
      </c>
      <c r="E629" s="2">
        <v>0</v>
      </c>
    </row>
    <row r="630" spans="1:5" ht="16.5" hidden="1" customHeight="1" thickBot="1" x14ac:dyDescent="0.35">
      <c r="A630" s="13"/>
      <c r="B630" s="12">
        <v>3</v>
      </c>
      <c r="C630" s="2">
        <v>0</v>
      </c>
      <c r="D630" s="2">
        <v>1</v>
      </c>
      <c r="E630" s="2">
        <v>0</v>
      </c>
    </row>
    <row r="631" spans="1:5" ht="16.5" hidden="1" customHeight="1" x14ac:dyDescent="0.3">
      <c r="A631" s="14"/>
      <c r="B631" s="15">
        <v>4</v>
      </c>
      <c r="C631" s="2">
        <v>0</v>
      </c>
      <c r="D631" s="2">
        <v>0</v>
      </c>
      <c r="E631" s="2">
        <v>1</v>
      </c>
    </row>
    <row r="632" spans="1:5" ht="17.25" hidden="1" customHeight="1" thickBot="1" x14ac:dyDescent="0.3"/>
    <row r="633" spans="1:5" ht="17.25" hidden="1" customHeight="1" x14ac:dyDescent="0.3">
      <c r="A633" s="4" t="s">
        <v>465</v>
      </c>
    </row>
    <row r="634" spans="1:5" ht="17.25" hidden="1" customHeight="1" x14ac:dyDescent="0.3">
      <c r="A634" s="23" t="s">
        <v>466</v>
      </c>
    </row>
    <row r="635" spans="1:5" ht="16.5" hidden="1" customHeight="1" thickBot="1" x14ac:dyDescent="0.3"/>
    <row r="636" spans="1:5" ht="16.5" hidden="1" customHeight="1" x14ac:dyDescent="0.3">
      <c r="A636" s="24" t="s">
        <v>467</v>
      </c>
      <c r="B636" s="26"/>
      <c r="C636" s="26"/>
    </row>
    <row r="637" spans="1:5" ht="66" hidden="1" customHeight="1" x14ac:dyDescent="0.3">
      <c r="A637" s="6" t="s">
        <v>468</v>
      </c>
      <c r="B637" s="3" t="s">
        <v>469</v>
      </c>
      <c r="C637" s="3" t="s">
        <v>470</v>
      </c>
    </row>
    <row r="638" spans="1:5" ht="99" hidden="1" customHeight="1" thickBot="1" x14ac:dyDescent="0.35">
      <c r="A638" s="13" t="s">
        <v>471</v>
      </c>
      <c r="B638" s="2">
        <v>938973.86</v>
      </c>
      <c r="C638" s="2">
        <v>936949.86</v>
      </c>
    </row>
    <row r="639" spans="1:5" ht="16.5" hidden="1" customHeight="1" thickBot="1" x14ac:dyDescent="0.35">
      <c r="A639" s="13" t="s">
        <v>472</v>
      </c>
      <c r="B639" s="2">
        <v>938986.69</v>
      </c>
      <c r="C639" s="2">
        <v>937001.21</v>
      </c>
    </row>
    <row r="640" spans="1:5" ht="16.5" hidden="1" customHeight="1" x14ac:dyDescent="0.3">
      <c r="A640" s="14" t="s">
        <v>473</v>
      </c>
      <c r="B640" s="2" t="s">
        <v>624</v>
      </c>
      <c r="C640" s="2">
        <v>936941.86</v>
      </c>
    </row>
    <row r="641" spans="1:6" ht="66" hidden="1" customHeight="1" thickBot="1" x14ac:dyDescent="0.3"/>
    <row r="642" spans="1:6" ht="17.25" hidden="1" customHeight="1" x14ac:dyDescent="0.3">
      <c r="A642" s="24" t="s">
        <v>474</v>
      </c>
      <c r="B642" s="26"/>
      <c r="C642" s="26"/>
      <c r="D642" s="26"/>
      <c r="E642" s="26"/>
    </row>
    <row r="643" spans="1:6" ht="17.25" hidden="1" customHeight="1" x14ac:dyDescent="0.3">
      <c r="A643" s="6" t="s">
        <v>475</v>
      </c>
      <c r="B643" s="3" t="s">
        <v>476</v>
      </c>
      <c r="C643" s="3" t="s">
        <v>477</v>
      </c>
      <c r="D643" s="3" t="s">
        <v>478</v>
      </c>
      <c r="E643" s="3" t="s">
        <v>479</v>
      </c>
    </row>
    <row r="644" spans="1:6" ht="16.5" hidden="1" customHeight="1" x14ac:dyDescent="0.3">
      <c r="A644" s="25" t="s">
        <v>597</v>
      </c>
      <c r="B644" s="27"/>
      <c r="C644" s="27"/>
      <c r="D644" s="27"/>
      <c r="E644" s="27"/>
    </row>
    <row r="645" spans="1:6" ht="16.5" hidden="1" customHeight="1" thickBot="1" x14ac:dyDescent="0.35">
      <c r="A645" s="13" t="s">
        <v>481</v>
      </c>
      <c r="B645" s="2">
        <v>2.2999999999999998</v>
      </c>
      <c r="C645" s="2">
        <v>2.992</v>
      </c>
      <c r="D645" s="2">
        <v>6495.55</v>
      </c>
      <c r="E645" s="2">
        <v>7.5600000000000001E-2</v>
      </c>
    </row>
    <row r="646" spans="1:6" ht="16.5" hidden="1" customHeight="1" thickBot="1" x14ac:dyDescent="0.35">
      <c r="A646" s="13" t="s">
        <v>483</v>
      </c>
      <c r="B646" s="2">
        <v>1.9</v>
      </c>
      <c r="C646" s="2">
        <v>3</v>
      </c>
      <c r="D646" s="2">
        <v>2169</v>
      </c>
      <c r="E646" s="2">
        <v>0.1275</v>
      </c>
    </row>
    <row r="647" spans="1:6" ht="16.5" hidden="1" customHeight="1" x14ac:dyDescent="0.3">
      <c r="A647" s="14" t="s">
        <v>484</v>
      </c>
      <c r="B647" s="2">
        <v>1.82</v>
      </c>
      <c r="C647" s="2">
        <v>3</v>
      </c>
      <c r="D647" s="2">
        <v>2169</v>
      </c>
      <c r="E647" s="2">
        <v>0.14199999999999999</v>
      </c>
    </row>
    <row r="648" spans="1:6" ht="33" hidden="1" customHeight="1" thickBot="1" x14ac:dyDescent="0.3"/>
    <row r="649" spans="1:6" ht="26.25" hidden="1" customHeight="1" x14ac:dyDescent="0.3">
      <c r="A649" s="24" t="s">
        <v>485</v>
      </c>
      <c r="B649" s="26"/>
      <c r="C649" s="26"/>
      <c r="D649" s="26"/>
      <c r="E649" s="26"/>
    </row>
    <row r="650" spans="1:6" ht="17.25" hidden="1" customHeight="1" x14ac:dyDescent="0.3">
      <c r="A650" s="6" t="s">
        <v>486</v>
      </c>
      <c r="B650" s="3" t="s">
        <v>476</v>
      </c>
      <c r="C650" s="3" t="s">
        <v>477</v>
      </c>
      <c r="D650" s="3" t="s">
        <v>478</v>
      </c>
      <c r="E650" s="3" t="s">
        <v>479</v>
      </c>
    </row>
    <row r="651" spans="1:6" ht="16.5" hidden="1" customHeight="1" x14ac:dyDescent="0.3">
      <c r="A651" s="14" t="s">
        <v>22</v>
      </c>
      <c r="B651" s="2">
        <v>1.82</v>
      </c>
      <c r="C651" s="2">
        <v>3</v>
      </c>
      <c r="D651" s="2">
        <v>2169</v>
      </c>
      <c r="E651" s="2">
        <v>0.14199999999999999</v>
      </c>
    </row>
    <row r="652" spans="1:6" ht="16.5" hidden="1" customHeight="1" thickBot="1" x14ac:dyDescent="0.3"/>
    <row r="653" spans="1:6" ht="16.5" hidden="1" customHeight="1" x14ac:dyDescent="0.3">
      <c r="A653" s="24" t="s">
        <v>487</v>
      </c>
      <c r="B653" s="26"/>
      <c r="C653" s="26"/>
      <c r="D653" s="26"/>
      <c r="E653" s="26"/>
      <c r="F653" s="26"/>
    </row>
    <row r="654" spans="1:6" ht="16.5" hidden="1" customHeight="1" x14ac:dyDescent="0.3">
      <c r="A654" s="25" t="s">
        <v>488</v>
      </c>
      <c r="B654" s="27"/>
      <c r="C654" s="27" t="s">
        <v>489</v>
      </c>
      <c r="D654" s="3" t="s">
        <v>490</v>
      </c>
      <c r="E654" s="27" t="s">
        <v>492</v>
      </c>
      <c r="F654" s="27" t="s">
        <v>493</v>
      </c>
    </row>
    <row r="655" spans="1:6" ht="16.5" hidden="1" customHeight="1" x14ac:dyDescent="0.3">
      <c r="A655" s="25"/>
      <c r="B655" s="27"/>
      <c r="C655" s="27"/>
      <c r="D655" s="3" t="s">
        <v>491</v>
      </c>
      <c r="E655" s="27"/>
      <c r="F655" s="27"/>
    </row>
    <row r="656" spans="1:6" ht="16.5" hidden="1" customHeight="1" x14ac:dyDescent="0.3">
      <c r="A656" s="25" t="s">
        <v>544</v>
      </c>
      <c r="B656" s="27"/>
      <c r="C656" s="27"/>
      <c r="D656" s="27"/>
      <c r="E656" s="27"/>
      <c r="F656" s="27"/>
    </row>
    <row r="657" spans="1:9" ht="16.5" hidden="1" customHeight="1" thickBot="1" x14ac:dyDescent="0.35">
      <c r="A657" s="13" t="s">
        <v>495</v>
      </c>
      <c r="B657" s="12"/>
      <c r="C657" s="16">
        <v>-3.1091000000000002</v>
      </c>
      <c r="D657" s="2">
        <v>0.15429999999999999</v>
      </c>
      <c r="E657" s="16">
        <v>-20.149999999999999</v>
      </c>
      <c r="F657" s="2" t="s">
        <v>482</v>
      </c>
    </row>
    <row r="658" spans="1:9" ht="16.5" hidden="1" customHeight="1" thickBot="1" x14ac:dyDescent="0.35">
      <c r="A658" s="13" t="s">
        <v>22</v>
      </c>
      <c r="B658" s="12">
        <v>2</v>
      </c>
      <c r="C658" s="16">
        <v>-7.4700000000000003E-2</v>
      </c>
      <c r="D658" s="2">
        <v>0.19550000000000001</v>
      </c>
      <c r="E658" s="16">
        <v>-0.38</v>
      </c>
      <c r="F658" s="2">
        <v>0.70230000000000004</v>
      </c>
    </row>
    <row r="659" spans="1:9" ht="16.5" hidden="1" customHeight="1" thickBot="1" x14ac:dyDescent="0.35">
      <c r="A659" s="13" t="s">
        <v>22</v>
      </c>
      <c r="B659" s="12">
        <v>3</v>
      </c>
      <c r="C659" s="2">
        <v>9.3799999999999994E-2</v>
      </c>
      <c r="D659" s="2">
        <v>0.1822</v>
      </c>
      <c r="E659" s="2">
        <v>0.51</v>
      </c>
      <c r="F659" s="2">
        <v>0.60680000000000001</v>
      </c>
    </row>
    <row r="660" spans="1:9" ht="16.5" hidden="1" customHeight="1" x14ac:dyDescent="0.3">
      <c r="A660" s="14" t="s">
        <v>22</v>
      </c>
      <c r="B660" s="15">
        <v>4</v>
      </c>
      <c r="C660" s="16">
        <v>-0.2485</v>
      </c>
      <c r="D660" s="2">
        <v>0.18579999999999999</v>
      </c>
      <c r="E660" s="16">
        <v>-1.34</v>
      </c>
      <c r="F660" s="2">
        <v>0.1812</v>
      </c>
    </row>
    <row r="661" spans="1:9" ht="17.25" hidden="1" customHeight="1" thickBot="1" x14ac:dyDescent="0.3"/>
    <row r="662" spans="1:9" ht="17.25" hidden="1" customHeight="1" x14ac:dyDescent="0.3">
      <c r="A662" s="24" t="s">
        <v>496</v>
      </c>
      <c r="B662" s="26"/>
      <c r="C662" s="26"/>
      <c r="D662" s="26"/>
      <c r="H662">
        <f>F662</f>
        <v>0</v>
      </c>
    </row>
    <row r="663" spans="1:9" ht="17.25" hidden="1" customHeight="1" x14ac:dyDescent="0.3">
      <c r="A663" s="6" t="s">
        <v>486</v>
      </c>
      <c r="B663" s="3" t="s">
        <v>497</v>
      </c>
      <c r="C663" s="27" t="s">
        <v>91</v>
      </c>
      <c r="D663" s="27"/>
      <c r="H663">
        <f t="shared" ref="H663:H664" si="21">F663</f>
        <v>0</v>
      </c>
    </row>
    <row r="664" spans="1:9" ht="16.5" hidden="1" customHeight="1" x14ac:dyDescent="0.3">
      <c r="A664" s="25" t="s">
        <v>545</v>
      </c>
      <c r="B664" s="27"/>
      <c r="C664" s="27"/>
      <c r="D664" s="27"/>
      <c r="H664">
        <f t="shared" si="21"/>
        <v>0</v>
      </c>
    </row>
    <row r="665" spans="1:9" ht="16.5" hidden="1" customHeight="1" thickBot="1" x14ac:dyDescent="0.35">
      <c r="A665" s="13" t="s">
        <v>499</v>
      </c>
      <c r="B665" s="2">
        <v>0.92800000000000005</v>
      </c>
      <c r="C665" s="2">
        <v>0.63200000000000001</v>
      </c>
      <c r="D665" s="2">
        <v>1.3620000000000001</v>
      </c>
    </row>
    <row r="666" spans="1:9" ht="16.5" hidden="1" customHeight="1" thickBot="1" x14ac:dyDescent="0.35">
      <c r="A666" s="13" t="s">
        <v>500</v>
      </c>
      <c r="B666" s="2">
        <v>1.0980000000000001</v>
      </c>
      <c r="C666" s="2">
        <v>0.76800000000000002</v>
      </c>
      <c r="D666" s="2">
        <v>1.57</v>
      </c>
    </row>
    <row r="667" spans="1:9" ht="33" hidden="1" customHeight="1" thickBot="1" x14ac:dyDescent="0.35">
      <c r="A667" s="14" t="s">
        <v>501</v>
      </c>
      <c r="B667" s="2">
        <v>0.78</v>
      </c>
      <c r="C667" s="2">
        <v>0.54200000000000004</v>
      </c>
      <c r="D667" s="2">
        <v>1.123</v>
      </c>
    </row>
    <row r="668" spans="1:9" ht="49.5" hidden="1" customHeight="1" thickBot="1" x14ac:dyDescent="0.3"/>
    <row r="669" spans="1:9" ht="33" customHeight="1" x14ac:dyDescent="0.3">
      <c r="A669" s="24" t="s">
        <v>502</v>
      </c>
      <c r="B669" s="26"/>
      <c r="C669" s="26"/>
      <c r="D669" s="26"/>
      <c r="H669" s="8" t="str">
        <f t="shared" ref="H669:H671" si="22">TEXT(B669,"0.00")&amp;" ("&amp;TEXT(C669,"0.00")&amp;" to "&amp;TEXT(D669,"0.00")&amp;")"</f>
        <v>0.00 (0.00 to 0.00)</v>
      </c>
      <c r="I669">
        <f t="shared" ref="I669:I671" si="23">F662</f>
        <v>0</v>
      </c>
    </row>
    <row r="670" spans="1:9" ht="26.25" customHeight="1" thickBot="1" x14ac:dyDescent="0.35">
      <c r="A670" s="13" t="s">
        <v>503</v>
      </c>
      <c r="B670" s="2">
        <v>39.1</v>
      </c>
      <c r="C670" s="12" t="s">
        <v>504</v>
      </c>
      <c r="D670" s="2">
        <v>5.0999999999999997E-2</v>
      </c>
      <c r="H670" s="8" t="str">
        <f t="shared" si="22"/>
        <v>39.10 (Somers' D to 0.05)</v>
      </c>
      <c r="I670">
        <f t="shared" si="23"/>
        <v>0</v>
      </c>
    </row>
    <row r="671" spans="1:9" ht="25.5" customHeight="1" thickBot="1" x14ac:dyDescent="0.35">
      <c r="A671" s="13" t="s">
        <v>505</v>
      </c>
      <c r="B671" s="2">
        <v>33.9</v>
      </c>
      <c r="C671" s="12" t="s">
        <v>506</v>
      </c>
      <c r="D671" s="2">
        <v>7.0000000000000007E-2</v>
      </c>
      <c r="H671" s="8" t="str">
        <f t="shared" si="22"/>
        <v>33.90 (Gamma to 0.07)</v>
      </c>
      <c r="I671">
        <f t="shared" si="23"/>
        <v>0</v>
      </c>
    </row>
    <row r="672" spans="1:9" ht="16.5" hidden="1" customHeight="1" thickBot="1" x14ac:dyDescent="0.35">
      <c r="A672" s="13" t="s">
        <v>507</v>
      </c>
      <c r="B672" s="2">
        <v>27</v>
      </c>
      <c r="C672" s="12" t="s">
        <v>508</v>
      </c>
      <c r="D672" s="2">
        <v>4.0000000000000001E-3</v>
      </c>
    </row>
    <row r="673" spans="1:4" ht="33" hidden="1" customHeight="1" x14ac:dyDescent="0.3">
      <c r="A673" s="14" t="s">
        <v>509</v>
      </c>
      <c r="B673" s="2">
        <v>3586728</v>
      </c>
      <c r="C673" s="15" t="s">
        <v>510</v>
      </c>
      <c r="D673" s="2">
        <v>0.52600000000000002</v>
      </c>
    </row>
    <row r="674" spans="1:4" ht="39" hidden="1" customHeight="1" x14ac:dyDescent="0.3"/>
    <row r="675" spans="1:4" ht="26.25" hidden="1" customHeight="1" x14ac:dyDescent="0.3"/>
    <row r="676" spans="1:4" ht="26.25" hidden="1" customHeight="1" x14ac:dyDescent="0.3"/>
    <row r="677" spans="1:4" ht="16.5" hidden="1" customHeight="1" x14ac:dyDescent="0.3">
      <c r="A677" s="1" t="s">
        <v>436</v>
      </c>
    </row>
    <row r="678" spans="1:4" ht="16.5" hidden="1" customHeight="1" x14ac:dyDescent="0.3"/>
    <row r="679" spans="1:4" ht="16.5" hidden="1" customHeight="1" x14ac:dyDescent="0.3">
      <c r="A679" s="1" t="s">
        <v>402</v>
      </c>
    </row>
    <row r="680" spans="1:4" ht="16.5" hidden="1" customHeight="1" thickBot="1" x14ac:dyDescent="0.3"/>
    <row r="681" spans="1:4" ht="16.5" hidden="1" customHeight="1" x14ac:dyDescent="0.3">
      <c r="A681" s="24" t="s">
        <v>437</v>
      </c>
      <c r="B681" s="26"/>
    </row>
    <row r="682" spans="1:4" ht="16.5" hidden="1" customHeight="1" thickBot="1" x14ac:dyDescent="0.35">
      <c r="A682" s="13" t="s">
        <v>438</v>
      </c>
      <c r="B682" s="18" t="s">
        <v>439</v>
      </c>
    </row>
    <row r="683" spans="1:4" ht="16.5" hidden="1" customHeight="1" thickBot="1" x14ac:dyDescent="0.35">
      <c r="A683" s="13" t="s">
        <v>440</v>
      </c>
      <c r="B683" s="18" t="s">
        <v>19</v>
      </c>
    </row>
    <row r="684" spans="1:4" ht="16.5" hidden="1" customHeight="1" thickBot="1" x14ac:dyDescent="0.35">
      <c r="A684" s="13" t="s">
        <v>441</v>
      </c>
      <c r="B684" s="18">
        <v>2</v>
      </c>
    </row>
    <row r="685" spans="1:4" ht="16.5" hidden="1" customHeight="1" thickBot="1" x14ac:dyDescent="0.35">
      <c r="A685" s="13" t="s">
        <v>442</v>
      </c>
      <c r="B685" s="18" t="s">
        <v>443</v>
      </c>
    </row>
    <row r="686" spans="1:4" ht="26.25" hidden="1" customHeight="1" thickBot="1" x14ac:dyDescent="0.35">
      <c r="A686" s="13" t="s">
        <v>76</v>
      </c>
      <c r="B686" s="18">
        <v>183</v>
      </c>
    </row>
    <row r="687" spans="1:4" ht="26.25" hidden="1" customHeight="1" thickBot="1" x14ac:dyDescent="0.35">
      <c r="A687" s="13" t="s">
        <v>444</v>
      </c>
      <c r="B687" s="18" t="s">
        <v>445</v>
      </c>
    </row>
    <row r="688" spans="1:4" ht="39" hidden="1" customHeight="1" thickBot="1" x14ac:dyDescent="0.35">
      <c r="A688" s="13" t="s">
        <v>77</v>
      </c>
      <c r="B688" s="18">
        <v>2477</v>
      </c>
    </row>
    <row r="689" spans="1:4" ht="26.25" hidden="1" customHeight="1" thickBot="1" x14ac:dyDescent="0.35">
      <c r="A689" s="13" t="s">
        <v>446</v>
      </c>
      <c r="B689" s="18" t="s">
        <v>447</v>
      </c>
    </row>
    <row r="690" spans="1:4" ht="26.25" hidden="1" customHeight="1" thickBot="1" x14ac:dyDescent="0.35">
      <c r="A690" s="13" t="s">
        <v>448</v>
      </c>
      <c r="B690" s="18" t="s">
        <v>449</v>
      </c>
    </row>
    <row r="691" spans="1:4" ht="26.25" hidden="1" customHeight="1" thickBot="1" x14ac:dyDescent="0.35">
      <c r="A691" s="13" t="s">
        <v>450</v>
      </c>
      <c r="B691" s="18" t="s">
        <v>451</v>
      </c>
    </row>
    <row r="692" spans="1:4" ht="26.25" hidden="1" customHeight="1" x14ac:dyDescent="0.3">
      <c r="A692" s="14" t="s">
        <v>452</v>
      </c>
      <c r="B692" s="19" t="s">
        <v>453</v>
      </c>
    </row>
    <row r="693" spans="1:4" ht="26.25" hidden="1" customHeight="1" thickBot="1" x14ac:dyDescent="0.3"/>
    <row r="694" spans="1:4" ht="26.25" hidden="1" customHeight="1" x14ac:dyDescent="0.3">
      <c r="A694" s="24" t="s">
        <v>80</v>
      </c>
      <c r="B694" s="26"/>
    </row>
    <row r="695" spans="1:4" ht="39" hidden="1" customHeight="1" thickBot="1" x14ac:dyDescent="0.35">
      <c r="A695" s="13" t="s">
        <v>81</v>
      </c>
      <c r="B695" s="2" t="s">
        <v>82</v>
      </c>
    </row>
    <row r="696" spans="1:4" ht="38.25" hidden="1" customHeight="1" x14ac:dyDescent="0.3">
      <c r="A696" s="14" t="s">
        <v>452</v>
      </c>
      <c r="B696" s="2" t="s">
        <v>453</v>
      </c>
    </row>
    <row r="697" spans="1:4" ht="16.5" hidden="1" customHeight="1" thickBot="1" x14ac:dyDescent="0.3"/>
    <row r="698" spans="1:4" ht="33" hidden="1" customHeight="1" thickBot="1" x14ac:dyDescent="0.35">
      <c r="A698" s="20" t="s">
        <v>454</v>
      </c>
      <c r="B698" s="21">
        <v>7937</v>
      </c>
    </row>
    <row r="699" spans="1:4" ht="33.75" hidden="1" customHeight="1" thickBot="1" x14ac:dyDescent="0.35">
      <c r="A699" s="13" t="s">
        <v>455</v>
      </c>
      <c r="B699" s="2">
        <v>7937</v>
      </c>
    </row>
    <row r="700" spans="1:4" ht="66" hidden="1" customHeight="1" thickBot="1" x14ac:dyDescent="0.35">
      <c r="A700" s="13" t="s">
        <v>456</v>
      </c>
      <c r="B700" s="2">
        <v>2682504</v>
      </c>
    </row>
    <row r="701" spans="1:4" ht="16.5" hidden="1" customHeight="1" x14ac:dyDescent="0.3">
      <c r="A701" s="14" t="s">
        <v>457</v>
      </c>
      <c r="B701" s="2">
        <v>2682504</v>
      </c>
    </row>
    <row r="702" spans="1:4" ht="39" hidden="1" customHeight="1" thickBot="1" x14ac:dyDescent="0.3"/>
    <row r="703" spans="1:4" ht="39" hidden="1" customHeight="1" x14ac:dyDescent="0.3">
      <c r="A703" s="24" t="s">
        <v>458</v>
      </c>
      <c r="B703" s="26"/>
      <c r="C703" s="26"/>
      <c r="D703" s="26"/>
    </row>
    <row r="704" spans="1:4" ht="39" hidden="1" customHeight="1" x14ac:dyDescent="0.3">
      <c r="A704" s="6" t="s">
        <v>459</v>
      </c>
      <c r="B704" s="27" t="s">
        <v>19</v>
      </c>
      <c r="C704" s="3" t="s">
        <v>93</v>
      </c>
      <c r="D704" s="3" t="s">
        <v>93</v>
      </c>
    </row>
    <row r="705" spans="1:5" ht="38.25" hidden="1" customHeight="1" x14ac:dyDescent="0.3">
      <c r="A705" s="6" t="s">
        <v>460</v>
      </c>
      <c r="B705" s="27"/>
      <c r="C705" s="3" t="s">
        <v>86</v>
      </c>
      <c r="D705" s="3" t="s">
        <v>461</v>
      </c>
    </row>
    <row r="706" spans="1:5" ht="16.5" hidden="1" customHeight="1" thickBot="1" x14ac:dyDescent="0.35">
      <c r="A706" s="6">
        <v>1</v>
      </c>
      <c r="B706" s="17">
        <v>0</v>
      </c>
      <c r="C706" s="2">
        <v>7686</v>
      </c>
      <c r="D706" s="2">
        <v>2604484.5</v>
      </c>
    </row>
    <row r="707" spans="1:5" ht="16.5" hidden="1" customHeight="1" x14ac:dyDescent="0.3">
      <c r="A707" s="6">
        <v>2</v>
      </c>
      <c r="B707" s="22">
        <v>1</v>
      </c>
      <c r="C707" s="2">
        <v>251</v>
      </c>
      <c r="D707" s="2">
        <v>78020</v>
      </c>
    </row>
    <row r="708" spans="1:5" ht="16.5" hidden="1" customHeight="1" x14ac:dyDescent="0.3"/>
    <row r="709" spans="1:5" ht="33" hidden="1" customHeight="1" x14ac:dyDescent="0.3">
      <c r="A709" s="1" t="s">
        <v>513</v>
      </c>
    </row>
    <row r="710" spans="1:5" ht="17.25" hidden="1" customHeight="1" thickBot="1" x14ac:dyDescent="0.3"/>
    <row r="711" spans="1:5" ht="16.5" hidden="1" customHeight="1" x14ac:dyDescent="0.3">
      <c r="A711" s="24" t="s">
        <v>462</v>
      </c>
      <c r="B711" s="26"/>
      <c r="C711" s="26"/>
      <c r="D711" s="26"/>
      <c r="E711" s="26"/>
    </row>
    <row r="712" spans="1:5" ht="16.5" hidden="1" customHeight="1" x14ac:dyDescent="0.3">
      <c r="A712" s="6" t="s">
        <v>463</v>
      </c>
      <c r="B712" s="3" t="s">
        <v>460</v>
      </c>
      <c r="C712" s="27" t="s">
        <v>464</v>
      </c>
      <c r="D712" s="27"/>
      <c r="E712" s="27"/>
    </row>
    <row r="713" spans="1:5" ht="16.5" hidden="1" customHeight="1" thickBot="1" x14ac:dyDescent="0.35">
      <c r="A713" s="13" t="s">
        <v>22</v>
      </c>
      <c r="B713" s="12">
        <v>1</v>
      </c>
      <c r="C713" s="2">
        <v>0</v>
      </c>
      <c r="D713" s="2">
        <v>0</v>
      </c>
      <c r="E713" s="2">
        <v>0</v>
      </c>
    </row>
    <row r="714" spans="1:5" ht="16.5" hidden="1" customHeight="1" thickBot="1" x14ac:dyDescent="0.35">
      <c r="A714" s="13"/>
      <c r="B714" s="12">
        <v>2</v>
      </c>
      <c r="C714" s="2">
        <v>1</v>
      </c>
      <c r="D714" s="2">
        <v>0</v>
      </c>
      <c r="E714" s="2">
        <v>0</v>
      </c>
    </row>
    <row r="715" spans="1:5" ht="16.5" hidden="1" customHeight="1" thickBot="1" x14ac:dyDescent="0.35">
      <c r="A715" s="13"/>
      <c r="B715" s="12">
        <v>3</v>
      </c>
      <c r="C715" s="2">
        <v>0</v>
      </c>
      <c r="D715" s="2">
        <v>1</v>
      </c>
      <c r="E715" s="2">
        <v>0</v>
      </c>
    </row>
    <row r="716" spans="1:5" ht="16.5" hidden="1" customHeight="1" x14ac:dyDescent="0.3">
      <c r="A716" s="14"/>
      <c r="B716" s="15">
        <v>4</v>
      </c>
      <c r="C716" s="2">
        <v>0</v>
      </c>
      <c r="D716" s="2">
        <v>0</v>
      </c>
      <c r="E716" s="2">
        <v>1</v>
      </c>
    </row>
    <row r="717" spans="1:5" ht="17.25" hidden="1" customHeight="1" thickBot="1" x14ac:dyDescent="0.3"/>
    <row r="718" spans="1:5" ht="17.25" hidden="1" customHeight="1" x14ac:dyDescent="0.3">
      <c r="A718" s="4" t="s">
        <v>465</v>
      </c>
    </row>
    <row r="719" spans="1:5" ht="17.25" hidden="1" customHeight="1" x14ac:dyDescent="0.3">
      <c r="A719" s="23" t="s">
        <v>466</v>
      </c>
    </row>
    <row r="720" spans="1:5" ht="16.5" hidden="1" customHeight="1" thickBot="1" x14ac:dyDescent="0.3"/>
    <row r="721" spans="1:5" ht="16.5" hidden="1" customHeight="1" x14ac:dyDescent="0.3">
      <c r="A721" s="24" t="s">
        <v>467</v>
      </c>
      <c r="B721" s="26"/>
      <c r="C721" s="26"/>
    </row>
    <row r="722" spans="1:5" ht="66" hidden="1" customHeight="1" x14ac:dyDescent="0.3">
      <c r="A722" s="6" t="s">
        <v>468</v>
      </c>
      <c r="B722" s="3" t="s">
        <v>469</v>
      </c>
      <c r="C722" s="3" t="s">
        <v>470</v>
      </c>
    </row>
    <row r="723" spans="1:5" ht="99" hidden="1" customHeight="1" thickBot="1" x14ac:dyDescent="0.35">
      <c r="A723" s="13" t="s">
        <v>471</v>
      </c>
      <c r="B723" s="2">
        <v>705748.16</v>
      </c>
      <c r="C723" s="2">
        <v>704020.25</v>
      </c>
    </row>
    <row r="724" spans="1:5" ht="16.5" hidden="1" customHeight="1" thickBot="1" x14ac:dyDescent="0.35">
      <c r="A724" s="13" t="s">
        <v>472</v>
      </c>
      <c r="B724" s="2">
        <v>705760.97</v>
      </c>
      <c r="C724" s="2">
        <v>704071.46</v>
      </c>
    </row>
    <row r="725" spans="1:5" ht="16.5" hidden="1" customHeight="1" x14ac:dyDescent="0.3">
      <c r="A725" s="14" t="s">
        <v>473</v>
      </c>
      <c r="B725" s="2" t="s">
        <v>625</v>
      </c>
      <c r="C725" s="2">
        <v>704012.25</v>
      </c>
    </row>
    <row r="726" spans="1:5" ht="66" hidden="1" customHeight="1" thickBot="1" x14ac:dyDescent="0.3"/>
    <row r="727" spans="1:5" ht="17.25" hidden="1" customHeight="1" x14ac:dyDescent="0.3">
      <c r="A727" s="24" t="s">
        <v>474</v>
      </c>
      <c r="B727" s="26"/>
      <c r="C727" s="26"/>
      <c r="D727" s="26"/>
      <c r="E727" s="26"/>
    </row>
    <row r="728" spans="1:5" ht="17.25" hidden="1" customHeight="1" x14ac:dyDescent="0.3">
      <c r="A728" s="6" t="s">
        <v>475</v>
      </c>
      <c r="B728" s="3" t="s">
        <v>476</v>
      </c>
      <c r="C728" s="3" t="s">
        <v>477</v>
      </c>
      <c r="D728" s="3" t="s">
        <v>478</v>
      </c>
      <c r="E728" s="3" t="s">
        <v>479</v>
      </c>
    </row>
    <row r="729" spans="1:5" ht="16.5" hidden="1" customHeight="1" x14ac:dyDescent="0.3">
      <c r="A729" s="25" t="s">
        <v>550</v>
      </c>
      <c r="B729" s="27"/>
      <c r="C729" s="27"/>
      <c r="D729" s="27"/>
      <c r="E729" s="27"/>
    </row>
    <row r="730" spans="1:5" ht="16.5" hidden="1" customHeight="1" thickBot="1" x14ac:dyDescent="0.35">
      <c r="A730" s="13" t="s">
        <v>481</v>
      </c>
      <c r="B730" s="2">
        <v>1.69</v>
      </c>
      <c r="C730" s="2">
        <v>2.9943</v>
      </c>
      <c r="D730" s="2">
        <v>6868.95</v>
      </c>
      <c r="E730" s="2">
        <v>0.16750000000000001</v>
      </c>
    </row>
    <row r="731" spans="1:5" ht="16.5" hidden="1" customHeight="1" thickBot="1" x14ac:dyDescent="0.35">
      <c r="A731" s="13" t="s">
        <v>483</v>
      </c>
      <c r="B731" s="2">
        <v>1.3</v>
      </c>
      <c r="C731" s="2">
        <v>3</v>
      </c>
      <c r="D731" s="2">
        <v>2292</v>
      </c>
      <c r="E731" s="2">
        <v>0.27279999999999999</v>
      </c>
    </row>
    <row r="732" spans="1:5" ht="16.5" hidden="1" customHeight="1" x14ac:dyDescent="0.3">
      <c r="A732" s="14" t="s">
        <v>484</v>
      </c>
      <c r="B732" s="2">
        <v>1.23</v>
      </c>
      <c r="C732" s="2">
        <v>3</v>
      </c>
      <c r="D732" s="2">
        <v>2292</v>
      </c>
      <c r="E732" s="2">
        <v>0.29870000000000002</v>
      </c>
    </row>
    <row r="733" spans="1:5" ht="33" hidden="1" customHeight="1" thickBot="1" x14ac:dyDescent="0.3"/>
    <row r="734" spans="1:5" ht="26.25" hidden="1" customHeight="1" x14ac:dyDescent="0.3">
      <c r="A734" s="24" t="s">
        <v>485</v>
      </c>
      <c r="B734" s="26"/>
      <c r="C734" s="26"/>
      <c r="D734" s="26"/>
      <c r="E734" s="26"/>
    </row>
    <row r="735" spans="1:5" ht="17.25" hidden="1" customHeight="1" x14ac:dyDescent="0.3">
      <c r="A735" s="6" t="s">
        <v>486</v>
      </c>
      <c r="B735" s="3" t="s">
        <v>476</v>
      </c>
      <c r="C735" s="3" t="s">
        <v>477</v>
      </c>
      <c r="D735" s="3" t="s">
        <v>478</v>
      </c>
      <c r="E735" s="3" t="s">
        <v>479</v>
      </c>
    </row>
    <row r="736" spans="1:5" ht="16.5" hidden="1" customHeight="1" x14ac:dyDescent="0.3">
      <c r="A736" s="14" t="s">
        <v>22</v>
      </c>
      <c r="B736" s="2">
        <v>1.23</v>
      </c>
      <c r="C736" s="2">
        <v>3</v>
      </c>
      <c r="D736" s="2">
        <v>2292</v>
      </c>
      <c r="E736" s="2">
        <v>0.29870000000000002</v>
      </c>
    </row>
    <row r="737" spans="1:8" ht="16.5" hidden="1" customHeight="1" thickBot="1" x14ac:dyDescent="0.3"/>
    <row r="738" spans="1:8" ht="16.5" hidden="1" customHeight="1" x14ac:dyDescent="0.3">
      <c r="A738" s="24" t="s">
        <v>487</v>
      </c>
      <c r="B738" s="26"/>
      <c r="C738" s="26"/>
      <c r="D738" s="26"/>
      <c r="E738" s="26"/>
      <c r="F738" s="26"/>
    </row>
    <row r="739" spans="1:8" ht="16.5" hidden="1" customHeight="1" x14ac:dyDescent="0.3">
      <c r="A739" s="25" t="s">
        <v>488</v>
      </c>
      <c r="B739" s="27"/>
      <c r="C739" s="27" t="s">
        <v>489</v>
      </c>
      <c r="D739" s="3" t="s">
        <v>490</v>
      </c>
      <c r="E739" s="27" t="s">
        <v>492</v>
      </c>
      <c r="F739" s="27" t="s">
        <v>493</v>
      </c>
    </row>
    <row r="740" spans="1:8" ht="16.5" hidden="1" customHeight="1" x14ac:dyDescent="0.3">
      <c r="A740" s="25"/>
      <c r="B740" s="27"/>
      <c r="C740" s="27"/>
      <c r="D740" s="3" t="s">
        <v>491</v>
      </c>
      <c r="E740" s="27"/>
      <c r="F740" s="27"/>
    </row>
    <row r="741" spans="1:8" ht="16.5" hidden="1" customHeight="1" x14ac:dyDescent="0.3">
      <c r="A741" s="25" t="s">
        <v>546</v>
      </c>
      <c r="B741" s="27"/>
      <c r="C741" s="27"/>
      <c r="D741" s="27"/>
      <c r="E741" s="27"/>
      <c r="F741" s="27"/>
    </row>
    <row r="742" spans="1:8" ht="16.5" hidden="1" customHeight="1" thickBot="1" x14ac:dyDescent="0.35">
      <c r="A742" s="13" t="s">
        <v>495</v>
      </c>
      <c r="B742" s="12"/>
      <c r="C742" s="16">
        <v>-3.7126000000000001</v>
      </c>
      <c r="D742" s="2">
        <v>0.2364</v>
      </c>
      <c r="E742" s="16">
        <v>-15.7</v>
      </c>
      <c r="F742" s="2" t="s">
        <v>482</v>
      </c>
    </row>
    <row r="743" spans="1:8" ht="16.5" hidden="1" customHeight="1" thickBot="1" x14ac:dyDescent="0.35">
      <c r="A743" s="13" t="s">
        <v>22</v>
      </c>
      <c r="B743" s="12">
        <v>2</v>
      </c>
      <c r="C743" s="2">
        <v>0.29770000000000002</v>
      </c>
      <c r="D743" s="2">
        <v>0.28010000000000002</v>
      </c>
      <c r="E743" s="2">
        <v>1.06</v>
      </c>
      <c r="F743" s="2">
        <v>0.28799999999999998</v>
      </c>
    </row>
    <row r="744" spans="1:8" ht="16.5" hidden="1" customHeight="1" thickBot="1" x14ac:dyDescent="0.35">
      <c r="A744" s="13" t="s">
        <v>22</v>
      </c>
      <c r="B744" s="12">
        <v>3</v>
      </c>
      <c r="C744" s="2">
        <v>3.6799999999999999E-2</v>
      </c>
      <c r="D744" s="2">
        <v>0.27650000000000002</v>
      </c>
      <c r="E744" s="2">
        <v>0.13</v>
      </c>
      <c r="F744" s="2">
        <v>0.89419999999999999</v>
      </c>
    </row>
    <row r="745" spans="1:8" ht="16.5" hidden="1" customHeight="1" x14ac:dyDescent="0.3">
      <c r="A745" s="14" t="s">
        <v>22</v>
      </c>
      <c r="B745" s="15">
        <v>4</v>
      </c>
      <c r="C745" s="2">
        <v>0.35039999999999999</v>
      </c>
      <c r="D745" s="2">
        <v>0.27439999999999998</v>
      </c>
      <c r="E745" s="2">
        <v>1.28</v>
      </c>
      <c r="F745" s="2">
        <v>0.2019</v>
      </c>
    </row>
    <row r="746" spans="1:8" ht="17.25" hidden="1" customHeight="1" thickBot="1" x14ac:dyDescent="0.3"/>
    <row r="747" spans="1:8" ht="17.25" hidden="1" customHeight="1" x14ac:dyDescent="0.3">
      <c r="A747" s="24" t="s">
        <v>496</v>
      </c>
      <c r="B747" s="26"/>
      <c r="C747" s="26"/>
      <c r="D747" s="26"/>
      <c r="H747">
        <f>F747</f>
        <v>0</v>
      </c>
    </row>
    <row r="748" spans="1:8" ht="17.25" hidden="1" customHeight="1" x14ac:dyDescent="0.3">
      <c r="A748" s="6" t="s">
        <v>486</v>
      </c>
      <c r="B748" s="3" t="s">
        <v>497</v>
      </c>
      <c r="C748" s="27" t="s">
        <v>91</v>
      </c>
      <c r="D748" s="27"/>
      <c r="H748">
        <f t="shared" ref="H748:H749" si="24">F748</f>
        <v>0</v>
      </c>
    </row>
    <row r="749" spans="1:8" ht="16.5" hidden="1" customHeight="1" x14ac:dyDescent="0.3">
      <c r="A749" s="25" t="s">
        <v>547</v>
      </c>
      <c r="B749" s="27"/>
      <c r="C749" s="27"/>
      <c r="D749" s="27"/>
      <c r="H749">
        <f t="shared" si="24"/>
        <v>0</v>
      </c>
    </row>
    <row r="750" spans="1:8" ht="16.5" hidden="1" customHeight="1" thickBot="1" x14ac:dyDescent="0.35">
      <c r="A750" s="13" t="s">
        <v>499</v>
      </c>
      <c r="B750" s="2">
        <v>1.347</v>
      </c>
      <c r="C750" s="2">
        <v>0.77800000000000002</v>
      </c>
      <c r="D750" s="2">
        <v>2.3330000000000002</v>
      </c>
    </row>
    <row r="751" spans="1:8" ht="16.5" hidden="1" customHeight="1" thickBot="1" x14ac:dyDescent="0.35">
      <c r="A751" s="13" t="s">
        <v>500</v>
      </c>
      <c r="B751" s="2">
        <v>1.0369999999999999</v>
      </c>
      <c r="C751" s="2">
        <v>0.60299999999999998</v>
      </c>
      <c r="D751" s="2">
        <v>1.784</v>
      </c>
    </row>
    <row r="752" spans="1:8" ht="33" hidden="1" customHeight="1" thickBot="1" x14ac:dyDescent="0.35">
      <c r="A752" s="14" t="s">
        <v>501</v>
      </c>
      <c r="B752" s="2">
        <v>1.42</v>
      </c>
      <c r="C752" s="2">
        <v>0.82899999999999996</v>
      </c>
      <c r="D752" s="2">
        <v>2.4319999999999999</v>
      </c>
    </row>
    <row r="753" spans="1:9" ht="49.5" hidden="1" customHeight="1" thickBot="1" x14ac:dyDescent="0.3"/>
    <row r="754" spans="1:9" ht="33" customHeight="1" x14ac:dyDescent="0.3">
      <c r="A754" s="24" t="s">
        <v>502</v>
      </c>
      <c r="B754" s="26"/>
      <c r="C754" s="26"/>
      <c r="D754" s="26"/>
      <c r="H754" s="8" t="str">
        <f t="shared" ref="H754:H756" si="25">TEXT(B754,"0.00")&amp;" ("&amp;TEXT(C754,"0.00")&amp;" to "&amp;TEXT(D754,"0.00")&amp;")"</f>
        <v>0.00 (0.00 to 0.00)</v>
      </c>
      <c r="I754">
        <f t="shared" ref="I754:I756" si="26">F747</f>
        <v>0</v>
      </c>
    </row>
    <row r="755" spans="1:9" ht="26.25" customHeight="1" thickBot="1" x14ac:dyDescent="0.35">
      <c r="A755" s="13" t="s">
        <v>503</v>
      </c>
      <c r="B755" s="2">
        <v>39.6</v>
      </c>
      <c r="C755" s="12" t="s">
        <v>504</v>
      </c>
      <c r="D755" s="2">
        <v>6.0999999999999999E-2</v>
      </c>
      <c r="H755" s="8" t="str">
        <f t="shared" si="25"/>
        <v>39.60 (Somers' D to 0.06)</v>
      </c>
      <c r="I755">
        <f t="shared" si="26"/>
        <v>0</v>
      </c>
    </row>
    <row r="756" spans="1:9" ht="25.5" customHeight="1" thickBot="1" x14ac:dyDescent="0.35">
      <c r="A756" s="13" t="s">
        <v>505</v>
      </c>
      <c r="B756" s="2">
        <v>33.4</v>
      </c>
      <c r="C756" s="12" t="s">
        <v>506</v>
      </c>
      <c r="D756" s="2">
        <v>8.4000000000000005E-2</v>
      </c>
      <c r="H756" s="8" t="str">
        <f t="shared" si="25"/>
        <v>33.40 (Gamma to 0.08)</v>
      </c>
      <c r="I756">
        <f t="shared" si="26"/>
        <v>0</v>
      </c>
    </row>
    <row r="757" spans="1:9" ht="16.5" hidden="1" customHeight="1" thickBot="1" x14ac:dyDescent="0.35">
      <c r="A757" s="13" t="s">
        <v>507</v>
      </c>
      <c r="B757" s="2">
        <v>27</v>
      </c>
      <c r="C757" s="12" t="s">
        <v>508</v>
      </c>
      <c r="D757" s="2">
        <v>4.0000000000000001E-3</v>
      </c>
    </row>
    <row r="758" spans="1:9" ht="33" hidden="1" customHeight="1" x14ac:dyDescent="0.3">
      <c r="A758" s="14" t="s">
        <v>509</v>
      </c>
      <c r="B758" s="2">
        <v>1929186</v>
      </c>
      <c r="C758" s="15" t="s">
        <v>510</v>
      </c>
      <c r="D758" s="2">
        <v>0.53100000000000003</v>
      </c>
    </row>
    <row r="759" spans="1:9" ht="39" hidden="1" customHeight="1" x14ac:dyDescent="0.3"/>
    <row r="760" spans="1:9" ht="26.25" hidden="1" customHeight="1" x14ac:dyDescent="0.3"/>
    <row r="761" spans="1:9" ht="26.25" hidden="1" customHeight="1" x14ac:dyDescent="0.3"/>
    <row r="762" spans="1:9" ht="16.5" hidden="1" customHeight="1" x14ac:dyDescent="0.3">
      <c r="A762" s="1" t="s">
        <v>436</v>
      </c>
    </row>
    <row r="763" spans="1:9" ht="16.5" hidden="1" customHeight="1" x14ac:dyDescent="0.3"/>
    <row r="764" spans="1:9" ht="16.5" hidden="1" customHeight="1" x14ac:dyDescent="0.3">
      <c r="A764" s="1" t="s">
        <v>403</v>
      </c>
    </row>
    <row r="765" spans="1:9" ht="16.5" hidden="1" customHeight="1" thickBot="1" x14ac:dyDescent="0.3"/>
    <row r="766" spans="1:9" ht="16.5" hidden="1" customHeight="1" x14ac:dyDescent="0.3">
      <c r="A766" s="24" t="s">
        <v>437</v>
      </c>
      <c r="B766" s="26"/>
    </row>
    <row r="767" spans="1:9" ht="16.5" hidden="1" customHeight="1" thickBot="1" x14ac:dyDescent="0.35">
      <c r="A767" s="13" t="s">
        <v>438</v>
      </c>
      <c r="B767" s="18" t="s">
        <v>439</v>
      </c>
    </row>
    <row r="768" spans="1:9" ht="16.5" hidden="1" customHeight="1" thickBot="1" x14ac:dyDescent="0.35">
      <c r="A768" s="13" t="s">
        <v>440</v>
      </c>
      <c r="B768" s="18" t="s">
        <v>19</v>
      </c>
    </row>
    <row r="769" spans="1:2" ht="16.5" hidden="1" customHeight="1" thickBot="1" x14ac:dyDescent="0.35">
      <c r="A769" s="13" t="s">
        <v>441</v>
      </c>
      <c r="B769" s="18">
        <v>2</v>
      </c>
    </row>
    <row r="770" spans="1:2" ht="16.5" hidden="1" customHeight="1" thickBot="1" x14ac:dyDescent="0.35">
      <c r="A770" s="13" t="s">
        <v>442</v>
      </c>
      <c r="B770" s="18" t="s">
        <v>443</v>
      </c>
    </row>
    <row r="771" spans="1:2" ht="26.25" hidden="1" customHeight="1" thickBot="1" x14ac:dyDescent="0.35">
      <c r="A771" s="13" t="s">
        <v>76</v>
      </c>
      <c r="B771" s="18">
        <v>183</v>
      </c>
    </row>
    <row r="772" spans="1:2" ht="26.25" hidden="1" customHeight="1" thickBot="1" x14ac:dyDescent="0.35">
      <c r="A772" s="13" t="s">
        <v>444</v>
      </c>
      <c r="B772" s="18" t="s">
        <v>445</v>
      </c>
    </row>
    <row r="773" spans="1:2" ht="39" hidden="1" customHeight="1" thickBot="1" x14ac:dyDescent="0.35">
      <c r="A773" s="13" t="s">
        <v>77</v>
      </c>
      <c r="B773" s="18">
        <v>2888</v>
      </c>
    </row>
    <row r="774" spans="1:2" ht="26.25" hidden="1" customHeight="1" thickBot="1" x14ac:dyDescent="0.35">
      <c r="A774" s="13" t="s">
        <v>446</v>
      </c>
      <c r="B774" s="18" t="s">
        <v>447</v>
      </c>
    </row>
    <row r="775" spans="1:2" ht="26.25" hidden="1" customHeight="1" thickBot="1" x14ac:dyDescent="0.35">
      <c r="A775" s="13" t="s">
        <v>448</v>
      </c>
      <c r="B775" s="18" t="s">
        <v>449</v>
      </c>
    </row>
    <row r="776" spans="1:2" ht="26.25" hidden="1" customHeight="1" thickBot="1" x14ac:dyDescent="0.35">
      <c r="A776" s="13" t="s">
        <v>450</v>
      </c>
      <c r="B776" s="18" t="s">
        <v>451</v>
      </c>
    </row>
    <row r="777" spans="1:2" ht="26.25" hidden="1" customHeight="1" x14ac:dyDescent="0.3">
      <c r="A777" s="14" t="s">
        <v>452</v>
      </c>
      <c r="B777" s="19" t="s">
        <v>453</v>
      </c>
    </row>
    <row r="778" spans="1:2" ht="26.25" hidden="1" customHeight="1" thickBot="1" x14ac:dyDescent="0.3"/>
    <row r="779" spans="1:2" ht="26.25" hidden="1" customHeight="1" x14ac:dyDescent="0.3">
      <c r="A779" s="24" t="s">
        <v>80</v>
      </c>
      <c r="B779" s="26"/>
    </row>
    <row r="780" spans="1:2" ht="39" hidden="1" customHeight="1" thickBot="1" x14ac:dyDescent="0.35">
      <c r="A780" s="13" t="s">
        <v>81</v>
      </c>
      <c r="B780" s="2" t="s">
        <v>82</v>
      </c>
    </row>
    <row r="781" spans="1:2" ht="38.25" hidden="1" customHeight="1" x14ac:dyDescent="0.3">
      <c r="A781" s="14" t="s">
        <v>452</v>
      </c>
      <c r="B781" s="2" t="s">
        <v>453</v>
      </c>
    </row>
    <row r="782" spans="1:2" ht="16.5" hidden="1" customHeight="1" thickBot="1" x14ac:dyDescent="0.3"/>
    <row r="783" spans="1:2" ht="33" hidden="1" customHeight="1" thickBot="1" x14ac:dyDescent="0.35">
      <c r="A783" s="20" t="s">
        <v>454</v>
      </c>
      <c r="B783" s="21">
        <v>17758</v>
      </c>
    </row>
    <row r="784" spans="1:2" ht="33.75" hidden="1" customHeight="1" thickBot="1" x14ac:dyDescent="0.35">
      <c r="A784" s="13" t="s">
        <v>455</v>
      </c>
      <c r="B784" s="2">
        <v>17758</v>
      </c>
    </row>
    <row r="785" spans="1:5" ht="66" hidden="1" customHeight="1" thickBot="1" x14ac:dyDescent="0.35">
      <c r="A785" s="13" t="s">
        <v>456</v>
      </c>
      <c r="B785" s="2">
        <v>7987796</v>
      </c>
    </row>
    <row r="786" spans="1:5" ht="16.5" hidden="1" customHeight="1" x14ac:dyDescent="0.3">
      <c r="A786" s="14" t="s">
        <v>457</v>
      </c>
      <c r="B786" s="2">
        <v>7987796</v>
      </c>
    </row>
    <row r="787" spans="1:5" ht="39" hidden="1" customHeight="1" thickBot="1" x14ac:dyDescent="0.3"/>
    <row r="788" spans="1:5" ht="39" hidden="1" customHeight="1" x14ac:dyDescent="0.3">
      <c r="A788" s="24" t="s">
        <v>458</v>
      </c>
      <c r="B788" s="26"/>
      <c r="C788" s="26"/>
      <c r="D788" s="26"/>
    </row>
    <row r="789" spans="1:5" ht="39" hidden="1" customHeight="1" x14ac:dyDescent="0.3">
      <c r="A789" s="6" t="s">
        <v>459</v>
      </c>
      <c r="B789" s="27" t="s">
        <v>19</v>
      </c>
      <c r="C789" s="3" t="s">
        <v>93</v>
      </c>
      <c r="D789" s="3" t="s">
        <v>93</v>
      </c>
    </row>
    <row r="790" spans="1:5" ht="38.25" hidden="1" customHeight="1" x14ac:dyDescent="0.3">
      <c r="A790" s="6" t="s">
        <v>460</v>
      </c>
      <c r="B790" s="27"/>
      <c r="C790" s="3" t="s">
        <v>86</v>
      </c>
      <c r="D790" s="3" t="s">
        <v>461</v>
      </c>
    </row>
    <row r="791" spans="1:5" ht="16.5" hidden="1" customHeight="1" thickBot="1" x14ac:dyDescent="0.35">
      <c r="A791" s="6">
        <v>1</v>
      </c>
      <c r="B791" s="17">
        <v>0</v>
      </c>
      <c r="C791" s="2">
        <v>17445</v>
      </c>
      <c r="D791" s="2">
        <v>7882221.5</v>
      </c>
    </row>
    <row r="792" spans="1:5" ht="16.5" hidden="1" customHeight="1" x14ac:dyDescent="0.3">
      <c r="A792" s="6">
        <v>2</v>
      </c>
      <c r="B792" s="22">
        <v>1</v>
      </c>
      <c r="C792" s="2">
        <v>313</v>
      </c>
      <c r="D792" s="2">
        <v>105574.39999999999</v>
      </c>
    </row>
    <row r="793" spans="1:5" ht="16.5" hidden="1" customHeight="1" x14ac:dyDescent="0.3"/>
    <row r="794" spans="1:5" ht="33" hidden="1" customHeight="1" x14ac:dyDescent="0.3">
      <c r="A794" s="1" t="s">
        <v>513</v>
      </c>
    </row>
    <row r="795" spans="1:5" ht="17.25" hidden="1" customHeight="1" thickBot="1" x14ac:dyDescent="0.3"/>
    <row r="796" spans="1:5" ht="16.5" hidden="1" customHeight="1" x14ac:dyDescent="0.3">
      <c r="A796" s="24" t="s">
        <v>462</v>
      </c>
      <c r="B796" s="26"/>
      <c r="C796" s="26"/>
      <c r="D796" s="26"/>
      <c r="E796" s="26"/>
    </row>
    <row r="797" spans="1:5" ht="16.5" hidden="1" customHeight="1" x14ac:dyDescent="0.3">
      <c r="A797" s="6" t="s">
        <v>463</v>
      </c>
      <c r="B797" s="3" t="s">
        <v>460</v>
      </c>
      <c r="C797" s="27" t="s">
        <v>464</v>
      </c>
      <c r="D797" s="27"/>
      <c r="E797" s="27"/>
    </row>
    <row r="798" spans="1:5" ht="16.5" hidden="1" customHeight="1" thickBot="1" x14ac:dyDescent="0.35">
      <c r="A798" s="13" t="s">
        <v>22</v>
      </c>
      <c r="B798" s="12">
        <v>1</v>
      </c>
      <c r="C798" s="2">
        <v>0</v>
      </c>
      <c r="D798" s="2">
        <v>0</v>
      </c>
      <c r="E798" s="2">
        <v>0</v>
      </c>
    </row>
    <row r="799" spans="1:5" ht="16.5" hidden="1" customHeight="1" thickBot="1" x14ac:dyDescent="0.35">
      <c r="A799" s="13"/>
      <c r="B799" s="12">
        <v>2</v>
      </c>
      <c r="C799" s="2">
        <v>1</v>
      </c>
      <c r="D799" s="2">
        <v>0</v>
      </c>
      <c r="E799" s="2">
        <v>0</v>
      </c>
    </row>
    <row r="800" spans="1:5" ht="16.5" hidden="1" customHeight="1" thickBot="1" x14ac:dyDescent="0.35">
      <c r="A800" s="13"/>
      <c r="B800" s="12">
        <v>3</v>
      </c>
      <c r="C800" s="2">
        <v>0</v>
      </c>
      <c r="D800" s="2">
        <v>1</v>
      </c>
      <c r="E800" s="2">
        <v>0</v>
      </c>
    </row>
    <row r="801" spans="1:5" ht="16.5" hidden="1" customHeight="1" x14ac:dyDescent="0.3">
      <c r="A801" s="14"/>
      <c r="B801" s="15">
        <v>4</v>
      </c>
      <c r="C801" s="2">
        <v>0</v>
      </c>
      <c r="D801" s="2">
        <v>0</v>
      </c>
      <c r="E801" s="2">
        <v>1</v>
      </c>
    </row>
    <row r="802" spans="1:5" ht="17.25" hidden="1" customHeight="1" thickBot="1" x14ac:dyDescent="0.3"/>
    <row r="803" spans="1:5" ht="17.25" hidden="1" customHeight="1" x14ac:dyDescent="0.3">
      <c r="A803" s="4" t="s">
        <v>465</v>
      </c>
    </row>
    <row r="804" spans="1:5" ht="17.25" hidden="1" customHeight="1" x14ac:dyDescent="0.3">
      <c r="A804" s="23" t="s">
        <v>466</v>
      </c>
    </row>
    <row r="805" spans="1:5" ht="16.5" hidden="1" customHeight="1" thickBot="1" x14ac:dyDescent="0.3"/>
    <row r="806" spans="1:5" ht="16.5" hidden="1" customHeight="1" x14ac:dyDescent="0.3">
      <c r="A806" s="24" t="s">
        <v>467</v>
      </c>
      <c r="B806" s="26"/>
      <c r="C806" s="26"/>
    </row>
    <row r="807" spans="1:5" ht="66" hidden="1" customHeight="1" x14ac:dyDescent="0.3">
      <c r="A807" s="6" t="s">
        <v>468</v>
      </c>
      <c r="B807" s="3" t="s">
        <v>469</v>
      </c>
      <c r="C807" s="3" t="s">
        <v>470</v>
      </c>
    </row>
    <row r="808" spans="1:5" ht="99" hidden="1" customHeight="1" thickBot="1" x14ac:dyDescent="0.35">
      <c r="A808" s="13" t="s">
        <v>471</v>
      </c>
      <c r="B808" s="2">
        <v>1123232.3</v>
      </c>
      <c r="C808" s="2">
        <v>1117779.3999999999</v>
      </c>
    </row>
    <row r="809" spans="1:5" ht="16.5" hidden="1" customHeight="1" thickBot="1" x14ac:dyDescent="0.35">
      <c r="A809" s="13" t="s">
        <v>472</v>
      </c>
      <c r="B809" s="2">
        <v>1123246.1000000001</v>
      </c>
      <c r="C809" s="2">
        <v>1117835</v>
      </c>
    </row>
    <row r="810" spans="1:5" ht="16.5" hidden="1" customHeight="1" x14ac:dyDescent="0.3">
      <c r="A810" s="14" t="s">
        <v>473</v>
      </c>
      <c r="B810" s="2" t="s">
        <v>626</v>
      </c>
      <c r="C810" s="2">
        <v>1117771.3999999999</v>
      </c>
    </row>
    <row r="811" spans="1:5" ht="66" hidden="1" customHeight="1" thickBot="1" x14ac:dyDescent="0.3"/>
    <row r="812" spans="1:5" ht="17.25" hidden="1" customHeight="1" x14ac:dyDescent="0.3">
      <c r="A812" s="24" t="s">
        <v>474</v>
      </c>
      <c r="B812" s="26"/>
      <c r="C812" s="26"/>
      <c r="D812" s="26"/>
      <c r="E812" s="26"/>
    </row>
    <row r="813" spans="1:5" ht="17.25" hidden="1" customHeight="1" x14ac:dyDescent="0.3">
      <c r="A813" s="6" t="s">
        <v>475</v>
      </c>
      <c r="B813" s="3" t="s">
        <v>476</v>
      </c>
      <c r="C813" s="3" t="s">
        <v>477</v>
      </c>
      <c r="D813" s="3" t="s">
        <v>478</v>
      </c>
      <c r="E813" s="3" t="s">
        <v>479</v>
      </c>
    </row>
    <row r="814" spans="1:5" ht="16.5" hidden="1" customHeight="1" x14ac:dyDescent="0.3">
      <c r="A814" s="25" t="s">
        <v>516</v>
      </c>
      <c r="B814" s="27"/>
      <c r="C814" s="27"/>
      <c r="D814" s="27"/>
      <c r="E814" s="27"/>
    </row>
    <row r="815" spans="1:5" ht="16.5" hidden="1" customHeight="1" thickBot="1" x14ac:dyDescent="0.35">
      <c r="A815" s="13" t="s">
        <v>481</v>
      </c>
      <c r="B815" s="2">
        <v>4.0599999999999996</v>
      </c>
      <c r="C815" s="2">
        <v>2.9975999999999998</v>
      </c>
      <c r="D815" s="2">
        <v>8108.62</v>
      </c>
      <c r="E815" s="2">
        <v>6.8999999999999999E-3</v>
      </c>
    </row>
    <row r="816" spans="1:5" ht="16.5" hidden="1" customHeight="1" thickBot="1" x14ac:dyDescent="0.35">
      <c r="A816" s="13" t="s">
        <v>483</v>
      </c>
      <c r="B816" s="2">
        <v>4.54</v>
      </c>
      <c r="C816" s="2">
        <v>3</v>
      </c>
      <c r="D816" s="2">
        <v>2703</v>
      </c>
      <c r="E816" s="2">
        <v>3.5000000000000001E-3</v>
      </c>
    </row>
    <row r="817" spans="1:8" ht="16.5" hidden="1" customHeight="1" x14ac:dyDescent="0.3">
      <c r="A817" s="14" t="s">
        <v>484</v>
      </c>
      <c r="B817" s="2">
        <v>3.77</v>
      </c>
      <c r="C817" s="2">
        <v>3</v>
      </c>
      <c r="D817" s="2">
        <v>2703</v>
      </c>
      <c r="E817" s="2">
        <v>1.0200000000000001E-2</v>
      </c>
    </row>
    <row r="818" spans="1:8" ht="33" hidden="1" customHeight="1" thickBot="1" x14ac:dyDescent="0.3"/>
    <row r="819" spans="1:8" ht="26.25" hidden="1" customHeight="1" x14ac:dyDescent="0.3">
      <c r="A819" s="24" t="s">
        <v>485</v>
      </c>
      <c r="B819" s="26"/>
      <c r="C819" s="26"/>
      <c r="D819" s="26"/>
      <c r="E819" s="26"/>
    </row>
    <row r="820" spans="1:8" ht="17.25" hidden="1" customHeight="1" x14ac:dyDescent="0.3">
      <c r="A820" s="6" t="s">
        <v>486</v>
      </c>
      <c r="B820" s="3" t="s">
        <v>476</v>
      </c>
      <c r="C820" s="3" t="s">
        <v>477</v>
      </c>
      <c r="D820" s="3" t="s">
        <v>478</v>
      </c>
      <c r="E820" s="3" t="s">
        <v>479</v>
      </c>
    </row>
    <row r="821" spans="1:8" ht="16.5" hidden="1" customHeight="1" x14ac:dyDescent="0.3">
      <c r="A821" s="14" t="s">
        <v>22</v>
      </c>
      <c r="B821" s="2">
        <v>3.77</v>
      </c>
      <c r="C821" s="2">
        <v>3</v>
      </c>
      <c r="D821" s="2">
        <v>2703</v>
      </c>
      <c r="E821" s="2">
        <v>1.0200000000000001E-2</v>
      </c>
    </row>
    <row r="822" spans="1:8" ht="16.5" hidden="1" customHeight="1" thickBot="1" x14ac:dyDescent="0.3"/>
    <row r="823" spans="1:8" ht="16.5" hidden="1" customHeight="1" x14ac:dyDescent="0.3">
      <c r="A823" s="24" t="s">
        <v>487</v>
      </c>
      <c r="B823" s="26"/>
      <c r="C823" s="26"/>
      <c r="D823" s="26"/>
      <c r="E823" s="26"/>
      <c r="F823" s="26"/>
    </row>
    <row r="824" spans="1:8" ht="16.5" hidden="1" customHeight="1" x14ac:dyDescent="0.3">
      <c r="A824" s="25" t="s">
        <v>488</v>
      </c>
      <c r="B824" s="27"/>
      <c r="C824" s="27" t="s">
        <v>489</v>
      </c>
      <c r="D824" s="3" t="s">
        <v>490</v>
      </c>
      <c r="E824" s="27" t="s">
        <v>492</v>
      </c>
      <c r="F824" s="27" t="s">
        <v>493</v>
      </c>
    </row>
    <row r="825" spans="1:8" ht="16.5" hidden="1" customHeight="1" x14ac:dyDescent="0.3">
      <c r="A825" s="25"/>
      <c r="B825" s="27"/>
      <c r="C825" s="27"/>
      <c r="D825" s="3" t="s">
        <v>491</v>
      </c>
      <c r="E825" s="27"/>
      <c r="F825" s="27"/>
    </row>
    <row r="826" spans="1:8" ht="16.5" hidden="1" customHeight="1" x14ac:dyDescent="0.3">
      <c r="A826" s="25" t="s">
        <v>548</v>
      </c>
      <c r="B826" s="27"/>
      <c r="C826" s="27"/>
      <c r="D826" s="27"/>
      <c r="E826" s="27"/>
      <c r="F826" s="27"/>
    </row>
    <row r="827" spans="1:8" ht="16.5" hidden="1" customHeight="1" thickBot="1" x14ac:dyDescent="0.35">
      <c r="A827" s="13" t="s">
        <v>495</v>
      </c>
      <c r="B827" s="12"/>
      <c r="C827" s="16">
        <v>-4.7210999999999999</v>
      </c>
      <c r="D827" s="2">
        <v>0.17710000000000001</v>
      </c>
      <c r="E827" s="16">
        <v>-26.66</v>
      </c>
      <c r="F827" s="2" t="s">
        <v>482</v>
      </c>
    </row>
    <row r="828" spans="1:8" ht="16.5" hidden="1" customHeight="1" thickBot="1" x14ac:dyDescent="0.35">
      <c r="A828" s="13" t="s">
        <v>22</v>
      </c>
      <c r="B828" s="12">
        <v>2</v>
      </c>
      <c r="C828" s="2">
        <v>0.23499999999999999</v>
      </c>
      <c r="D828" s="2">
        <v>0.2248</v>
      </c>
      <c r="E828" s="2">
        <v>1.05</v>
      </c>
      <c r="F828" s="2">
        <v>0.2959</v>
      </c>
    </row>
    <row r="829" spans="1:8" ht="16.5" hidden="1" customHeight="1" thickBot="1" x14ac:dyDescent="0.35">
      <c r="A829" s="13" t="s">
        <v>22</v>
      </c>
      <c r="B829" s="12">
        <v>3</v>
      </c>
      <c r="C829" s="2">
        <v>0.58330000000000004</v>
      </c>
      <c r="D829" s="2">
        <v>0.2175</v>
      </c>
      <c r="E829" s="2">
        <v>2.68</v>
      </c>
      <c r="F829" s="2">
        <v>7.4000000000000003E-3</v>
      </c>
    </row>
    <row r="830" spans="1:8" ht="16.5" hidden="1" customHeight="1" x14ac:dyDescent="0.3">
      <c r="A830" s="14" t="s">
        <v>22</v>
      </c>
      <c r="B830" s="15">
        <v>4</v>
      </c>
      <c r="C830" s="2">
        <v>0.58909999999999996</v>
      </c>
      <c r="D830" s="2">
        <v>0.20949999999999999</v>
      </c>
      <c r="E830" s="2">
        <v>2.81</v>
      </c>
      <c r="F830" s="2">
        <v>5.0000000000000001E-3</v>
      </c>
    </row>
    <row r="831" spans="1:8" ht="17.25" hidden="1" customHeight="1" thickBot="1" x14ac:dyDescent="0.3"/>
    <row r="832" spans="1:8" ht="17.25" hidden="1" customHeight="1" x14ac:dyDescent="0.3">
      <c r="A832" s="24" t="s">
        <v>496</v>
      </c>
      <c r="B832" s="26"/>
      <c r="C832" s="26"/>
      <c r="D832" s="26"/>
      <c r="H832">
        <f>F832</f>
        <v>0</v>
      </c>
    </row>
    <row r="833" spans="1:9" ht="17.25" hidden="1" customHeight="1" x14ac:dyDescent="0.3">
      <c r="A833" s="6" t="s">
        <v>486</v>
      </c>
      <c r="B833" s="3" t="s">
        <v>497</v>
      </c>
      <c r="C833" s="27" t="s">
        <v>91</v>
      </c>
      <c r="D833" s="27"/>
      <c r="H833">
        <f t="shared" ref="H833:H834" si="27">F833</f>
        <v>0</v>
      </c>
    </row>
    <row r="834" spans="1:9" ht="16.5" hidden="1" customHeight="1" x14ac:dyDescent="0.3">
      <c r="A834" s="25" t="s">
        <v>549</v>
      </c>
      <c r="B834" s="27"/>
      <c r="C834" s="27"/>
      <c r="D834" s="27"/>
      <c r="H834">
        <f t="shared" si="27"/>
        <v>0</v>
      </c>
    </row>
    <row r="835" spans="1:9" ht="16.5" hidden="1" customHeight="1" thickBot="1" x14ac:dyDescent="0.35">
      <c r="A835" s="13" t="s">
        <v>499</v>
      </c>
      <c r="B835" s="2">
        <v>1.2649999999999999</v>
      </c>
      <c r="C835" s="2">
        <v>0.81399999999999995</v>
      </c>
      <c r="D835" s="2">
        <v>1.966</v>
      </c>
    </row>
    <row r="836" spans="1:9" ht="16.5" hidden="1" customHeight="1" thickBot="1" x14ac:dyDescent="0.35">
      <c r="A836" s="13" t="s">
        <v>500</v>
      </c>
      <c r="B836" s="2">
        <v>1.792</v>
      </c>
      <c r="C836" s="2">
        <v>1.17</v>
      </c>
      <c r="D836" s="2">
        <v>2.7450000000000001</v>
      </c>
    </row>
    <row r="837" spans="1:9" ht="33" hidden="1" customHeight="1" thickBot="1" x14ac:dyDescent="0.35">
      <c r="A837" s="14" t="s">
        <v>501</v>
      </c>
      <c r="B837" s="2">
        <v>1.802</v>
      </c>
      <c r="C837" s="2">
        <v>1.1950000000000001</v>
      </c>
      <c r="D837" s="2">
        <v>2.718</v>
      </c>
    </row>
    <row r="838" spans="1:9" ht="49.5" hidden="1" customHeight="1" thickBot="1" x14ac:dyDescent="0.3"/>
    <row r="839" spans="1:9" ht="33" customHeight="1" x14ac:dyDescent="0.3">
      <c r="A839" s="24" t="s">
        <v>502</v>
      </c>
      <c r="B839" s="26"/>
      <c r="C839" s="26"/>
      <c r="D839" s="26"/>
      <c r="H839" s="8" t="str">
        <f t="shared" ref="H839:H841" si="28">TEXT(B839,"0.00")&amp;" ("&amp;TEXT(C839,"0.00")&amp;" to "&amp;TEXT(D839,"0.00")&amp;")"</f>
        <v>0.00 (0.00 to 0.00)</v>
      </c>
      <c r="I839">
        <f t="shared" ref="I839:I841" si="29">F832</f>
        <v>0</v>
      </c>
    </row>
    <row r="840" spans="1:9" ht="26.25" customHeight="1" thickBot="1" x14ac:dyDescent="0.35">
      <c r="A840" s="13" t="s">
        <v>503</v>
      </c>
      <c r="B840" s="2">
        <v>33.1</v>
      </c>
      <c r="C840" s="12" t="s">
        <v>504</v>
      </c>
      <c r="D840" s="2">
        <v>9.0999999999999998E-2</v>
      </c>
      <c r="H840" s="8" t="str">
        <f t="shared" si="28"/>
        <v>33.10 (Somers' D to 0.09)</v>
      </c>
      <c r="I840">
        <f t="shared" si="29"/>
        <v>0</v>
      </c>
    </row>
    <row r="841" spans="1:9" ht="25.5" customHeight="1" thickBot="1" x14ac:dyDescent="0.35">
      <c r="A841" s="13" t="s">
        <v>505</v>
      </c>
      <c r="B841" s="2">
        <v>24</v>
      </c>
      <c r="C841" s="12" t="s">
        <v>506</v>
      </c>
      <c r="D841" s="2">
        <v>0.159</v>
      </c>
      <c r="H841" s="8" t="str">
        <f t="shared" si="28"/>
        <v>24.00 (Gamma to 0.16)</v>
      </c>
      <c r="I841">
        <f t="shared" si="29"/>
        <v>0</v>
      </c>
    </row>
    <row r="842" spans="1:9" ht="16.5" hidden="1" customHeight="1" thickBot="1" x14ac:dyDescent="0.35">
      <c r="A842" s="13" t="s">
        <v>507</v>
      </c>
      <c r="B842" s="2">
        <v>42.9</v>
      </c>
      <c r="C842" s="12" t="s">
        <v>508</v>
      </c>
      <c r="D842" s="2">
        <v>3.0000000000000001E-3</v>
      </c>
    </row>
    <row r="843" spans="1:9" ht="33" hidden="1" customHeight="1" x14ac:dyDescent="0.3">
      <c r="A843" s="14" t="s">
        <v>509</v>
      </c>
      <c r="B843" s="2">
        <v>5460285</v>
      </c>
      <c r="C843" s="15" t="s">
        <v>510</v>
      </c>
      <c r="D843" s="2">
        <v>0.54500000000000004</v>
      </c>
    </row>
    <row r="844" spans="1:9" ht="39" hidden="1" customHeight="1" x14ac:dyDescent="0.3"/>
    <row r="845" spans="1:9" ht="26.25" hidden="1" customHeight="1" x14ac:dyDescent="0.3"/>
    <row r="846" spans="1:9" ht="26.25" hidden="1" customHeight="1" x14ac:dyDescent="0.3"/>
    <row r="847" spans="1:9" ht="16.5" hidden="1" customHeight="1" x14ac:dyDescent="0.3">
      <c r="A847" s="1" t="s">
        <v>436</v>
      </c>
    </row>
    <row r="848" spans="1:9" ht="16.5" hidden="1" customHeight="1" x14ac:dyDescent="0.3"/>
    <row r="849" spans="1:2" ht="16.5" hidden="1" customHeight="1" x14ac:dyDescent="0.3">
      <c r="A849" s="1" t="s">
        <v>404</v>
      </c>
    </row>
    <row r="850" spans="1:2" ht="16.5" hidden="1" customHeight="1" thickBot="1" x14ac:dyDescent="0.3"/>
    <row r="851" spans="1:2" ht="16.5" hidden="1" customHeight="1" x14ac:dyDescent="0.3">
      <c r="A851" s="24" t="s">
        <v>437</v>
      </c>
      <c r="B851" s="26"/>
    </row>
    <row r="852" spans="1:2" ht="16.5" hidden="1" customHeight="1" thickBot="1" x14ac:dyDescent="0.35">
      <c r="A852" s="13" t="s">
        <v>438</v>
      </c>
      <c r="B852" s="18" t="s">
        <v>439</v>
      </c>
    </row>
    <row r="853" spans="1:2" ht="16.5" hidden="1" customHeight="1" thickBot="1" x14ac:dyDescent="0.35">
      <c r="A853" s="13" t="s">
        <v>440</v>
      </c>
      <c r="B853" s="18" t="s">
        <v>19</v>
      </c>
    </row>
    <row r="854" spans="1:2" ht="16.5" hidden="1" customHeight="1" thickBot="1" x14ac:dyDescent="0.35">
      <c r="A854" s="13" t="s">
        <v>441</v>
      </c>
      <c r="B854" s="18">
        <v>2</v>
      </c>
    </row>
    <row r="855" spans="1:2" ht="16.5" hidden="1" customHeight="1" thickBot="1" x14ac:dyDescent="0.35">
      <c r="A855" s="13" t="s">
        <v>442</v>
      </c>
      <c r="B855" s="18" t="s">
        <v>443</v>
      </c>
    </row>
    <row r="856" spans="1:2" ht="26.25" hidden="1" customHeight="1" thickBot="1" x14ac:dyDescent="0.35">
      <c r="A856" s="13" t="s">
        <v>76</v>
      </c>
      <c r="B856" s="18">
        <v>183</v>
      </c>
    </row>
    <row r="857" spans="1:2" ht="26.25" hidden="1" customHeight="1" thickBot="1" x14ac:dyDescent="0.35">
      <c r="A857" s="13" t="s">
        <v>444</v>
      </c>
      <c r="B857" s="18" t="s">
        <v>445</v>
      </c>
    </row>
    <row r="858" spans="1:2" ht="39" hidden="1" customHeight="1" thickBot="1" x14ac:dyDescent="0.35">
      <c r="A858" s="13" t="s">
        <v>77</v>
      </c>
      <c r="B858" s="18">
        <v>2925</v>
      </c>
    </row>
    <row r="859" spans="1:2" ht="26.25" hidden="1" customHeight="1" thickBot="1" x14ac:dyDescent="0.35">
      <c r="A859" s="13" t="s">
        <v>446</v>
      </c>
      <c r="B859" s="18" t="s">
        <v>447</v>
      </c>
    </row>
    <row r="860" spans="1:2" ht="26.25" hidden="1" customHeight="1" thickBot="1" x14ac:dyDescent="0.35">
      <c r="A860" s="13" t="s">
        <v>448</v>
      </c>
      <c r="B860" s="18" t="s">
        <v>449</v>
      </c>
    </row>
    <row r="861" spans="1:2" ht="26.25" hidden="1" customHeight="1" thickBot="1" x14ac:dyDescent="0.35">
      <c r="A861" s="13" t="s">
        <v>450</v>
      </c>
      <c r="B861" s="18" t="s">
        <v>451</v>
      </c>
    </row>
    <row r="862" spans="1:2" ht="26.25" hidden="1" customHeight="1" x14ac:dyDescent="0.3">
      <c r="A862" s="14" t="s">
        <v>452</v>
      </c>
      <c r="B862" s="19" t="s">
        <v>453</v>
      </c>
    </row>
    <row r="863" spans="1:2" ht="26.25" hidden="1" customHeight="1" thickBot="1" x14ac:dyDescent="0.3"/>
    <row r="864" spans="1:2" ht="26.25" hidden="1" customHeight="1" x14ac:dyDescent="0.3">
      <c r="A864" s="24" t="s">
        <v>80</v>
      </c>
      <c r="B864" s="26"/>
    </row>
    <row r="865" spans="1:4" ht="39" hidden="1" customHeight="1" thickBot="1" x14ac:dyDescent="0.35">
      <c r="A865" s="13" t="s">
        <v>81</v>
      </c>
      <c r="B865" s="2" t="s">
        <v>82</v>
      </c>
    </row>
    <row r="866" spans="1:4" ht="38.25" hidden="1" customHeight="1" x14ac:dyDescent="0.3">
      <c r="A866" s="14" t="s">
        <v>452</v>
      </c>
      <c r="B866" s="2" t="s">
        <v>453</v>
      </c>
    </row>
    <row r="867" spans="1:4" ht="16.5" hidden="1" customHeight="1" thickBot="1" x14ac:dyDescent="0.3"/>
    <row r="868" spans="1:4" ht="33" hidden="1" customHeight="1" thickBot="1" x14ac:dyDescent="0.35">
      <c r="A868" s="20" t="s">
        <v>454</v>
      </c>
      <c r="B868" s="21">
        <v>33741</v>
      </c>
    </row>
    <row r="869" spans="1:4" ht="33.75" hidden="1" customHeight="1" thickBot="1" x14ac:dyDescent="0.35">
      <c r="A869" s="13" t="s">
        <v>455</v>
      </c>
      <c r="B869" s="2">
        <v>33741</v>
      </c>
    </row>
    <row r="870" spans="1:4" ht="66" hidden="1" customHeight="1" thickBot="1" x14ac:dyDescent="0.35">
      <c r="A870" s="13" t="s">
        <v>456</v>
      </c>
      <c r="B870" s="2">
        <v>16802927</v>
      </c>
    </row>
    <row r="871" spans="1:4" ht="16.5" hidden="1" customHeight="1" x14ac:dyDescent="0.3">
      <c r="A871" s="14" t="s">
        <v>457</v>
      </c>
      <c r="B871" s="2">
        <v>16802927</v>
      </c>
    </row>
    <row r="872" spans="1:4" ht="39" hidden="1" customHeight="1" thickBot="1" x14ac:dyDescent="0.3"/>
    <row r="873" spans="1:4" ht="39" hidden="1" customHeight="1" x14ac:dyDescent="0.3">
      <c r="A873" s="24" t="s">
        <v>458</v>
      </c>
      <c r="B873" s="26"/>
      <c r="C873" s="26"/>
      <c r="D873" s="26"/>
    </row>
    <row r="874" spans="1:4" ht="39" hidden="1" customHeight="1" x14ac:dyDescent="0.3">
      <c r="A874" s="6" t="s">
        <v>459</v>
      </c>
      <c r="B874" s="27" t="s">
        <v>19</v>
      </c>
      <c r="C874" s="3" t="s">
        <v>93</v>
      </c>
      <c r="D874" s="3" t="s">
        <v>93</v>
      </c>
    </row>
    <row r="875" spans="1:4" ht="38.25" hidden="1" customHeight="1" x14ac:dyDescent="0.3">
      <c r="A875" s="6" t="s">
        <v>460</v>
      </c>
      <c r="B875" s="27"/>
      <c r="C875" s="3" t="s">
        <v>86</v>
      </c>
      <c r="D875" s="3" t="s">
        <v>461</v>
      </c>
    </row>
    <row r="876" spans="1:4" ht="16.5" hidden="1" customHeight="1" thickBot="1" x14ac:dyDescent="0.35">
      <c r="A876" s="6">
        <v>1</v>
      </c>
      <c r="B876" s="17">
        <v>0</v>
      </c>
      <c r="C876" s="2">
        <v>33512</v>
      </c>
      <c r="D876" s="2">
        <v>16720813</v>
      </c>
    </row>
    <row r="877" spans="1:4" ht="16.5" hidden="1" customHeight="1" x14ac:dyDescent="0.3">
      <c r="A877" s="6">
        <v>2</v>
      </c>
      <c r="B877" s="22">
        <v>1</v>
      </c>
      <c r="C877" s="2">
        <v>229</v>
      </c>
      <c r="D877" s="2">
        <v>82114</v>
      </c>
    </row>
    <row r="878" spans="1:4" ht="16.5" hidden="1" customHeight="1" x14ac:dyDescent="0.3"/>
    <row r="879" spans="1:4" ht="33" hidden="1" customHeight="1" x14ac:dyDescent="0.3">
      <c r="A879" s="1" t="s">
        <v>513</v>
      </c>
    </row>
    <row r="880" spans="1:4" ht="17.25" hidden="1" customHeight="1" thickBot="1" x14ac:dyDescent="0.3"/>
    <row r="881" spans="1:5" ht="16.5" hidden="1" customHeight="1" x14ac:dyDescent="0.3">
      <c r="A881" s="24" t="s">
        <v>462</v>
      </c>
      <c r="B881" s="26"/>
      <c r="C881" s="26"/>
      <c r="D881" s="26"/>
      <c r="E881" s="26"/>
    </row>
    <row r="882" spans="1:5" ht="16.5" hidden="1" customHeight="1" x14ac:dyDescent="0.3">
      <c r="A882" s="6" t="s">
        <v>463</v>
      </c>
      <c r="B882" s="3" t="s">
        <v>460</v>
      </c>
      <c r="C882" s="27" t="s">
        <v>464</v>
      </c>
      <c r="D882" s="27"/>
      <c r="E882" s="27"/>
    </row>
    <row r="883" spans="1:5" ht="16.5" hidden="1" customHeight="1" thickBot="1" x14ac:dyDescent="0.35">
      <c r="A883" s="13" t="s">
        <v>22</v>
      </c>
      <c r="B883" s="12">
        <v>1</v>
      </c>
      <c r="C883" s="2">
        <v>0</v>
      </c>
      <c r="D883" s="2">
        <v>0</v>
      </c>
      <c r="E883" s="2">
        <v>0</v>
      </c>
    </row>
    <row r="884" spans="1:5" ht="16.5" hidden="1" customHeight="1" thickBot="1" x14ac:dyDescent="0.35">
      <c r="A884" s="13"/>
      <c r="B884" s="12">
        <v>2</v>
      </c>
      <c r="C884" s="2">
        <v>1</v>
      </c>
      <c r="D884" s="2">
        <v>0</v>
      </c>
      <c r="E884" s="2">
        <v>0</v>
      </c>
    </row>
    <row r="885" spans="1:5" ht="16.5" hidden="1" customHeight="1" thickBot="1" x14ac:dyDescent="0.35">
      <c r="A885" s="13"/>
      <c r="B885" s="12">
        <v>3</v>
      </c>
      <c r="C885" s="2">
        <v>0</v>
      </c>
      <c r="D885" s="2">
        <v>1</v>
      </c>
      <c r="E885" s="2">
        <v>0</v>
      </c>
    </row>
    <row r="886" spans="1:5" ht="16.5" hidden="1" customHeight="1" x14ac:dyDescent="0.3">
      <c r="A886" s="14"/>
      <c r="B886" s="15">
        <v>4</v>
      </c>
      <c r="C886" s="2">
        <v>0</v>
      </c>
      <c r="D886" s="2">
        <v>0</v>
      </c>
      <c r="E886" s="2">
        <v>1</v>
      </c>
    </row>
    <row r="887" spans="1:5" ht="17.25" hidden="1" customHeight="1" thickBot="1" x14ac:dyDescent="0.3"/>
    <row r="888" spans="1:5" ht="17.25" hidden="1" customHeight="1" x14ac:dyDescent="0.3">
      <c r="A888" s="4" t="s">
        <v>465</v>
      </c>
    </row>
    <row r="889" spans="1:5" ht="17.25" hidden="1" customHeight="1" x14ac:dyDescent="0.3">
      <c r="A889" s="23" t="s">
        <v>466</v>
      </c>
    </row>
    <row r="890" spans="1:5" ht="16.5" hidden="1" customHeight="1" thickBot="1" x14ac:dyDescent="0.3"/>
    <row r="891" spans="1:5" ht="16.5" hidden="1" customHeight="1" x14ac:dyDescent="0.3">
      <c r="A891" s="24" t="s">
        <v>467</v>
      </c>
      <c r="B891" s="26"/>
      <c r="C891" s="26"/>
    </row>
    <row r="892" spans="1:5" ht="66" hidden="1" customHeight="1" x14ac:dyDescent="0.3">
      <c r="A892" s="6" t="s">
        <v>468</v>
      </c>
      <c r="B892" s="3" t="s">
        <v>469</v>
      </c>
      <c r="C892" s="3" t="s">
        <v>470</v>
      </c>
    </row>
    <row r="893" spans="1:5" ht="99" hidden="1" customHeight="1" thickBot="1" x14ac:dyDescent="0.35">
      <c r="A893" s="13" t="s">
        <v>471</v>
      </c>
      <c r="B893" s="2">
        <v>1037721.2</v>
      </c>
      <c r="C893" s="2">
        <v>1025093.4</v>
      </c>
    </row>
    <row r="894" spans="1:5" ht="16.5" hidden="1" customHeight="1" thickBot="1" x14ac:dyDescent="0.35">
      <c r="A894" s="13" t="s">
        <v>472</v>
      </c>
      <c r="B894" s="2">
        <v>1037735.8</v>
      </c>
      <c r="C894" s="2">
        <v>1025151.9</v>
      </c>
    </row>
    <row r="895" spans="1:5" ht="16.5" hidden="1" customHeight="1" x14ac:dyDescent="0.3">
      <c r="A895" s="14" t="s">
        <v>473</v>
      </c>
      <c r="B895" s="2" t="s">
        <v>627</v>
      </c>
      <c r="C895" s="2">
        <v>1025085.4</v>
      </c>
    </row>
    <row r="896" spans="1:5" ht="66" hidden="1" customHeight="1" thickBot="1" x14ac:dyDescent="0.3"/>
    <row r="897" spans="1:6" ht="17.25" hidden="1" customHeight="1" x14ac:dyDescent="0.3">
      <c r="A897" s="24" t="s">
        <v>474</v>
      </c>
      <c r="B897" s="26"/>
      <c r="C897" s="26"/>
      <c r="D897" s="26"/>
      <c r="E897" s="26"/>
    </row>
    <row r="898" spans="1:6" ht="17.25" hidden="1" customHeight="1" x14ac:dyDescent="0.3">
      <c r="A898" s="6" t="s">
        <v>475</v>
      </c>
      <c r="B898" s="3" t="s">
        <v>476</v>
      </c>
      <c r="C898" s="3" t="s">
        <v>477</v>
      </c>
      <c r="D898" s="3" t="s">
        <v>478</v>
      </c>
      <c r="E898" s="3" t="s">
        <v>479</v>
      </c>
    </row>
    <row r="899" spans="1:6" ht="16.5" hidden="1" customHeight="1" x14ac:dyDescent="0.3">
      <c r="A899" s="25" t="s">
        <v>605</v>
      </c>
      <c r="B899" s="27"/>
      <c r="C899" s="27"/>
      <c r="D899" s="27"/>
      <c r="E899" s="27"/>
    </row>
    <row r="900" spans="1:6" ht="16.5" hidden="1" customHeight="1" thickBot="1" x14ac:dyDescent="0.35">
      <c r="A900" s="13" t="s">
        <v>481</v>
      </c>
      <c r="B900" s="2">
        <v>8.65</v>
      </c>
      <c r="C900" s="2">
        <v>2.9935999999999998</v>
      </c>
      <c r="D900" s="2">
        <v>8208.41</v>
      </c>
      <c r="E900" s="2" t="s">
        <v>482</v>
      </c>
    </row>
    <row r="901" spans="1:6" ht="16.5" hidden="1" customHeight="1" thickBot="1" x14ac:dyDescent="0.35">
      <c r="A901" s="13" t="s">
        <v>483</v>
      </c>
      <c r="B901" s="2">
        <v>9.89</v>
      </c>
      <c r="C901" s="2">
        <v>3</v>
      </c>
      <c r="D901" s="2">
        <v>2740</v>
      </c>
      <c r="E901" s="2" t="s">
        <v>482</v>
      </c>
    </row>
    <row r="902" spans="1:6" ht="16.5" hidden="1" customHeight="1" x14ac:dyDescent="0.3">
      <c r="A902" s="14" t="s">
        <v>484</v>
      </c>
      <c r="B902" s="2">
        <v>7.07</v>
      </c>
      <c r="C902" s="2">
        <v>3</v>
      </c>
      <c r="D902" s="2">
        <v>2740</v>
      </c>
      <c r="E902" s="2" t="s">
        <v>482</v>
      </c>
    </row>
    <row r="903" spans="1:6" ht="33" hidden="1" customHeight="1" thickBot="1" x14ac:dyDescent="0.3"/>
    <row r="904" spans="1:6" ht="26.25" hidden="1" customHeight="1" x14ac:dyDescent="0.3">
      <c r="A904" s="24" t="s">
        <v>485</v>
      </c>
      <c r="B904" s="26"/>
      <c r="C904" s="26"/>
      <c r="D904" s="26"/>
      <c r="E904" s="26"/>
    </row>
    <row r="905" spans="1:6" ht="17.25" hidden="1" customHeight="1" x14ac:dyDescent="0.3">
      <c r="A905" s="6" t="s">
        <v>486</v>
      </c>
      <c r="B905" s="3" t="s">
        <v>476</v>
      </c>
      <c r="C905" s="3" t="s">
        <v>477</v>
      </c>
      <c r="D905" s="3" t="s">
        <v>478</v>
      </c>
      <c r="E905" s="3" t="s">
        <v>479</v>
      </c>
    </row>
    <row r="906" spans="1:6" ht="16.5" hidden="1" customHeight="1" x14ac:dyDescent="0.3">
      <c r="A906" s="14" t="s">
        <v>22</v>
      </c>
      <c r="B906" s="2">
        <v>7.07</v>
      </c>
      <c r="C906" s="2">
        <v>3</v>
      </c>
      <c r="D906" s="2">
        <v>2740</v>
      </c>
      <c r="E906" s="2" t="s">
        <v>482</v>
      </c>
    </row>
    <row r="907" spans="1:6" ht="16.5" hidden="1" customHeight="1" thickBot="1" x14ac:dyDescent="0.3"/>
    <row r="908" spans="1:6" ht="16.5" hidden="1" customHeight="1" x14ac:dyDescent="0.3">
      <c r="A908" s="24" t="s">
        <v>487</v>
      </c>
      <c r="B908" s="26"/>
      <c r="C908" s="26"/>
      <c r="D908" s="26"/>
      <c r="E908" s="26"/>
      <c r="F908" s="26"/>
    </row>
    <row r="909" spans="1:6" ht="16.5" hidden="1" customHeight="1" x14ac:dyDescent="0.3">
      <c r="A909" s="25" t="s">
        <v>488</v>
      </c>
      <c r="B909" s="27"/>
      <c r="C909" s="27" t="s">
        <v>489</v>
      </c>
      <c r="D909" s="3" t="s">
        <v>490</v>
      </c>
      <c r="E909" s="27" t="s">
        <v>492</v>
      </c>
      <c r="F909" s="27" t="s">
        <v>493</v>
      </c>
    </row>
    <row r="910" spans="1:6" ht="16.5" hidden="1" customHeight="1" x14ac:dyDescent="0.3">
      <c r="A910" s="25"/>
      <c r="B910" s="27"/>
      <c r="C910" s="27"/>
      <c r="D910" s="3" t="s">
        <v>491</v>
      </c>
      <c r="E910" s="27"/>
      <c r="F910" s="27"/>
    </row>
    <row r="911" spans="1:6" ht="16.5" hidden="1" customHeight="1" x14ac:dyDescent="0.3">
      <c r="A911" s="25" t="s">
        <v>551</v>
      </c>
      <c r="B911" s="27"/>
      <c r="C911" s="27"/>
      <c r="D911" s="27"/>
      <c r="E911" s="27"/>
      <c r="F911" s="27"/>
    </row>
    <row r="912" spans="1:6" ht="16.5" hidden="1" customHeight="1" thickBot="1" x14ac:dyDescent="0.35">
      <c r="A912" s="13" t="s">
        <v>495</v>
      </c>
      <c r="B912" s="12"/>
      <c r="C912" s="16">
        <v>-5.9903000000000004</v>
      </c>
      <c r="D912" s="2">
        <v>0.2029</v>
      </c>
      <c r="E912" s="16">
        <v>-29.53</v>
      </c>
      <c r="F912" s="2" t="s">
        <v>482</v>
      </c>
    </row>
    <row r="913" spans="1:9" ht="16.5" hidden="1" customHeight="1" thickBot="1" x14ac:dyDescent="0.35">
      <c r="A913" s="13" t="s">
        <v>22</v>
      </c>
      <c r="B913" s="12">
        <v>2</v>
      </c>
      <c r="C913" s="2">
        <v>0.56200000000000006</v>
      </c>
      <c r="D913" s="2">
        <v>0.25729999999999997</v>
      </c>
      <c r="E913" s="2">
        <v>2.1800000000000002</v>
      </c>
      <c r="F913" s="2">
        <v>2.9000000000000001E-2</v>
      </c>
    </row>
    <row r="914" spans="1:9" ht="16.5" hidden="1" customHeight="1" thickBot="1" x14ac:dyDescent="0.35">
      <c r="A914" s="13" t="s">
        <v>22</v>
      </c>
      <c r="B914" s="12">
        <v>3</v>
      </c>
      <c r="C914" s="2">
        <v>0.90580000000000005</v>
      </c>
      <c r="D914" s="2">
        <v>0.24890000000000001</v>
      </c>
      <c r="E914" s="2">
        <v>3.64</v>
      </c>
      <c r="F914" s="2">
        <v>2.9999999999999997E-4</v>
      </c>
    </row>
    <row r="915" spans="1:9" ht="16.5" hidden="1" customHeight="1" x14ac:dyDescent="0.3">
      <c r="A915" s="14" t="s">
        <v>22</v>
      </c>
      <c r="B915" s="15">
        <v>4</v>
      </c>
      <c r="C915" s="2">
        <v>1.0834999999999999</v>
      </c>
      <c r="D915" s="2">
        <v>0.24829999999999999</v>
      </c>
      <c r="E915" s="2">
        <v>4.3600000000000003</v>
      </c>
      <c r="F915" s="2" t="s">
        <v>482</v>
      </c>
    </row>
    <row r="916" spans="1:9" ht="17.25" hidden="1" customHeight="1" thickBot="1" x14ac:dyDescent="0.3"/>
    <row r="917" spans="1:9" ht="17.25" hidden="1" customHeight="1" x14ac:dyDescent="0.3">
      <c r="A917" s="24" t="s">
        <v>496</v>
      </c>
      <c r="B917" s="26"/>
      <c r="C917" s="26"/>
      <c r="D917" s="26"/>
      <c r="H917">
        <f>F917</f>
        <v>0</v>
      </c>
    </row>
    <row r="918" spans="1:9" ht="17.25" hidden="1" customHeight="1" x14ac:dyDescent="0.3">
      <c r="A918" s="6" t="s">
        <v>486</v>
      </c>
      <c r="B918" s="3" t="s">
        <v>497</v>
      </c>
      <c r="C918" s="27" t="s">
        <v>91</v>
      </c>
      <c r="D918" s="27"/>
      <c r="H918">
        <f t="shared" ref="H918:H919" si="30">F918</f>
        <v>0</v>
      </c>
    </row>
    <row r="919" spans="1:9" ht="16.5" hidden="1" customHeight="1" x14ac:dyDescent="0.3">
      <c r="A919" s="25" t="s">
        <v>552</v>
      </c>
      <c r="B919" s="27"/>
      <c r="C919" s="27"/>
      <c r="D919" s="27"/>
      <c r="H919">
        <f t="shared" si="30"/>
        <v>0</v>
      </c>
    </row>
    <row r="920" spans="1:9" ht="16.5" hidden="1" customHeight="1" thickBot="1" x14ac:dyDescent="0.35">
      <c r="A920" s="13" t="s">
        <v>499</v>
      </c>
      <c r="B920" s="2">
        <v>1.754</v>
      </c>
      <c r="C920" s="2">
        <v>1.0589999999999999</v>
      </c>
      <c r="D920" s="2">
        <v>2.9060000000000001</v>
      </c>
    </row>
    <row r="921" spans="1:9" ht="16.5" hidden="1" customHeight="1" thickBot="1" x14ac:dyDescent="0.35">
      <c r="A921" s="13" t="s">
        <v>500</v>
      </c>
      <c r="B921" s="2">
        <v>2.4740000000000002</v>
      </c>
      <c r="C921" s="2">
        <v>1.5189999999999999</v>
      </c>
      <c r="D921" s="2">
        <v>4.03</v>
      </c>
    </row>
    <row r="922" spans="1:9" ht="33" hidden="1" customHeight="1" thickBot="1" x14ac:dyDescent="0.35">
      <c r="A922" s="14" t="s">
        <v>501</v>
      </c>
      <c r="B922" s="2">
        <v>2.9550000000000001</v>
      </c>
      <c r="C922" s="2">
        <v>1.8160000000000001</v>
      </c>
      <c r="D922" s="2">
        <v>4.8079999999999998</v>
      </c>
    </row>
    <row r="923" spans="1:9" ht="49.5" hidden="1" customHeight="1" thickBot="1" x14ac:dyDescent="0.3"/>
    <row r="924" spans="1:9" ht="33" customHeight="1" x14ac:dyDescent="0.3">
      <c r="A924" s="24" t="s">
        <v>502</v>
      </c>
      <c r="B924" s="26"/>
      <c r="C924" s="26"/>
      <c r="D924" s="26"/>
      <c r="H924" s="8" t="str">
        <f t="shared" ref="H924:H926" si="31">TEXT(B924,"0.00")&amp;" ("&amp;TEXT(C924,"0.00")&amp;" to "&amp;TEXT(D924,"0.00")&amp;")"</f>
        <v>0.00 (0.00 to 0.00)</v>
      </c>
      <c r="I924">
        <f t="shared" ref="I924:I926" si="32">F917</f>
        <v>0</v>
      </c>
    </row>
    <row r="925" spans="1:9" ht="26.25" customHeight="1" thickBot="1" x14ac:dyDescent="0.35">
      <c r="A925" s="13" t="s">
        <v>503</v>
      </c>
      <c r="B925" s="2">
        <v>40.4</v>
      </c>
      <c r="C925" s="12" t="s">
        <v>504</v>
      </c>
      <c r="D925" s="2">
        <v>0.184</v>
      </c>
      <c r="H925" s="8" t="str">
        <f t="shared" si="31"/>
        <v>40.40 (Somers' D to 0.18)</v>
      </c>
      <c r="I925">
        <f t="shared" si="32"/>
        <v>0</v>
      </c>
    </row>
    <row r="926" spans="1:9" ht="25.5" customHeight="1" thickBot="1" x14ac:dyDescent="0.35">
      <c r="A926" s="13" t="s">
        <v>505</v>
      </c>
      <c r="B926" s="2">
        <v>22</v>
      </c>
      <c r="C926" s="12" t="s">
        <v>506</v>
      </c>
      <c r="D926" s="2">
        <v>0.29499999999999998</v>
      </c>
      <c r="H926" s="8" t="str">
        <f t="shared" si="31"/>
        <v>22.00 (Gamma to 0.30)</v>
      </c>
      <c r="I926">
        <f t="shared" si="32"/>
        <v>0</v>
      </c>
    </row>
    <row r="927" spans="1:9" ht="16.5" hidden="1" customHeight="1" thickBot="1" x14ac:dyDescent="0.35">
      <c r="A927" s="13" t="s">
        <v>507</v>
      </c>
      <c r="B927" s="2">
        <v>37.6</v>
      </c>
      <c r="C927" s="12" t="s">
        <v>508</v>
      </c>
      <c r="D927" s="2">
        <v>2E-3</v>
      </c>
    </row>
    <row r="928" spans="1:9" ht="33" hidden="1" customHeight="1" x14ac:dyDescent="0.3">
      <c r="A928" s="14" t="s">
        <v>509</v>
      </c>
      <c r="B928" s="2">
        <v>7674248</v>
      </c>
      <c r="C928" s="15" t="s">
        <v>510</v>
      </c>
      <c r="D928" s="2">
        <v>0.59199999999999997</v>
      </c>
    </row>
    <row r="929" spans="1:2" ht="39" hidden="1" customHeight="1" x14ac:dyDescent="0.3"/>
    <row r="930" spans="1:2" ht="26.25" hidden="1" customHeight="1" x14ac:dyDescent="0.3"/>
    <row r="931" spans="1:2" ht="26.25" hidden="1" customHeight="1" x14ac:dyDescent="0.3"/>
    <row r="932" spans="1:2" ht="16.5" hidden="1" customHeight="1" x14ac:dyDescent="0.3">
      <c r="A932" s="1" t="s">
        <v>436</v>
      </c>
    </row>
    <row r="933" spans="1:2" ht="16.5" hidden="1" customHeight="1" x14ac:dyDescent="0.3"/>
    <row r="934" spans="1:2" ht="16.5" hidden="1" customHeight="1" x14ac:dyDescent="0.3">
      <c r="A934" s="1" t="s">
        <v>405</v>
      </c>
    </row>
    <row r="935" spans="1:2" ht="16.5" hidden="1" customHeight="1" thickBot="1" x14ac:dyDescent="0.3"/>
    <row r="936" spans="1:2" ht="16.5" hidden="1" customHeight="1" x14ac:dyDescent="0.3">
      <c r="A936" s="24" t="s">
        <v>437</v>
      </c>
      <c r="B936" s="26"/>
    </row>
    <row r="937" spans="1:2" ht="16.5" hidden="1" customHeight="1" thickBot="1" x14ac:dyDescent="0.35">
      <c r="A937" s="13" t="s">
        <v>438</v>
      </c>
      <c r="B937" s="18" t="s">
        <v>439</v>
      </c>
    </row>
    <row r="938" spans="1:2" ht="16.5" hidden="1" customHeight="1" thickBot="1" x14ac:dyDescent="0.35">
      <c r="A938" s="13" t="s">
        <v>440</v>
      </c>
      <c r="B938" s="18" t="s">
        <v>19</v>
      </c>
    </row>
    <row r="939" spans="1:2" ht="16.5" hidden="1" customHeight="1" thickBot="1" x14ac:dyDescent="0.35">
      <c r="A939" s="13" t="s">
        <v>441</v>
      </c>
      <c r="B939" s="18">
        <v>2</v>
      </c>
    </row>
    <row r="940" spans="1:2" ht="16.5" hidden="1" customHeight="1" thickBot="1" x14ac:dyDescent="0.35">
      <c r="A940" s="13" t="s">
        <v>442</v>
      </c>
      <c r="B940" s="18" t="s">
        <v>443</v>
      </c>
    </row>
    <row r="941" spans="1:2" ht="26.25" hidden="1" customHeight="1" thickBot="1" x14ac:dyDescent="0.35">
      <c r="A941" s="13" t="s">
        <v>76</v>
      </c>
      <c r="B941" s="18">
        <v>183</v>
      </c>
    </row>
    <row r="942" spans="1:2" ht="26.25" hidden="1" customHeight="1" thickBot="1" x14ac:dyDescent="0.35">
      <c r="A942" s="13" t="s">
        <v>444</v>
      </c>
      <c r="B942" s="18" t="s">
        <v>445</v>
      </c>
    </row>
    <row r="943" spans="1:2" ht="39" hidden="1" customHeight="1" thickBot="1" x14ac:dyDescent="0.35">
      <c r="A943" s="13" t="s">
        <v>77</v>
      </c>
      <c r="B943" s="18">
        <v>2478</v>
      </c>
    </row>
    <row r="944" spans="1:2" ht="26.25" hidden="1" customHeight="1" thickBot="1" x14ac:dyDescent="0.35">
      <c r="A944" s="13" t="s">
        <v>446</v>
      </c>
      <c r="B944" s="18" t="s">
        <v>447</v>
      </c>
    </row>
    <row r="945" spans="1:4" ht="26.25" hidden="1" customHeight="1" thickBot="1" x14ac:dyDescent="0.35">
      <c r="A945" s="13" t="s">
        <v>448</v>
      </c>
      <c r="B945" s="18" t="s">
        <v>449</v>
      </c>
    </row>
    <row r="946" spans="1:4" ht="26.25" hidden="1" customHeight="1" thickBot="1" x14ac:dyDescent="0.35">
      <c r="A946" s="13" t="s">
        <v>450</v>
      </c>
      <c r="B946" s="18" t="s">
        <v>451</v>
      </c>
    </row>
    <row r="947" spans="1:4" ht="26.25" hidden="1" customHeight="1" x14ac:dyDescent="0.3">
      <c r="A947" s="14" t="s">
        <v>452</v>
      </c>
      <c r="B947" s="19" t="s">
        <v>453</v>
      </c>
    </row>
    <row r="948" spans="1:4" ht="26.25" hidden="1" customHeight="1" thickBot="1" x14ac:dyDescent="0.3"/>
    <row r="949" spans="1:4" ht="26.25" hidden="1" customHeight="1" x14ac:dyDescent="0.3">
      <c r="A949" s="24" t="s">
        <v>80</v>
      </c>
      <c r="B949" s="26"/>
    </row>
    <row r="950" spans="1:4" ht="39" hidden="1" customHeight="1" thickBot="1" x14ac:dyDescent="0.35">
      <c r="A950" s="13" t="s">
        <v>81</v>
      </c>
      <c r="B950" s="2" t="s">
        <v>82</v>
      </c>
    </row>
    <row r="951" spans="1:4" ht="38.25" hidden="1" customHeight="1" x14ac:dyDescent="0.3">
      <c r="A951" s="14" t="s">
        <v>452</v>
      </c>
      <c r="B951" s="2" t="s">
        <v>453</v>
      </c>
    </row>
    <row r="952" spans="1:4" ht="16.5" hidden="1" customHeight="1" thickBot="1" x14ac:dyDescent="0.3"/>
    <row r="953" spans="1:4" ht="33" hidden="1" customHeight="1" thickBot="1" x14ac:dyDescent="0.35">
      <c r="A953" s="20" t="s">
        <v>454</v>
      </c>
      <c r="B953" s="21">
        <v>11265</v>
      </c>
    </row>
    <row r="954" spans="1:4" ht="33.75" hidden="1" customHeight="1" thickBot="1" x14ac:dyDescent="0.35">
      <c r="A954" s="13" t="s">
        <v>455</v>
      </c>
      <c r="B954" s="2">
        <v>11265</v>
      </c>
    </row>
    <row r="955" spans="1:4" ht="66" hidden="1" customHeight="1" thickBot="1" x14ac:dyDescent="0.35">
      <c r="A955" s="13" t="s">
        <v>456</v>
      </c>
      <c r="B955" s="2">
        <v>3936155</v>
      </c>
    </row>
    <row r="956" spans="1:4" ht="16.5" hidden="1" customHeight="1" x14ac:dyDescent="0.3">
      <c r="A956" s="14" t="s">
        <v>457</v>
      </c>
      <c r="B956" s="2">
        <v>3936155</v>
      </c>
    </row>
    <row r="957" spans="1:4" ht="39" hidden="1" customHeight="1" thickBot="1" x14ac:dyDescent="0.3"/>
    <row r="958" spans="1:4" ht="39" hidden="1" customHeight="1" x14ac:dyDescent="0.3">
      <c r="A958" s="24" t="s">
        <v>458</v>
      </c>
      <c r="B958" s="26"/>
      <c r="C958" s="26"/>
      <c r="D958" s="26"/>
    </row>
    <row r="959" spans="1:4" ht="39" hidden="1" customHeight="1" x14ac:dyDescent="0.3">
      <c r="A959" s="6" t="s">
        <v>459</v>
      </c>
      <c r="B959" s="27" t="s">
        <v>19</v>
      </c>
      <c r="C959" s="3" t="s">
        <v>93</v>
      </c>
      <c r="D959" s="3" t="s">
        <v>93</v>
      </c>
    </row>
    <row r="960" spans="1:4" ht="38.25" hidden="1" customHeight="1" x14ac:dyDescent="0.3">
      <c r="A960" s="6" t="s">
        <v>460</v>
      </c>
      <c r="B960" s="27"/>
      <c r="C960" s="3" t="s">
        <v>86</v>
      </c>
      <c r="D960" s="3" t="s">
        <v>461</v>
      </c>
    </row>
    <row r="961" spans="1:5" ht="16.5" hidden="1" customHeight="1" thickBot="1" x14ac:dyDescent="0.35">
      <c r="A961" s="6">
        <v>1</v>
      </c>
      <c r="B961" s="17">
        <v>0</v>
      </c>
      <c r="C961" s="2">
        <v>10852</v>
      </c>
      <c r="D961" s="2">
        <v>3826401.2</v>
      </c>
    </row>
    <row r="962" spans="1:5" ht="16.5" hidden="1" customHeight="1" x14ac:dyDescent="0.3">
      <c r="A962" s="6">
        <v>2</v>
      </c>
      <c r="B962" s="22">
        <v>1</v>
      </c>
      <c r="C962" s="2">
        <v>413</v>
      </c>
      <c r="D962" s="2">
        <v>109754.3</v>
      </c>
    </row>
    <row r="963" spans="1:5" ht="16.5" hidden="1" customHeight="1" x14ac:dyDescent="0.3"/>
    <row r="964" spans="1:5" ht="33" hidden="1" customHeight="1" x14ac:dyDescent="0.3">
      <c r="A964" s="1" t="s">
        <v>513</v>
      </c>
    </row>
    <row r="965" spans="1:5" ht="17.25" hidden="1" customHeight="1" thickBot="1" x14ac:dyDescent="0.3"/>
    <row r="966" spans="1:5" ht="16.5" hidden="1" customHeight="1" x14ac:dyDescent="0.3">
      <c r="A966" s="24" t="s">
        <v>462</v>
      </c>
      <c r="B966" s="26"/>
      <c r="C966" s="26"/>
      <c r="D966" s="26"/>
      <c r="E966" s="26"/>
    </row>
    <row r="967" spans="1:5" ht="16.5" hidden="1" customHeight="1" x14ac:dyDescent="0.3">
      <c r="A967" s="6" t="s">
        <v>463</v>
      </c>
      <c r="B967" s="3" t="s">
        <v>460</v>
      </c>
      <c r="C967" s="27" t="s">
        <v>464</v>
      </c>
      <c r="D967" s="27"/>
      <c r="E967" s="27"/>
    </row>
    <row r="968" spans="1:5" ht="16.5" hidden="1" customHeight="1" thickBot="1" x14ac:dyDescent="0.35">
      <c r="A968" s="13" t="s">
        <v>22</v>
      </c>
      <c r="B968" s="12">
        <v>1</v>
      </c>
      <c r="C968" s="2">
        <v>0</v>
      </c>
      <c r="D968" s="2">
        <v>0</v>
      </c>
      <c r="E968" s="2">
        <v>0</v>
      </c>
    </row>
    <row r="969" spans="1:5" ht="16.5" hidden="1" customHeight="1" thickBot="1" x14ac:dyDescent="0.35">
      <c r="A969" s="13"/>
      <c r="B969" s="12">
        <v>2</v>
      </c>
      <c r="C969" s="2">
        <v>1</v>
      </c>
      <c r="D969" s="2">
        <v>0</v>
      </c>
      <c r="E969" s="2">
        <v>0</v>
      </c>
    </row>
    <row r="970" spans="1:5" ht="16.5" hidden="1" customHeight="1" thickBot="1" x14ac:dyDescent="0.35">
      <c r="A970" s="13"/>
      <c r="B970" s="12">
        <v>3</v>
      </c>
      <c r="C970" s="2">
        <v>0</v>
      </c>
      <c r="D970" s="2">
        <v>1</v>
      </c>
      <c r="E970" s="2">
        <v>0</v>
      </c>
    </row>
    <row r="971" spans="1:5" ht="16.5" hidden="1" customHeight="1" x14ac:dyDescent="0.3">
      <c r="A971" s="14"/>
      <c r="B971" s="15">
        <v>4</v>
      </c>
      <c r="C971" s="2">
        <v>0</v>
      </c>
      <c r="D971" s="2">
        <v>0</v>
      </c>
      <c r="E971" s="2">
        <v>1</v>
      </c>
    </row>
    <row r="972" spans="1:5" ht="17.25" hidden="1" customHeight="1" thickBot="1" x14ac:dyDescent="0.3"/>
    <row r="973" spans="1:5" ht="17.25" hidden="1" customHeight="1" x14ac:dyDescent="0.3">
      <c r="A973" s="4" t="s">
        <v>465</v>
      </c>
    </row>
    <row r="974" spans="1:5" ht="17.25" hidden="1" customHeight="1" x14ac:dyDescent="0.3">
      <c r="A974" s="23" t="s">
        <v>466</v>
      </c>
    </row>
    <row r="975" spans="1:5" ht="16.5" hidden="1" customHeight="1" thickBot="1" x14ac:dyDescent="0.3"/>
    <row r="976" spans="1:5" ht="16.5" hidden="1" customHeight="1" x14ac:dyDescent="0.3">
      <c r="A976" s="24" t="s">
        <v>467</v>
      </c>
      <c r="B976" s="26"/>
      <c r="C976" s="26"/>
    </row>
    <row r="977" spans="1:5" ht="66" hidden="1" customHeight="1" x14ac:dyDescent="0.3">
      <c r="A977" s="6" t="s">
        <v>468</v>
      </c>
      <c r="B977" s="3" t="s">
        <v>469</v>
      </c>
      <c r="C977" s="3" t="s">
        <v>470</v>
      </c>
    </row>
    <row r="978" spans="1:5" ht="99" hidden="1" customHeight="1" thickBot="1" x14ac:dyDescent="0.35">
      <c r="A978" s="13" t="s">
        <v>471</v>
      </c>
      <c r="B978" s="2">
        <v>1002199.6</v>
      </c>
      <c r="C978" s="2">
        <v>1000472.8</v>
      </c>
    </row>
    <row r="979" spans="1:5" ht="16.5" hidden="1" customHeight="1" thickBot="1" x14ac:dyDescent="0.35">
      <c r="A979" s="13" t="s">
        <v>472</v>
      </c>
      <c r="B979" s="2">
        <v>1002212.8</v>
      </c>
      <c r="C979" s="2">
        <v>1000525.6</v>
      </c>
    </row>
    <row r="980" spans="1:5" ht="16.5" hidden="1" customHeight="1" x14ac:dyDescent="0.3">
      <c r="A980" s="14" t="s">
        <v>473</v>
      </c>
      <c r="B980" s="2" t="s">
        <v>628</v>
      </c>
      <c r="C980" s="2">
        <v>1000464.8</v>
      </c>
    </row>
    <row r="981" spans="1:5" ht="66" hidden="1" customHeight="1" thickBot="1" x14ac:dyDescent="0.3"/>
    <row r="982" spans="1:5" ht="17.25" hidden="1" customHeight="1" x14ac:dyDescent="0.3">
      <c r="A982" s="24" t="s">
        <v>474</v>
      </c>
      <c r="B982" s="26"/>
      <c r="C982" s="26"/>
      <c r="D982" s="26"/>
      <c r="E982" s="26"/>
    </row>
    <row r="983" spans="1:5" ht="17.25" hidden="1" customHeight="1" x14ac:dyDescent="0.3">
      <c r="A983" s="6" t="s">
        <v>475</v>
      </c>
      <c r="B983" s="3" t="s">
        <v>476</v>
      </c>
      <c r="C983" s="3" t="s">
        <v>477</v>
      </c>
      <c r="D983" s="3" t="s">
        <v>478</v>
      </c>
      <c r="E983" s="3" t="s">
        <v>479</v>
      </c>
    </row>
    <row r="984" spans="1:5" ht="16.5" hidden="1" customHeight="1" x14ac:dyDescent="0.3">
      <c r="A984" s="25" t="s">
        <v>563</v>
      </c>
      <c r="B984" s="27"/>
      <c r="C984" s="27"/>
      <c r="D984" s="27"/>
      <c r="E984" s="27"/>
    </row>
    <row r="985" spans="1:5" ht="16.5" hidden="1" customHeight="1" thickBot="1" x14ac:dyDescent="0.35">
      <c r="A985" s="13" t="s">
        <v>481</v>
      </c>
      <c r="B985" s="2">
        <v>1.67</v>
      </c>
      <c r="C985" s="2">
        <v>2.9962</v>
      </c>
      <c r="D985" s="2">
        <v>6876.35</v>
      </c>
      <c r="E985" s="2">
        <v>0.1721</v>
      </c>
    </row>
    <row r="986" spans="1:5" ht="16.5" hidden="1" customHeight="1" thickBot="1" x14ac:dyDescent="0.35">
      <c r="A986" s="13" t="s">
        <v>483</v>
      </c>
      <c r="B986" s="2">
        <v>1.61</v>
      </c>
      <c r="C986" s="2">
        <v>3</v>
      </c>
      <c r="D986" s="2">
        <v>2293</v>
      </c>
      <c r="E986" s="2">
        <v>0.1845</v>
      </c>
    </row>
    <row r="987" spans="1:5" ht="16.5" hidden="1" customHeight="1" x14ac:dyDescent="0.3">
      <c r="A987" s="14" t="s">
        <v>484</v>
      </c>
      <c r="B987" s="2">
        <v>1.52</v>
      </c>
      <c r="C987" s="2">
        <v>3</v>
      </c>
      <c r="D987" s="2">
        <v>2293</v>
      </c>
      <c r="E987" s="2">
        <v>0.2084</v>
      </c>
    </row>
    <row r="988" spans="1:5" ht="33" hidden="1" customHeight="1" thickBot="1" x14ac:dyDescent="0.3"/>
    <row r="989" spans="1:5" ht="26.25" hidden="1" customHeight="1" x14ac:dyDescent="0.3">
      <c r="A989" s="24" t="s">
        <v>485</v>
      </c>
      <c r="B989" s="26"/>
      <c r="C989" s="26"/>
      <c r="D989" s="26"/>
      <c r="E989" s="26"/>
    </row>
    <row r="990" spans="1:5" ht="17.25" hidden="1" customHeight="1" x14ac:dyDescent="0.3">
      <c r="A990" s="6" t="s">
        <v>486</v>
      </c>
      <c r="B990" s="3" t="s">
        <v>476</v>
      </c>
      <c r="C990" s="3" t="s">
        <v>477</v>
      </c>
      <c r="D990" s="3" t="s">
        <v>478</v>
      </c>
      <c r="E990" s="3" t="s">
        <v>479</v>
      </c>
    </row>
    <row r="991" spans="1:5" ht="16.5" hidden="1" customHeight="1" x14ac:dyDescent="0.3">
      <c r="A991" s="14" t="s">
        <v>22</v>
      </c>
      <c r="B991" s="2">
        <v>1.52</v>
      </c>
      <c r="C991" s="2">
        <v>3</v>
      </c>
      <c r="D991" s="2">
        <v>2293</v>
      </c>
      <c r="E991" s="2">
        <v>0.2084</v>
      </c>
    </row>
    <row r="992" spans="1:5" ht="16.5" hidden="1" customHeight="1" thickBot="1" x14ac:dyDescent="0.3"/>
    <row r="993" spans="1:8" ht="16.5" hidden="1" customHeight="1" x14ac:dyDescent="0.3">
      <c r="A993" s="24" t="s">
        <v>487</v>
      </c>
      <c r="B993" s="26"/>
      <c r="C993" s="26"/>
      <c r="D993" s="26"/>
      <c r="E993" s="26"/>
      <c r="F993" s="26"/>
    </row>
    <row r="994" spans="1:8" ht="16.5" hidden="1" customHeight="1" x14ac:dyDescent="0.3">
      <c r="A994" s="25" t="s">
        <v>488</v>
      </c>
      <c r="B994" s="27"/>
      <c r="C994" s="27" t="s">
        <v>489</v>
      </c>
      <c r="D994" s="3" t="s">
        <v>490</v>
      </c>
      <c r="E994" s="27" t="s">
        <v>492</v>
      </c>
      <c r="F994" s="27" t="s">
        <v>493</v>
      </c>
    </row>
    <row r="995" spans="1:8" ht="16.5" hidden="1" customHeight="1" x14ac:dyDescent="0.3">
      <c r="A995" s="25"/>
      <c r="B995" s="27"/>
      <c r="C995" s="27"/>
      <c r="D995" s="3" t="s">
        <v>491</v>
      </c>
      <c r="E995" s="27"/>
      <c r="F995" s="27"/>
    </row>
    <row r="996" spans="1:8" ht="16.5" hidden="1" customHeight="1" x14ac:dyDescent="0.3">
      <c r="A996" s="25" t="s">
        <v>553</v>
      </c>
      <c r="B996" s="27"/>
      <c r="C996" s="27"/>
      <c r="D996" s="27"/>
      <c r="E996" s="27"/>
      <c r="F996" s="27"/>
    </row>
    <row r="997" spans="1:8" ht="16.5" hidden="1" customHeight="1" thickBot="1" x14ac:dyDescent="0.35">
      <c r="A997" s="13" t="s">
        <v>495</v>
      </c>
      <c r="B997" s="12"/>
      <c r="C997" s="16">
        <v>-3.7624</v>
      </c>
      <c r="D997" s="2">
        <v>0.15740000000000001</v>
      </c>
      <c r="E997" s="16">
        <v>-23.9</v>
      </c>
      <c r="F997" s="2" t="s">
        <v>482</v>
      </c>
    </row>
    <row r="998" spans="1:8" ht="16.5" hidden="1" customHeight="1" thickBot="1" x14ac:dyDescent="0.35">
      <c r="A998" s="13" t="s">
        <v>22</v>
      </c>
      <c r="B998" s="12">
        <v>2</v>
      </c>
      <c r="C998" s="2">
        <v>0.1119</v>
      </c>
      <c r="D998" s="2">
        <v>0.1966</v>
      </c>
      <c r="E998" s="2">
        <v>0.56999999999999995</v>
      </c>
      <c r="F998" s="2">
        <v>0.56920000000000004</v>
      </c>
    </row>
    <row r="999" spans="1:8" ht="16.5" hidden="1" customHeight="1" thickBot="1" x14ac:dyDescent="0.35">
      <c r="A999" s="13" t="s">
        <v>22</v>
      </c>
      <c r="B999" s="12">
        <v>3</v>
      </c>
      <c r="C999" s="2">
        <v>0.33700000000000002</v>
      </c>
      <c r="D999" s="2">
        <v>0.18870000000000001</v>
      </c>
      <c r="E999" s="2">
        <v>1.79</v>
      </c>
      <c r="F999" s="2">
        <v>7.4300000000000005E-2</v>
      </c>
    </row>
    <row r="1000" spans="1:8" ht="16.5" hidden="1" customHeight="1" x14ac:dyDescent="0.3">
      <c r="A1000" s="14" t="s">
        <v>22</v>
      </c>
      <c r="B1000" s="15">
        <v>4</v>
      </c>
      <c r="C1000" s="2">
        <v>0.28860000000000002</v>
      </c>
      <c r="D1000" s="2">
        <v>0.18890000000000001</v>
      </c>
      <c r="E1000" s="2">
        <v>1.53</v>
      </c>
      <c r="F1000" s="2">
        <v>0.1268</v>
      </c>
    </row>
    <row r="1001" spans="1:8" ht="17.25" hidden="1" customHeight="1" thickBot="1" x14ac:dyDescent="0.3"/>
    <row r="1002" spans="1:8" ht="17.25" hidden="1" customHeight="1" x14ac:dyDescent="0.3">
      <c r="A1002" s="24" t="s">
        <v>496</v>
      </c>
      <c r="B1002" s="26"/>
      <c r="C1002" s="26"/>
      <c r="D1002" s="26"/>
      <c r="H1002">
        <f>F1002</f>
        <v>0</v>
      </c>
    </row>
    <row r="1003" spans="1:8" ht="17.25" hidden="1" customHeight="1" x14ac:dyDescent="0.3">
      <c r="A1003" s="6" t="s">
        <v>486</v>
      </c>
      <c r="B1003" s="3" t="s">
        <v>497</v>
      </c>
      <c r="C1003" s="27" t="s">
        <v>91</v>
      </c>
      <c r="D1003" s="27"/>
      <c r="H1003">
        <f t="shared" ref="H1003:H1004" si="33">F1003</f>
        <v>0</v>
      </c>
    </row>
    <row r="1004" spans="1:8" ht="16.5" hidden="1" customHeight="1" x14ac:dyDescent="0.3">
      <c r="A1004" s="25" t="s">
        <v>554</v>
      </c>
      <c r="B1004" s="27"/>
      <c r="C1004" s="27"/>
      <c r="D1004" s="27"/>
      <c r="H1004">
        <f t="shared" si="33"/>
        <v>0</v>
      </c>
    </row>
    <row r="1005" spans="1:8" ht="16.5" hidden="1" customHeight="1" thickBot="1" x14ac:dyDescent="0.35">
      <c r="A1005" s="13" t="s">
        <v>499</v>
      </c>
      <c r="B1005" s="2">
        <v>1.1180000000000001</v>
      </c>
      <c r="C1005" s="2">
        <v>0.76100000000000001</v>
      </c>
      <c r="D1005" s="2">
        <v>1.6439999999999999</v>
      </c>
    </row>
    <row r="1006" spans="1:8" ht="16.5" hidden="1" customHeight="1" thickBot="1" x14ac:dyDescent="0.35">
      <c r="A1006" s="13" t="s">
        <v>500</v>
      </c>
      <c r="B1006" s="2">
        <v>1.401</v>
      </c>
      <c r="C1006" s="2">
        <v>0.96699999999999997</v>
      </c>
      <c r="D1006" s="2">
        <v>2.028</v>
      </c>
    </row>
    <row r="1007" spans="1:8" ht="33" hidden="1" customHeight="1" thickBot="1" x14ac:dyDescent="0.35">
      <c r="A1007" s="14" t="s">
        <v>501</v>
      </c>
      <c r="B1007" s="2">
        <v>1.3340000000000001</v>
      </c>
      <c r="C1007" s="2">
        <v>0.92100000000000004</v>
      </c>
      <c r="D1007" s="2">
        <v>1.9330000000000001</v>
      </c>
    </row>
    <row r="1008" spans="1:8" ht="49.5" hidden="1" customHeight="1" thickBot="1" x14ac:dyDescent="0.3"/>
    <row r="1009" spans="1:9" ht="33" customHeight="1" x14ac:dyDescent="0.3">
      <c r="A1009" s="24" t="s">
        <v>502</v>
      </c>
      <c r="B1009" s="26"/>
      <c r="C1009" s="26"/>
      <c r="D1009" s="26"/>
      <c r="H1009" s="8" t="str">
        <f t="shared" ref="H1009:H1011" si="34">TEXT(B1009,"0.00")&amp;" ("&amp;TEXT(C1009,"0.00")&amp;" to "&amp;TEXT(D1009,"0.00")&amp;")"</f>
        <v>0.00 (0.00 to 0.00)</v>
      </c>
      <c r="I1009">
        <f t="shared" ref="I1009:I1011" si="35">F1002</f>
        <v>0</v>
      </c>
    </row>
    <row r="1010" spans="1:9" ht="26.25" customHeight="1" thickBot="1" x14ac:dyDescent="0.35">
      <c r="A1010" s="13" t="s">
        <v>503</v>
      </c>
      <c r="B1010" s="2">
        <v>29.1</v>
      </c>
      <c r="C1010" s="12" t="s">
        <v>504</v>
      </c>
      <c r="D1010" s="2">
        <v>2.5999999999999999E-2</v>
      </c>
      <c r="H1010" s="8" t="str">
        <f t="shared" si="34"/>
        <v>29.10 (Somers' D to 0.03)</v>
      </c>
      <c r="I1010">
        <f t="shared" si="35"/>
        <v>0</v>
      </c>
    </row>
    <row r="1011" spans="1:9" ht="25.5" customHeight="1" thickBot="1" x14ac:dyDescent="0.35">
      <c r="A1011" s="13" t="s">
        <v>505</v>
      </c>
      <c r="B1011" s="2">
        <v>26.5</v>
      </c>
      <c r="C1011" s="12" t="s">
        <v>506</v>
      </c>
      <c r="D1011" s="2">
        <v>4.8000000000000001E-2</v>
      </c>
      <c r="H1011" s="8" t="str">
        <f t="shared" si="34"/>
        <v>26.50 (Gamma to 0.05)</v>
      </c>
      <c r="I1011">
        <f t="shared" si="35"/>
        <v>0</v>
      </c>
    </row>
    <row r="1012" spans="1:9" ht="16.5" hidden="1" customHeight="1" thickBot="1" x14ac:dyDescent="0.35">
      <c r="A1012" s="13" t="s">
        <v>507</v>
      </c>
      <c r="B1012" s="2">
        <v>44.4</v>
      </c>
      <c r="C1012" s="12" t="s">
        <v>508</v>
      </c>
      <c r="D1012" s="2">
        <v>2E-3</v>
      </c>
    </row>
    <row r="1013" spans="1:9" ht="33" hidden="1" customHeight="1" x14ac:dyDescent="0.3">
      <c r="A1013" s="14" t="s">
        <v>509</v>
      </c>
      <c r="B1013" s="2">
        <v>4481876</v>
      </c>
      <c r="C1013" s="15" t="s">
        <v>510</v>
      </c>
      <c r="D1013" s="2">
        <v>0.51300000000000001</v>
      </c>
    </row>
    <row r="1014" spans="1:9" ht="39" hidden="1" customHeight="1" x14ac:dyDescent="0.3"/>
    <row r="1015" spans="1:9" ht="26.25" hidden="1" customHeight="1" x14ac:dyDescent="0.3"/>
    <row r="1016" spans="1:9" ht="26.25" hidden="1" customHeight="1" x14ac:dyDescent="0.3"/>
    <row r="1017" spans="1:9" ht="16.5" hidden="1" customHeight="1" x14ac:dyDescent="0.3">
      <c r="A1017" s="1" t="s">
        <v>436</v>
      </c>
    </row>
    <row r="1018" spans="1:9" ht="16.5" hidden="1" customHeight="1" x14ac:dyDescent="0.3"/>
    <row r="1019" spans="1:9" ht="16.5" hidden="1" customHeight="1" x14ac:dyDescent="0.3">
      <c r="A1019" s="1" t="s">
        <v>406</v>
      </c>
    </row>
    <row r="1020" spans="1:9" ht="16.5" hidden="1" customHeight="1" thickBot="1" x14ac:dyDescent="0.3"/>
    <row r="1021" spans="1:9" ht="16.5" hidden="1" customHeight="1" x14ac:dyDescent="0.3">
      <c r="A1021" s="24" t="s">
        <v>437</v>
      </c>
      <c r="B1021" s="26"/>
    </row>
    <row r="1022" spans="1:9" ht="16.5" hidden="1" customHeight="1" thickBot="1" x14ac:dyDescent="0.35">
      <c r="A1022" s="13" t="s">
        <v>438</v>
      </c>
      <c r="B1022" s="18" t="s">
        <v>439</v>
      </c>
    </row>
    <row r="1023" spans="1:9" ht="16.5" hidden="1" customHeight="1" thickBot="1" x14ac:dyDescent="0.35">
      <c r="A1023" s="13" t="s">
        <v>440</v>
      </c>
      <c r="B1023" s="18" t="s">
        <v>19</v>
      </c>
    </row>
    <row r="1024" spans="1:9" ht="16.5" hidden="1" customHeight="1" thickBot="1" x14ac:dyDescent="0.35">
      <c r="A1024" s="13" t="s">
        <v>441</v>
      </c>
      <c r="B1024" s="18">
        <v>2</v>
      </c>
    </row>
    <row r="1025" spans="1:2" ht="16.5" hidden="1" customHeight="1" thickBot="1" x14ac:dyDescent="0.35">
      <c r="A1025" s="13" t="s">
        <v>442</v>
      </c>
      <c r="B1025" s="18" t="s">
        <v>443</v>
      </c>
    </row>
    <row r="1026" spans="1:2" ht="26.25" hidden="1" customHeight="1" thickBot="1" x14ac:dyDescent="0.35">
      <c r="A1026" s="13" t="s">
        <v>76</v>
      </c>
      <c r="B1026" s="18">
        <v>183</v>
      </c>
    </row>
    <row r="1027" spans="1:2" ht="26.25" hidden="1" customHeight="1" thickBot="1" x14ac:dyDescent="0.35">
      <c r="A1027" s="13" t="s">
        <v>444</v>
      </c>
      <c r="B1027" s="18" t="s">
        <v>445</v>
      </c>
    </row>
    <row r="1028" spans="1:2" ht="39" hidden="1" customHeight="1" thickBot="1" x14ac:dyDescent="0.35">
      <c r="A1028" s="13" t="s">
        <v>77</v>
      </c>
      <c r="B1028" s="18">
        <v>2823</v>
      </c>
    </row>
    <row r="1029" spans="1:2" ht="26.25" hidden="1" customHeight="1" thickBot="1" x14ac:dyDescent="0.35">
      <c r="A1029" s="13" t="s">
        <v>446</v>
      </c>
      <c r="B1029" s="18" t="s">
        <v>447</v>
      </c>
    </row>
    <row r="1030" spans="1:2" ht="26.25" hidden="1" customHeight="1" thickBot="1" x14ac:dyDescent="0.35">
      <c r="A1030" s="13" t="s">
        <v>448</v>
      </c>
      <c r="B1030" s="18" t="s">
        <v>449</v>
      </c>
    </row>
    <row r="1031" spans="1:2" ht="26.25" hidden="1" customHeight="1" thickBot="1" x14ac:dyDescent="0.35">
      <c r="A1031" s="13" t="s">
        <v>450</v>
      </c>
      <c r="B1031" s="18" t="s">
        <v>451</v>
      </c>
    </row>
    <row r="1032" spans="1:2" ht="26.25" hidden="1" customHeight="1" x14ac:dyDescent="0.3">
      <c r="A1032" s="14" t="s">
        <v>452</v>
      </c>
      <c r="B1032" s="19" t="s">
        <v>453</v>
      </c>
    </row>
    <row r="1033" spans="1:2" ht="26.25" hidden="1" customHeight="1" thickBot="1" x14ac:dyDescent="0.3"/>
    <row r="1034" spans="1:2" ht="26.25" hidden="1" customHeight="1" x14ac:dyDescent="0.3">
      <c r="A1034" s="24" t="s">
        <v>80</v>
      </c>
      <c r="B1034" s="26"/>
    </row>
    <row r="1035" spans="1:2" ht="39" hidden="1" customHeight="1" thickBot="1" x14ac:dyDescent="0.35">
      <c r="A1035" s="13" t="s">
        <v>81</v>
      </c>
      <c r="B1035" s="2" t="s">
        <v>82</v>
      </c>
    </row>
    <row r="1036" spans="1:2" ht="38.25" hidden="1" customHeight="1" x14ac:dyDescent="0.3">
      <c r="A1036" s="14" t="s">
        <v>452</v>
      </c>
      <c r="B1036" s="2" t="s">
        <v>453</v>
      </c>
    </row>
    <row r="1037" spans="1:2" ht="16.5" hidden="1" customHeight="1" thickBot="1" x14ac:dyDescent="0.3"/>
    <row r="1038" spans="1:2" ht="33" hidden="1" customHeight="1" thickBot="1" x14ac:dyDescent="0.35">
      <c r="A1038" s="20" t="s">
        <v>454</v>
      </c>
      <c r="B1038" s="21">
        <v>16834</v>
      </c>
    </row>
    <row r="1039" spans="1:2" ht="33.75" hidden="1" customHeight="1" thickBot="1" x14ac:dyDescent="0.35">
      <c r="A1039" s="13" t="s">
        <v>455</v>
      </c>
      <c r="B1039" s="2">
        <v>16834</v>
      </c>
    </row>
    <row r="1040" spans="1:2" ht="66" hidden="1" customHeight="1" thickBot="1" x14ac:dyDescent="0.35">
      <c r="A1040" s="13" t="s">
        <v>456</v>
      </c>
      <c r="B1040" s="2">
        <v>7267525</v>
      </c>
    </row>
    <row r="1041" spans="1:5" ht="16.5" hidden="1" customHeight="1" x14ac:dyDescent="0.3">
      <c r="A1041" s="14" t="s">
        <v>457</v>
      </c>
      <c r="B1041" s="2">
        <v>7267525</v>
      </c>
    </row>
    <row r="1042" spans="1:5" ht="39" hidden="1" customHeight="1" thickBot="1" x14ac:dyDescent="0.3"/>
    <row r="1043" spans="1:5" ht="39" hidden="1" customHeight="1" x14ac:dyDescent="0.3">
      <c r="A1043" s="24" t="s">
        <v>458</v>
      </c>
      <c r="B1043" s="26"/>
      <c r="C1043" s="26"/>
      <c r="D1043" s="26"/>
    </row>
    <row r="1044" spans="1:5" ht="39" hidden="1" customHeight="1" x14ac:dyDescent="0.3">
      <c r="A1044" s="6" t="s">
        <v>459</v>
      </c>
      <c r="B1044" s="27" t="s">
        <v>19</v>
      </c>
      <c r="C1044" s="3" t="s">
        <v>93</v>
      </c>
      <c r="D1044" s="3" t="s">
        <v>93</v>
      </c>
    </row>
    <row r="1045" spans="1:5" ht="38.25" hidden="1" customHeight="1" x14ac:dyDescent="0.3">
      <c r="A1045" s="6" t="s">
        <v>460</v>
      </c>
      <c r="B1045" s="27"/>
      <c r="C1045" s="3" t="s">
        <v>86</v>
      </c>
      <c r="D1045" s="3" t="s">
        <v>461</v>
      </c>
    </row>
    <row r="1046" spans="1:5" ht="16.5" hidden="1" customHeight="1" thickBot="1" x14ac:dyDescent="0.35">
      <c r="A1046" s="6">
        <v>1</v>
      </c>
      <c r="B1046" s="17">
        <v>0</v>
      </c>
      <c r="C1046" s="2">
        <v>16521</v>
      </c>
      <c r="D1046" s="2">
        <v>7174724.2000000002</v>
      </c>
    </row>
    <row r="1047" spans="1:5" ht="16.5" hidden="1" customHeight="1" x14ac:dyDescent="0.3">
      <c r="A1047" s="6">
        <v>2</v>
      </c>
      <c r="B1047" s="22">
        <v>1</v>
      </c>
      <c r="C1047" s="2">
        <v>313</v>
      </c>
      <c r="D1047" s="2">
        <v>92800.8</v>
      </c>
    </row>
    <row r="1048" spans="1:5" ht="16.5" hidden="1" customHeight="1" x14ac:dyDescent="0.3"/>
    <row r="1049" spans="1:5" ht="33" hidden="1" customHeight="1" x14ac:dyDescent="0.3">
      <c r="A1049" s="1" t="s">
        <v>513</v>
      </c>
    </row>
    <row r="1050" spans="1:5" ht="17.25" hidden="1" customHeight="1" thickBot="1" x14ac:dyDescent="0.3"/>
    <row r="1051" spans="1:5" ht="16.5" hidden="1" customHeight="1" x14ac:dyDescent="0.3">
      <c r="A1051" s="24" t="s">
        <v>462</v>
      </c>
      <c r="B1051" s="26"/>
      <c r="C1051" s="26"/>
      <c r="D1051" s="26"/>
      <c r="E1051" s="26"/>
    </row>
    <row r="1052" spans="1:5" ht="16.5" hidden="1" customHeight="1" x14ac:dyDescent="0.3">
      <c r="A1052" s="6" t="s">
        <v>463</v>
      </c>
      <c r="B1052" s="3" t="s">
        <v>460</v>
      </c>
      <c r="C1052" s="27" t="s">
        <v>464</v>
      </c>
      <c r="D1052" s="27"/>
      <c r="E1052" s="27"/>
    </row>
    <row r="1053" spans="1:5" ht="16.5" hidden="1" customHeight="1" thickBot="1" x14ac:dyDescent="0.35">
      <c r="A1053" s="13" t="s">
        <v>22</v>
      </c>
      <c r="B1053" s="12">
        <v>1</v>
      </c>
      <c r="C1053" s="2">
        <v>0</v>
      </c>
      <c r="D1053" s="2">
        <v>0</v>
      </c>
      <c r="E1053" s="2">
        <v>0</v>
      </c>
    </row>
    <row r="1054" spans="1:5" ht="16.5" hidden="1" customHeight="1" thickBot="1" x14ac:dyDescent="0.35">
      <c r="A1054" s="13"/>
      <c r="B1054" s="12">
        <v>2</v>
      </c>
      <c r="C1054" s="2">
        <v>1</v>
      </c>
      <c r="D1054" s="2">
        <v>0</v>
      </c>
      <c r="E1054" s="2">
        <v>0</v>
      </c>
    </row>
    <row r="1055" spans="1:5" ht="16.5" hidden="1" customHeight="1" thickBot="1" x14ac:dyDescent="0.35">
      <c r="A1055" s="13"/>
      <c r="B1055" s="12">
        <v>3</v>
      </c>
      <c r="C1055" s="2">
        <v>0</v>
      </c>
      <c r="D1055" s="2">
        <v>1</v>
      </c>
      <c r="E1055" s="2">
        <v>0</v>
      </c>
    </row>
    <row r="1056" spans="1:5" ht="16.5" hidden="1" customHeight="1" x14ac:dyDescent="0.3">
      <c r="A1056" s="14"/>
      <c r="B1056" s="15">
        <v>4</v>
      </c>
      <c r="C1056" s="2">
        <v>0</v>
      </c>
      <c r="D1056" s="2">
        <v>0</v>
      </c>
      <c r="E1056" s="2">
        <v>1</v>
      </c>
    </row>
    <row r="1057" spans="1:5" ht="17.25" hidden="1" customHeight="1" thickBot="1" x14ac:dyDescent="0.3"/>
    <row r="1058" spans="1:5" ht="17.25" hidden="1" customHeight="1" x14ac:dyDescent="0.3">
      <c r="A1058" s="4" t="s">
        <v>465</v>
      </c>
    </row>
    <row r="1059" spans="1:5" ht="17.25" hidden="1" customHeight="1" x14ac:dyDescent="0.3">
      <c r="A1059" s="23" t="s">
        <v>466</v>
      </c>
    </row>
    <row r="1060" spans="1:5" ht="16.5" hidden="1" customHeight="1" thickBot="1" x14ac:dyDescent="0.3"/>
    <row r="1061" spans="1:5" ht="16.5" hidden="1" customHeight="1" x14ac:dyDescent="0.3">
      <c r="A1061" s="24" t="s">
        <v>467</v>
      </c>
      <c r="B1061" s="26"/>
      <c r="C1061" s="26"/>
    </row>
    <row r="1062" spans="1:5" ht="66" hidden="1" customHeight="1" x14ac:dyDescent="0.3">
      <c r="A1062" s="6" t="s">
        <v>468</v>
      </c>
      <c r="B1062" s="3" t="s">
        <v>469</v>
      </c>
      <c r="C1062" s="3" t="s">
        <v>470</v>
      </c>
    </row>
    <row r="1063" spans="1:5" ht="99" hidden="1" customHeight="1" thickBot="1" x14ac:dyDescent="0.35">
      <c r="A1063" s="13" t="s">
        <v>471</v>
      </c>
      <c r="B1063" s="2">
        <v>993769.16</v>
      </c>
      <c r="C1063" s="2">
        <v>983102</v>
      </c>
    </row>
    <row r="1064" spans="1:5" ht="16.5" hidden="1" customHeight="1" thickBot="1" x14ac:dyDescent="0.35">
      <c r="A1064" s="13" t="s">
        <v>472</v>
      </c>
      <c r="B1064" s="2">
        <v>993782.96</v>
      </c>
      <c r="C1064" s="2">
        <v>983157.2</v>
      </c>
    </row>
    <row r="1065" spans="1:5" ht="16.5" hidden="1" customHeight="1" x14ac:dyDescent="0.3">
      <c r="A1065" s="14" t="s">
        <v>473</v>
      </c>
      <c r="B1065" s="2" t="s">
        <v>629</v>
      </c>
      <c r="C1065" s="2">
        <v>983094</v>
      </c>
    </row>
    <row r="1066" spans="1:5" ht="66" hidden="1" customHeight="1" thickBot="1" x14ac:dyDescent="0.3"/>
    <row r="1067" spans="1:5" ht="17.25" hidden="1" customHeight="1" x14ac:dyDescent="0.3">
      <c r="A1067" s="24" t="s">
        <v>474</v>
      </c>
      <c r="B1067" s="26"/>
      <c r="C1067" s="26"/>
      <c r="D1067" s="26"/>
      <c r="E1067" s="26"/>
    </row>
    <row r="1068" spans="1:5" ht="17.25" hidden="1" customHeight="1" x14ac:dyDescent="0.3">
      <c r="A1068" s="6" t="s">
        <v>475</v>
      </c>
      <c r="B1068" s="3" t="s">
        <v>476</v>
      </c>
      <c r="C1068" s="3" t="s">
        <v>477</v>
      </c>
      <c r="D1068" s="3" t="s">
        <v>478</v>
      </c>
      <c r="E1068" s="3" t="s">
        <v>479</v>
      </c>
    </row>
    <row r="1069" spans="1:5" ht="16.5" hidden="1" customHeight="1" x14ac:dyDescent="0.3">
      <c r="A1069" s="25" t="s">
        <v>543</v>
      </c>
      <c r="B1069" s="27"/>
      <c r="C1069" s="27"/>
      <c r="D1069" s="27"/>
      <c r="E1069" s="27"/>
    </row>
    <row r="1070" spans="1:5" ht="16.5" hidden="1" customHeight="1" thickBot="1" x14ac:dyDescent="0.35">
      <c r="A1070" s="13" t="s">
        <v>481</v>
      </c>
      <c r="B1070" s="2">
        <v>8.25</v>
      </c>
      <c r="C1070" s="2">
        <v>2.9933000000000001</v>
      </c>
      <c r="D1070" s="2">
        <v>7902.19</v>
      </c>
      <c r="E1070" s="2" t="s">
        <v>482</v>
      </c>
    </row>
    <row r="1071" spans="1:5" ht="16.5" hidden="1" customHeight="1" thickBot="1" x14ac:dyDescent="0.35">
      <c r="A1071" s="13" t="s">
        <v>483</v>
      </c>
      <c r="B1071" s="2">
        <v>10.86</v>
      </c>
      <c r="C1071" s="2">
        <v>3</v>
      </c>
      <c r="D1071" s="2">
        <v>2638</v>
      </c>
      <c r="E1071" s="2" t="s">
        <v>482</v>
      </c>
    </row>
    <row r="1072" spans="1:5" ht="16.5" hidden="1" customHeight="1" x14ac:dyDescent="0.3">
      <c r="A1072" s="14" t="s">
        <v>484</v>
      </c>
      <c r="B1072" s="2">
        <v>7.61</v>
      </c>
      <c r="C1072" s="2">
        <v>3</v>
      </c>
      <c r="D1072" s="2">
        <v>2638</v>
      </c>
      <c r="E1072" s="2" t="s">
        <v>482</v>
      </c>
    </row>
    <row r="1073" spans="1:8" ht="33" hidden="1" customHeight="1" thickBot="1" x14ac:dyDescent="0.3"/>
    <row r="1074" spans="1:8" ht="26.25" hidden="1" customHeight="1" x14ac:dyDescent="0.3">
      <c r="A1074" s="24" t="s">
        <v>485</v>
      </c>
      <c r="B1074" s="26"/>
      <c r="C1074" s="26"/>
      <c r="D1074" s="26"/>
      <c r="E1074" s="26"/>
    </row>
    <row r="1075" spans="1:8" ht="17.25" hidden="1" customHeight="1" x14ac:dyDescent="0.3">
      <c r="A1075" s="6" t="s">
        <v>486</v>
      </c>
      <c r="B1075" s="3" t="s">
        <v>476</v>
      </c>
      <c r="C1075" s="3" t="s">
        <v>477</v>
      </c>
      <c r="D1075" s="3" t="s">
        <v>478</v>
      </c>
      <c r="E1075" s="3" t="s">
        <v>479</v>
      </c>
    </row>
    <row r="1076" spans="1:8" ht="16.5" hidden="1" customHeight="1" x14ac:dyDescent="0.3">
      <c r="A1076" s="14" t="s">
        <v>22</v>
      </c>
      <c r="B1076" s="2">
        <v>7.61</v>
      </c>
      <c r="C1076" s="2">
        <v>3</v>
      </c>
      <c r="D1076" s="2">
        <v>2638</v>
      </c>
      <c r="E1076" s="2" t="s">
        <v>482</v>
      </c>
    </row>
    <row r="1077" spans="1:8" ht="16.5" hidden="1" customHeight="1" thickBot="1" x14ac:dyDescent="0.3"/>
    <row r="1078" spans="1:8" ht="16.5" hidden="1" customHeight="1" x14ac:dyDescent="0.3">
      <c r="A1078" s="24" t="s">
        <v>487</v>
      </c>
      <c r="B1078" s="26"/>
      <c r="C1078" s="26"/>
      <c r="D1078" s="26"/>
      <c r="E1078" s="26"/>
      <c r="F1078" s="26"/>
    </row>
    <row r="1079" spans="1:8" ht="16.5" hidden="1" customHeight="1" x14ac:dyDescent="0.3">
      <c r="A1079" s="25" t="s">
        <v>488</v>
      </c>
      <c r="B1079" s="27"/>
      <c r="C1079" s="27" t="s">
        <v>489</v>
      </c>
      <c r="D1079" s="3" t="s">
        <v>490</v>
      </c>
      <c r="E1079" s="27" t="s">
        <v>492</v>
      </c>
      <c r="F1079" s="27" t="s">
        <v>493</v>
      </c>
    </row>
    <row r="1080" spans="1:8" ht="16.5" hidden="1" customHeight="1" x14ac:dyDescent="0.3">
      <c r="A1080" s="25"/>
      <c r="B1080" s="27"/>
      <c r="C1080" s="27"/>
      <c r="D1080" s="3" t="s">
        <v>491</v>
      </c>
      <c r="E1080" s="27"/>
      <c r="F1080" s="27"/>
    </row>
    <row r="1081" spans="1:8" ht="16.5" hidden="1" customHeight="1" x14ac:dyDescent="0.3">
      <c r="A1081" s="25" t="s">
        <v>556</v>
      </c>
      <c r="B1081" s="27"/>
      <c r="C1081" s="27"/>
      <c r="D1081" s="27"/>
      <c r="E1081" s="27"/>
      <c r="F1081" s="27"/>
    </row>
    <row r="1082" spans="1:8" ht="16.5" hidden="1" customHeight="1" thickBot="1" x14ac:dyDescent="0.35">
      <c r="A1082" s="13" t="s">
        <v>495</v>
      </c>
      <c r="B1082" s="12"/>
      <c r="C1082" s="16">
        <v>-5.0193000000000003</v>
      </c>
      <c r="D1082" s="2">
        <v>0.18990000000000001</v>
      </c>
      <c r="E1082" s="16">
        <v>-26.43</v>
      </c>
      <c r="F1082" s="2" t="s">
        <v>482</v>
      </c>
    </row>
    <row r="1083" spans="1:8" ht="16.5" hidden="1" customHeight="1" thickBot="1" x14ac:dyDescent="0.35">
      <c r="A1083" s="13" t="s">
        <v>22</v>
      </c>
      <c r="B1083" s="12">
        <v>2</v>
      </c>
      <c r="C1083" s="2">
        <v>0.54310000000000003</v>
      </c>
      <c r="D1083" s="2">
        <v>0.23810000000000001</v>
      </c>
      <c r="E1083" s="2">
        <v>2.2799999999999998</v>
      </c>
      <c r="F1083" s="2">
        <v>2.2700000000000001E-2</v>
      </c>
    </row>
    <row r="1084" spans="1:8" ht="16.5" hidden="1" customHeight="1" thickBot="1" x14ac:dyDescent="0.35">
      <c r="A1084" s="13" t="s">
        <v>22</v>
      </c>
      <c r="B1084" s="12">
        <v>3</v>
      </c>
      <c r="C1084" s="2">
        <v>1.0130999999999999</v>
      </c>
      <c r="D1084" s="2">
        <v>0.22520000000000001</v>
      </c>
      <c r="E1084" s="2">
        <v>4.5</v>
      </c>
      <c r="F1084" s="2" t="s">
        <v>482</v>
      </c>
    </row>
    <row r="1085" spans="1:8" ht="16.5" hidden="1" customHeight="1" x14ac:dyDescent="0.3">
      <c r="A1085" s="14" t="s">
        <v>22</v>
      </c>
      <c r="B1085" s="15">
        <v>4</v>
      </c>
      <c r="C1085" s="2">
        <v>0.81979999999999997</v>
      </c>
      <c r="D1085" s="2">
        <v>0.2281</v>
      </c>
      <c r="E1085" s="2">
        <v>3.59</v>
      </c>
      <c r="F1085" s="2">
        <v>2.9999999999999997E-4</v>
      </c>
    </row>
    <row r="1086" spans="1:8" ht="17.25" hidden="1" customHeight="1" thickBot="1" x14ac:dyDescent="0.3"/>
    <row r="1087" spans="1:8" ht="17.25" hidden="1" customHeight="1" x14ac:dyDescent="0.3">
      <c r="A1087" s="24" t="s">
        <v>496</v>
      </c>
      <c r="B1087" s="26"/>
      <c r="C1087" s="26"/>
      <c r="D1087" s="26"/>
      <c r="H1087">
        <f>F1087</f>
        <v>0</v>
      </c>
    </row>
    <row r="1088" spans="1:8" ht="17.25" hidden="1" customHeight="1" x14ac:dyDescent="0.3">
      <c r="A1088" s="6" t="s">
        <v>486</v>
      </c>
      <c r="B1088" s="3" t="s">
        <v>497</v>
      </c>
      <c r="C1088" s="27" t="s">
        <v>91</v>
      </c>
      <c r="D1088" s="27"/>
      <c r="H1088">
        <f t="shared" ref="H1088:H1089" si="36">F1088</f>
        <v>0</v>
      </c>
    </row>
    <row r="1089" spans="1:9" ht="16.5" hidden="1" customHeight="1" x14ac:dyDescent="0.3">
      <c r="A1089" s="25" t="s">
        <v>557</v>
      </c>
      <c r="B1089" s="27"/>
      <c r="C1089" s="27"/>
      <c r="D1089" s="27"/>
      <c r="H1089">
        <f t="shared" si="36"/>
        <v>0</v>
      </c>
    </row>
    <row r="1090" spans="1:9" ht="16.5" hidden="1" customHeight="1" thickBot="1" x14ac:dyDescent="0.35">
      <c r="A1090" s="13" t="s">
        <v>499</v>
      </c>
      <c r="B1090" s="2">
        <v>1.7210000000000001</v>
      </c>
      <c r="C1090" s="2">
        <v>1.079</v>
      </c>
      <c r="D1090" s="2">
        <v>2.746</v>
      </c>
    </row>
    <row r="1091" spans="1:9" ht="16.5" hidden="1" customHeight="1" thickBot="1" x14ac:dyDescent="0.35">
      <c r="A1091" s="13" t="s">
        <v>500</v>
      </c>
      <c r="B1091" s="2">
        <v>2.754</v>
      </c>
      <c r="C1091" s="2">
        <v>1.7709999999999999</v>
      </c>
      <c r="D1091" s="2">
        <v>4.2830000000000004</v>
      </c>
    </row>
    <row r="1092" spans="1:9" ht="33" hidden="1" customHeight="1" thickBot="1" x14ac:dyDescent="0.35">
      <c r="A1092" s="14" t="s">
        <v>501</v>
      </c>
      <c r="B1092" s="2">
        <v>2.27</v>
      </c>
      <c r="C1092" s="2">
        <v>1.4510000000000001</v>
      </c>
      <c r="D1092" s="2">
        <v>3.5510000000000002</v>
      </c>
    </row>
    <row r="1093" spans="1:9" ht="49.5" hidden="1" customHeight="1" thickBot="1" x14ac:dyDescent="0.3"/>
    <row r="1094" spans="1:9" ht="33" customHeight="1" x14ac:dyDescent="0.3">
      <c r="A1094" s="24" t="s">
        <v>502</v>
      </c>
      <c r="B1094" s="26"/>
      <c r="C1094" s="26"/>
      <c r="D1094" s="26"/>
      <c r="H1094" s="8" t="str">
        <f t="shared" ref="H1094:H1096" si="37">TEXT(B1094,"0.00")&amp;" ("&amp;TEXT(C1094,"0.00")&amp;" to "&amp;TEXT(D1094,"0.00")&amp;")"</f>
        <v>0.00 (0.00 to 0.00)</v>
      </c>
      <c r="I1094">
        <f t="shared" ref="I1094:I1096" si="38">F1087</f>
        <v>0</v>
      </c>
    </row>
    <row r="1095" spans="1:9" ht="26.25" customHeight="1" thickBot="1" x14ac:dyDescent="0.35">
      <c r="A1095" s="13" t="s">
        <v>503</v>
      </c>
      <c r="B1095" s="2">
        <v>44.6</v>
      </c>
      <c r="C1095" s="12" t="s">
        <v>504</v>
      </c>
      <c r="D1095" s="2">
        <v>0.14599999999999999</v>
      </c>
      <c r="H1095" s="8" t="str">
        <f t="shared" si="37"/>
        <v>44.60 (Somers' D to 0.15)</v>
      </c>
      <c r="I1095">
        <f t="shared" si="38"/>
        <v>0</v>
      </c>
    </row>
    <row r="1096" spans="1:9" ht="25.5" customHeight="1" thickBot="1" x14ac:dyDescent="0.35">
      <c r="A1096" s="13" t="s">
        <v>505</v>
      </c>
      <c r="B1096" s="2">
        <v>29.9</v>
      </c>
      <c r="C1096" s="12" t="s">
        <v>506</v>
      </c>
      <c r="D1096" s="2">
        <v>0.19600000000000001</v>
      </c>
      <c r="H1096" s="8" t="str">
        <f t="shared" si="37"/>
        <v>29.90 (Gamma to 0.20)</v>
      </c>
      <c r="I1096">
        <f t="shared" si="38"/>
        <v>0</v>
      </c>
    </row>
    <row r="1097" spans="1:9" ht="16.5" hidden="1" customHeight="1" thickBot="1" x14ac:dyDescent="0.35">
      <c r="A1097" s="13" t="s">
        <v>507</v>
      </c>
      <c r="B1097" s="2">
        <v>25.5</v>
      </c>
      <c r="C1097" s="12" t="s">
        <v>508</v>
      </c>
      <c r="D1097" s="2">
        <v>5.0000000000000001E-3</v>
      </c>
    </row>
    <row r="1098" spans="1:9" ht="33" hidden="1" customHeight="1" x14ac:dyDescent="0.3">
      <c r="A1098" s="14" t="s">
        <v>509</v>
      </c>
      <c r="B1098" s="2">
        <v>5171073</v>
      </c>
      <c r="C1098" s="15" t="s">
        <v>510</v>
      </c>
      <c r="D1098" s="2">
        <v>0.57299999999999995</v>
      </c>
    </row>
    <row r="1099" spans="1:9" ht="39" hidden="1" customHeight="1" x14ac:dyDescent="0.3"/>
    <row r="1100" spans="1:9" ht="26.25" hidden="1" customHeight="1" x14ac:dyDescent="0.3"/>
    <row r="1101" spans="1:9" ht="26.25" hidden="1" customHeight="1" x14ac:dyDescent="0.3"/>
    <row r="1102" spans="1:9" ht="16.5" hidden="1" customHeight="1" x14ac:dyDescent="0.3">
      <c r="A1102" s="1" t="s">
        <v>436</v>
      </c>
    </row>
    <row r="1103" spans="1:9" ht="16.5" hidden="1" customHeight="1" x14ac:dyDescent="0.3"/>
    <row r="1104" spans="1:9" ht="16.5" hidden="1" customHeight="1" x14ac:dyDescent="0.3">
      <c r="A1104" s="1" t="s">
        <v>407</v>
      </c>
    </row>
    <row r="1105" spans="1:2" ht="16.5" hidden="1" customHeight="1" thickBot="1" x14ac:dyDescent="0.3"/>
    <row r="1106" spans="1:2" ht="16.5" hidden="1" customHeight="1" x14ac:dyDescent="0.3">
      <c r="A1106" s="24" t="s">
        <v>437</v>
      </c>
      <c r="B1106" s="26"/>
    </row>
    <row r="1107" spans="1:2" ht="16.5" hidden="1" customHeight="1" thickBot="1" x14ac:dyDescent="0.35">
      <c r="A1107" s="13" t="s">
        <v>438</v>
      </c>
      <c r="B1107" s="18" t="s">
        <v>439</v>
      </c>
    </row>
    <row r="1108" spans="1:2" ht="16.5" hidden="1" customHeight="1" thickBot="1" x14ac:dyDescent="0.35">
      <c r="A1108" s="13" t="s">
        <v>440</v>
      </c>
      <c r="B1108" s="18" t="s">
        <v>19</v>
      </c>
    </row>
    <row r="1109" spans="1:2" ht="16.5" hidden="1" customHeight="1" thickBot="1" x14ac:dyDescent="0.35">
      <c r="A1109" s="13" t="s">
        <v>441</v>
      </c>
      <c r="B1109" s="18">
        <v>2</v>
      </c>
    </row>
    <row r="1110" spans="1:2" ht="16.5" hidden="1" customHeight="1" thickBot="1" x14ac:dyDescent="0.35">
      <c r="A1110" s="13" t="s">
        <v>442</v>
      </c>
      <c r="B1110" s="18" t="s">
        <v>443</v>
      </c>
    </row>
    <row r="1111" spans="1:2" ht="26.25" hidden="1" customHeight="1" thickBot="1" x14ac:dyDescent="0.35">
      <c r="A1111" s="13" t="s">
        <v>76</v>
      </c>
      <c r="B1111" s="18">
        <v>183</v>
      </c>
    </row>
    <row r="1112" spans="1:2" ht="26.25" hidden="1" customHeight="1" thickBot="1" x14ac:dyDescent="0.35">
      <c r="A1112" s="13" t="s">
        <v>444</v>
      </c>
      <c r="B1112" s="18" t="s">
        <v>445</v>
      </c>
    </row>
    <row r="1113" spans="1:2" ht="39" hidden="1" customHeight="1" thickBot="1" x14ac:dyDescent="0.35">
      <c r="A1113" s="13" t="s">
        <v>77</v>
      </c>
      <c r="B1113" s="18">
        <v>2858</v>
      </c>
    </row>
    <row r="1114" spans="1:2" ht="26.25" hidden="1" customHeight="1" thickBot="1" x14ac:dyDescent="0.35">
      <c r="A1114" s="13" t="s">
        <v>446</v>
      </c>
      <c r="B1114" s="18" t="s">
        <v>447</v>
      </c>
    </row>
    <row r="1115" spans="1:2" ht="26.25" hidden="1" customHeight="1" thickBot="1" x14ac:dyDescent="0.35">
      <c r="A1115" s="13" t="s">
        <v>448</v>
      </c>
      <c r="B1115" s="18" t="s">
        <v>449</v>
      </c>
    </row>
    <row r="1116" spans="1:2" ht="26.25" hidden="1" customHeight="1" thickBot="1" x14ac:dyDescent="0.35">
      <c r="A1116" s="13" t="s">
        <v>450</v>
      </c>
      <c r="B1116" s="18" t="s">
        <v>451</v>
      </c>
    </row>
    <row r="1117" spans="1:2" ht="26.25" hidden="1" customHeight="1" x14ac:dyDescent="0.3">
      <c r="A1117" s="14" t="s">
        <v>452</v>
      </c>
      <c r="B1117" s="19" t="s">
        <v>453</v>
      </c>
    </row>
    <row r="1118" spans="1:2" ht="26.25" hidden="1" customHeight="1" thickBot="1" x14ac:dyDescent="0.3"/>
    <row r="1119" spans="1:2" ht="26.25" hidden="1" customHeight="1" x14ac:dyDescent="0.3">
      <c r="A1119" s="24" t="s">
        <v>80</v>
      </c>
      <c r="B1119" s="26"/>
    </row>
    <row r="1120" spans="1:2" ht="39" hidden="1" customHeight="1" thickBot="1" x14ac:dyDescent="0.35">
      <c r="A1120" s="13" t="s">
        <v>81</v>
      </c>
      <c r="B1120" s="2" t="s">
        <v>82</v>
      </c>
    </row>
    <row r="1121" spans="1:5" ht="38.25" hidden="1" customHeight="1" x14ac:dyDescent="0.3">
      <c r="A1121" s="14" t="s">
        <v>452</v>
      </c>
      <c r="B1121" s="2" t="s">
        <v>453</v>
      </c>
    </row>
    <row r="1122" spans="1:5" ht="16.5" hidden="1" customHeight="1" thickBot="1" x14ac:dyDescent="0.3"/>
    <row r="1123" spans="1:5" ht="33" hidden="1" customHeight="1" thickBot="1" x14ac:dyDescent="0.35">
      <c r="A1123" s="20" t="s">
        <v>454</v>
      </c>
      <c r="B1123" s="21">
        <v>19586</v>
      </c>
    </row>
    <row r="1124" spans="1:5" ht="33.75" hidden="1" customHeight="1" thickBot="1" x14ac:dyDescent="0.35">
      <c r="A1124" s="13" t="s">
        <v>455</v>
      </c>
      <c r="B1124" s="2">
        <v>19586</v>
      </c>
    </row>
    <row r="1125" spans="1:5" ht="66" hidden="1" customHeight="1" thickBot="1" x14ac:dyDescent="0.35">
      <c r="A1125" s="13" t="s">
        <v>456</v>
      </c>
      <c r="B1125" s="2">
        <v>9190109</v>
      </c>
    </row>
    <row r="1126" spans="1:5" ht="16.5" hidden="1" customHeight="1" x14ac:dyDescent="0.3">
      <c r="A1126" s="14" t="s">
        <v>457</v>
      </c>
      <c r="B1126" s="2">
        <v>9190109</v>
      </c>
    </row>
    <row r="1127" spans="1:5" ht="39" hidden="1" customHeight="1" thickBot="1" x14ac:dyDescent="0.3"/>
    <row r="1128" spans="1:5" ht="39" hidden="1" customHeight="1" x14ac:dyDescent="0.3">
      <c r="A1128" s="24" t="s">
        <v>458</v>
      </c>
      <c r="B1128" s="26"/>
      <c r="C1128" s="26"/>
      <c r="D1128" s="26"/>
    </row>
    <row r="1129" spans="1:5" ht="39" hidden="1" customHeight="1" x14ac:dyDescent="0.3">
      <c r="A1129" s="6" t="s">
        <v>459</v>
      </c>
      <c r="B1129" s="27" t="s">
        <v>19</v>
      </c>
      <c r="C1129" s="3" t="s">
        <v>93</v>
      </c>
      <c r="D1129" s="3" t="s">
        <v>93</v>
      </c>
    </row>
    <row r="1130" spans="1:5" ht="38.25" hidden="1" customHeight="1" x14ac:dyDescent="0.3">
      <c r="A1130" s="6" t="s">
        <v>460</v>
      </c>
      <c r="B1130" s="27"/>
      <c r="C1130" s="3" t="s">
        <v>86</v>
      </c>
      <c r="D1130" s="3" t="s">
        <v>461</v>
      </c>
    </row>
    <row r="1131" spans="1:5" ht="16.5" hidden="1" customHeight="1" thickBot="1" x14ac:dyDescent="0.35">
      <c r="A1131" s="6">
        <v>1</v>
      </c>
      <c r="B1131" s="17">
        <v>0</v>
      </c>
      <c r="C1131" s="2">
        <v>19342</v>
      </c>
      <c r="D1131" s="2">
        <v>9104778.6999999993</v>
      </c>
    </row>
    <row r="1132" spans="1:5" ht="16.5" hidden="1" customHeight="1" x14ac:dyDescent="0.3">
      <c r="A1132" s="6">
        <v>2</v>
      </c>
      <c r="B1132" s="22">
        <v>1</v>
      </c>
      <c r="C1132" s="2">
        <v>244</v>
      </c>
      <c r="D1132" s="2">
        <v>85330.7</v>
      </c>
    </row>
    <row r="1133" spans="1:5" ht="16.5" hidden="1" customHeight="1" x14ac:dyDescent="0.3"/>
    <row r="1134" spans="1:5" ht="33" hidden="1" customHeight="1" x14ac:dyDescent="0.3">
      <c r="A1134" s="1" t="s">
        <v>513</v>
      </c>
    </row>
    <row r="1135" spans="1:5" ht="17.25" hidden="1" customHeight="1" thickBot="1" x14ac:dyDescent="0.3"/>
    <row r="1136" spans="1:5" ht="16.5" hidden="1" customHeight="1" x14ac:dyDescent="0.3">
      <c r="A1136" s="24" t="s">
        <v>462</v>
      </c>
      <c r="B1136" s="26"/>
      <c r="C1136" s="26"/>
      <c r="D1136" s="26"/>
      <c r="E1136" s="26"/>
    </row>
    <row r="1137" spans="1:5" ht="16.5" hidden="1" customHeight="1" x14ac:dyDescent="0.3">
      <c r="A1137" s="6" t="s">
        <v>463</v>
      </c>
      <c r="B1137" s="3" t="s">
        <v>460</v>
      </c>
      <c r="C1137" s="27" t="s">
        <v>464</v>
      </c>
      <c r="D1137" s="27"/>
      <c r="E1137" s="27"/>
    </row>
    <row r="1138" spans="1:5" ht="16.5" hidden="1" customHeight="1" thickBot="1" x14ac:dyDescent="0.35">
      <c r="A1138" s="13" t="s">
        <v>22</v>
      </c>
      <c r="B1138" s="12">
        <v>1</v>
      </c>
      <c r="C1138" s="2">
        <v>0</v>
      </c>
      <c r="D1138" s="2">
        <v>0</v>
      </c>
      <c r="E1138" s="2">
        <v>0</v>
      </c>
    </row>
    <row r="1139" spans="1:5" ht="16.5" hidden="1" customHeight="1" thickBot="1" x14ac:dyDescent="0.35">
      <c r="A1139" s="13"/>
      <c r="B1139" s="12">
        <v>2</v>
      </c>
      <c r="C1139" s="2">
        <v>1</v>
      </c>
      <c r="D1139" s="2">
        <v>0</v>
      </c>
      <c r="E1139" s="2">
        <v>0</v>
      </c>
    </row>
    <row r="1140" spans="1:5" ht="16.5" hidden="1" customHeight="1" thickBot="1" x14ac:dyDescent="0.35">
      <c r="A1140" s="13"/>
      <c r="B1140" s="12">
        <v>3</v>
      </c>
      <c r="C1140" s="2">
        <v>0</v>
      </c>
      <c r="D1140" s="2">
        <v>1</v>
      </c>
      <c r="E1140" s="2">
        <v>0</v>
      </c>
    </row>
    <row r="1141" spans="1:5" ht="16.5" hidden="1" customHeight="1" x14ac:dyDescent="0.3">
      <c r="A1141" s="14"/>
      <c r="B1141" s="15">
        <v>4</v>
      </c>
      <c r="C1141" s="2">
        <v>0</v>
      </c>
      <c r="D1141" s="2">
        <v>0</v>
      </c>
      <c r="E1141" s="2">
        <v>1</v>
      </c>
    </row>
    <row r="1142" spans="1:5" ht="17.25" hidden="1" customHeight="1" thickBot="1" x14ac:dyDescent="0.3"/>
    <row r="1143" spans="1:5" ht="17.25" hidden="1" customHeight="1" x14ac:dyDescent="0.3">
      <c r="A1143" s="4" t="s">
        <v>465</v>
      </c>
    </row>
    <row r="1144" spans="1:5" ht="17.25" hidden="1" customHeight="1" x14ac:dyDescent="0.3">
      <c r="A1144" s="23" t="s">
        <v>466</v>
      </c>
    </row>
    <row r="1145" spans="1:5" ht="16.5" hidden="1" customHeight="1" thickBot="1" x14ac:dyDescent="0.3"/>
    <row r="1146" spans="1:5" ht="16.5" hidden="1" customHeight="1" x14ac:dyDescent="0.3">
      <c r="A1146" s="24" t="s">
        <v>467</v>
      </c>
      <c r="B1146" s="26"/>
      <c r="C1146" s="26"/>
    </row>
    <row r="1147" spans="1:5" ht="66" hidden="1" customHeight="1" x14ac:dyDescent="0.3">
      <c r="A1147" s="6" t="s">
        <v>468</v>
      </c>
      <c r="B1147" s="3" t="s">
        <v>469</v>
      </c>
      <c r="C1147" s="3" t="s">
        <v>470</v>
      </c>
    </row>
    <row r="1148" spans="1:5" ht="99" hidden="1" customHeight="1" thickBot="1" x14ac:dyDescent="0.35">
      <c r="A1148" s="13" t="s">
        <v>471</v>
      </c>
      <c r="B1148" s="2">
        <v>968452.4</v>
      </c>
      <c r="C1148" s="2">
        <v>958933.46</v>
      </c>
    </row>
    <row r="1149" spans="1:5" ht="16.5" hidden="1" customHeight="1" thickBot="1" x14ac:dyDescent="0.35">
      <c r="A1149" s="13" t="s">
        <v>472</v>
      </c>
      <c r="B1149" s="2">
        <v>968466.44</v>
      </c>
      <c r="C1149" s="2">
        <v>958989.6</v>
      </c>
    </row>
    <row r="1150" spans="1:5" ht="16.5" hidden="1" customHeight="1" x14ac:dyDescent="0.3">
      <c r="A1150" s="14" t="s">
        <v>473</v>
      </c>
      <c r="B1150" s="2" t="s">
        <v>630</v>
      </c>
      <c r="C1150" s="2">
        <v>958925.46</v>
      </c>
    </row>
    <row r="1151" spans="1:5" ht="66" hidden="1" customHeight="1" thickBot="1" x14ac:dyDescent="0.3"/>
    <row r="1152" spans="1:5" ht="17.25" hidden="1" customHeight="1" x14ac:dyDescent="0.3">
      <c r="A1152" s="24" t="s">
        <v>474</v>
      </c>
      <c r="B1152" s="26"/>
      <c r="C1152" s="26"/>
      <c r="D1152" s="26"/>
      <c r="E1152" s="26"/>
    </row>
    <row r="1153" spans="1:6" ht="17.25" hidden="1" customHeight="1" x14ac:dyDescent="0.3">
      <c r="A1153" s="6" t="s">
        <v>475</v>
      </c>
      <c r="B1153" s="3" t="s">
        <v>476</v>
      </c>
      <c r="C1153" s="3" t="s">
        <v>477</v>
      </c>
      <c r="D1153" s="3" t="s">
        <v>478</v>
      </c>
      <c r="E1153" s="3" t="s">
        <v>479</v>
      </c>
    </row>
    <row r="1154" spans="1:6" ht="16.5" hidden="1" customHeight="1" x14ac:dyDescent="0.3">
      <c r="A1154" s="25" t="s">
        <v>560</v>
      </c>
      <c r="B1154" s="27"/>
      <c r="C1154" s="27"/>
      <c r="D1154" s="27"/>
      <c r="E1154" s="27"/>
    </row>
    <row r="1155" spans="1:6" ht="16.5" hidden="1" customHeight="1" thickBot="1" x14ac:dyDescent="0.35">
      <c r="A1155" s="13" t="s">
        <v>481</v>
      </c>
      <c r="B1155" s="2">
        <v>6.77</v>
      </c>
      <c r="C1155" s="2">
        <v>2.9954000000000001</v>
      </c>
      <c r="D1155" s="2">
        <v>8012.6</v>
      </c>
      <c r="E1155" s="2">
        <v>1E-4</v>
      </c>
    </row>
    <row r="1156" spans="1:6" ht="16.5" hidden="1" customHeight="1" thickBot="1" x14ac:dyDescent="0.35">
      <c r="A1156" s="13" t="s">
        <v>483</v>
      </c>
      <c r="B1156" s="2">
        <v>7.48</v>
      </c>
      <c r="C1156" s="2">
        <v>3</v>
      </c>
      <c r="D1156" s="2">
        <v>2673</v>
      </c>
      <c r="E1156" s="2" t="s">
        <v>482</v>
      </c>
    </row>
    <row r="1157" spans="1:6" ht="16.5" hidden="1" customHeight="1" x14ac:dyDescent="0.3">
      <c r="A1157" s="14" t="s">
        <v>484</v>
      </c>
      <c r="B1157" s="2">
        <v>5.86</v>
      </c>
      <c r="C1157" s="2">
        <v>3</v>
      </c>
      <c r="D1157" s="2">
        <v>2673</v>
      </c>
      <c r="E1157" s="2">
        <v>5.9999999999999995E-4</v>
      </c>
    </row>
    <row r="1158" spans="1:6" ht="33" hidden="1" customHeight="1" thickBot="1" x14ac:dyDescent="0.3"/>
    <row r="1159" spans="1:6" ht="26.25" hidden="1" customHeight="1" x14ac:dyDescent="0.3">
      <c r="A1159" s="24" t="s">
        <v>485</v>
      </c>
      <c r="B1159" s="26"/>
      <c r="C1159" s="26"/>
      <c r="D1159" s="26"/>
      <c r="E1159" s="26"/>
    </row>
    <row r="1160" spans="1:6" ht="17.25" hidden="1" customHeight="1" x14ac:dyDescent="0.3">
      <c r="A1160" s="6" t="s">
        <v>486</v>
      </c>
      <c r="B1160" s="3" t="s">
        <v>476</v>
      </c>
      <c r="C1160" s="3" t="s">
        <v>477</v>
      </c>
      <c r="D1160" s="3" t="s">
        <v>478</v>
      </c>
      <c r="E1160" s="3" t="s">
        <v>479</v>
      </c>
    </row>
    <row r="1161" spans="1:6" ht="16.5" hidden="1" customHeight="1" x14ac:dyDescent="0.3">
      <c r="A1161" s="14" t="s">
        <v>22</v>
      </c>
      <c r="B1161" s="2">
        <v>5.86</v>
      </c>
      <c r="C1161" s="2">
        <v>3</v>
      </c>
      <c r="D1161" s="2">
        <v>2673</v>
      </c>
      <c r="E1161" s="2">
        <v>5.9999999999999995E-4</v>
      </c>
    </row>
    <row r="1162" spans="1:6" ht="16.5" hidden="1" customHeight="1" thickBot="1" x14ac:dyDescent="0.3"/>
    <row r="1163" spans="1:6" ht="16.5" hidden="1" customHeight="1" x14ac:dyDescent="0.3">
      <c r="A1163" s="24" t="s">
        <v>487</v>
      </c>
      <c r="B1163" s="26"/>
      <c r="C1163" s="26"/>
      <c r="D1163" s="26"/>
      <c r="E1163" s="26"/>
      <c r="F1163" s="26"/>
    </row>
    <row r="1164" spans="1:6" ht="16.5" hidden="1" customHeight="1" x14ac:dyDescent="0.3">
      <c r="A1164" s="25" t="s">
        <v>488</v>
      </c>
      <c r="B1164" s="27"/>
      <c r="C1164" s="27" t="s">
        <v>489</v>
      </c>
      <c r="D1164" s="3" t="s">
        <v>490</v>
      </c>
      <c r="E1164" s="27" t="s">
        <v>492</v>
      </c>
      <c r="F1164" s="27" t="s">
        <v>493</v>
      </c>
    </row>
    <row r="1165" spans="1:6" ht="16.5" hidden="1" customHeight="1" x14ac:dyDescent="0.3">
      <c r="A1165" s="25"/>
      <c r="B1165" s="27"/>
      <c r="C1165" s="27"/>
      <c r="D1165" s="3" t="s">
        <v>491</v>
      </c>
      <c r="E1165" s="27"/>
      <c r="F1165" s="27"/>
    </row>
    <row r="1166" spans="1:6" ht="16.5" hidden="1" customHeight="1" x14ac:dyDescent="0.3">
      <c r="A1166" s="25" t="s">
        <v>558</v>
      </c>
      <c r="B1166" s="27"/>
      <c r="C1166" s="27"/>
      <c r="D1166" s="27"/>
      <c r="E1166" s="27"/>
      <c r="F1166" s="27"/>
    </row>
    <row r="1167" spans="1:6" ht="16.5" hidden="1" customHeight="1" thickBot="1" x14ac:dyDescent="0.35">
      <c r="A1167" s="13" t="s">
        <v>495</v>
      </c>
      <c r="B1167" s="12"/>
      <c r="C1167" s="16">
        <v>-5.2458999999999998</v>
      </c>
      <c r="D1167" s="2">
        <v>0.2024</v>
      </c>
      <c r="E1167" s="16">
        <v>-25.91</v>
      </c>
      <c r="F1167" s="2" t="s">
        <v>482</v>
      </c>
    </row>
    <row r="1168" spans="1:6" ht="16.5" hidden="1" customHeight="1" thickBot="1" x14ac:dyDescent="0.35">
      <c r="A1168" s="13" t="s">
        <v>22</v>
      </c>
      <c r="B1168" s="12">
        <v>2</v>
      </c>
      <c r="C1168" s="2">
        <v>0.38229999999999997</v>
      </c>
      <c r="D1168" s="2">
        <v>0.2505</v>
      </c>
      <c r="E1168" s="2">
        <v>1.53</v>
      </c>
      <c r="F1168" s="2">
        <v>0.12709999999999999</v>
      </c>
    </row>
    <row r="1169" spans="1:9" ht="16.5" hidden="1" customHeight="1" thickBot="1" x14ac:dyDescent="0.35">
      <c r="A1169" s="13" t="s">
        <v>22</v>
      </c>
      <c r="B1169" s="12">
        <v>3</v>
      </c>
      <c r="C1169" s="2">
        <v>0.76349999999999996</v>
      </c>
      <c r="D1169" s="2">
        <v>0.24199999999999999</v>
      </c>
      <c r="E1169" s="2">
        <v>3.16</v>
      </c>
      <c r="F1169" s="2">
        <v>1.6000000000000001E-3</v>
      </c>
    </row>
    <row r="1170" spans="1:9" ht="16.5" hidden="1" customHeight="1" x14ac:dyDescent="0.3">
      <c r="A1170" s="14" t="s">
        <v>22</v>
      </c>
      <c r="B1170" s="15">
        <v>4</v>
      </c>
      <c r="C1170" s="2">
        <v>0.9143</v>
      </c>
      <c r="D1170" s="2">
        <v>0.24640000000000001</v>
      </c>
      <c r="E1170" s="2">
        <v>3.71</v>
      </c>
      <c r="F1170" s="2">
        <v>2.0000000000000001E-4</v>
      </c>
    </row>
    <row r="1171" spans="1:9" ht="17.25" hidden="1" customHeight="1" thickBot="1" x14ac:dyDescent="0.3"/>
    <row r="1172" spans="1:9" ht="17.25" hidden="1" customHeight="1" x14ac:dyDescent="0.3">
      <c r="A1172" s="24" t="s">
        <v>496</v>
      </c>
      <c r="B1172" s="26"/>
      <c r="C1172" s="26"/>
      <c r="D1172" s="26"/>
      <c r="H1172">
        <f>F1172</f>
        <v>0</v>
      </c>
    </row>
    <row r="1173" spans="1:9" ht="17.25" hidden="1" customHeight="1" x14ac:dyDescent="0.3">
      <c r="A1173" s="6" t="s">
        <v>486</v>
      </c>
      <c r="B1173" s="3" t="s">
        <v>497</v>
      </c>
      <c r="C1173" s="27" t="s">
        <v>91</v>
      </c>
      <c r="D1173" s="27"/>
      <c r="H1173">
        <f t="shared" ref="H1173:H1174" si="39">F1173</f>
        <v>0</v>
      </c>
    </row>
    <row r="1174" spans="1:9" ht="16.5" hidden="1" customHeight="1" x14ac:dyDescent="0.3">
      <c r="A1174" s="25" t="s">
        <v>559</v>
      </c>
      <c r="B1174" s="27"/>
      <c r="C1174" s="27"/>
      <c r="D1174" s="27"/>
      <c r="H1174">
        <f t="shared" si="39"/>
        <v>0</v>
      </c>
    </row>
    <row r="1175" spans="1:9" ht="16.5" hidden="1" customHeight="1" thickBot="1" x14ac:dyDescent="0.35">
      <c r="A1175" s="13" t="s">
        <v>499</v>
      </c>
      <c r="B1175" s="2">
        <v>1.466</v>
      </c>
      <c r="C1175" s="2">
        <v>0.89700000000000002</v>
      </c>
      <c r="D1175" s="2">
        <v>2.395</v>
      </c>
    </row>
    <row r="1176" spans="1:9" ht="16.5" hidden="1" customHeight="1" thickBot="1" x14ac:dyDescent="0.35">
      <c r="A1176" s="13" t="s">
        <v>500</v>
      </c>
      <c r="B1176" s="2">
        <v>2.1459999999999999</v>
      </c>
      <c r="C1176" s="2">
        <v>1.335</v>
      </c>
      <c r="D1176" s="2">
        <v>3.4489999999999998</v>
      </c>
    </row>
    <row r="1177" spans="1:9" ht="33" hidden="1" customHeight="1" thickBot="1" x14ac:dyDescent="0.35">
      <c r="A1177" s="14" t="s">
        <v>501</v>
      </c>
      <c r="B1177" s="2">
        <v>2.4950000000000001</v>
      </c>
      <c r="C1177" s="2">
        <v>1.5389999999999999</v>
      </c>
      <c r="D1177" s="2">
        <v>4.0449999999999999</v>
      </c>
    </row>
    <row r="1178" spans="1:9" ht="49.5" hidden="1" customHeight="1" thickBot="1" x14ac:dyDescent="0.3"/>
    <row r="1179" spans="1:9" ht="33" customHeight="1" x14ac:dyDescent="0.3">
      <c r="A1179" s="24" t="s">
        <v>502</v>
      </c>
      <c r="B1179" s="26"/>
      <c r="C1179" s="26"/>
      <c r="D1179" s="26"/>
      <c r="H1179" s="8" t="str">
        <f t="shared" ref="H1179:H1181" si="40">TEXT(B1179,"0.00")&amp;" ("&amp;TEXT(C1179,"0.00")&amp;" to "&amp;TEXT(D1179,"0.00")&amp;")"</f>
        <v>0.00 (0.00 to 0.00)</v>
      </c>
      <c r="I1179">
        <f t="shared" ref="I1179:I1181" si="41">F1172</f>
        <v>0</v>
      </c>
    </row>
    <row r="1180" spans="1:9" ht="26.25" customHeight="1" thickBot="1" x14ac:dyDescent="0.35">
      <c r="A1180" s="13" t="s">
        <v>503</v>
      </c>
      <c r="B1180" s="2">
        <v>44.8</v>
      </c>
      <c r="C1180" s="12" t="s">
        <v>504</v>
      </c>
      <c r="D1180" s="2">
        <v>0.14599999999999999</v>
      </c>
      <c r="H1180" s="8" t="str">
        <f t="shared" si="40"/>
        <v>44.80 (Somers' D to 0.15)</v>
      </c>
      <c r="I1180">
        <f t="shared" si="41"/>
        <v>0</v>
      </c>
    </row>
    <row r="1181" spans="1:9" ht="25.5" customHeight="1" thickBot="1" x14ac:dyDescent="0.35">
      <c r="A1181" s="13" t="s">
        <v>505</v>
      </c>
      <c r="B1181" s="2">
        <v>30.2</v>
      </c>
      <c r="C1181" s="12" t="s">
        <v>506</v>
      </c>
      <c r="D1181" s="2">
        <v>0.19400000000000001</v>
      </c>
      <c r="H1181" s="8" t="str">
        <f t="shared" si="40"/>
        <v>30.20 (Gamma to 0.19)</v>
      </c>
      <c r="I1181">
        <f t="shared" si="41"/>
        <v>0</v>
      </c>
    </row>
    <row r="1182" spans="1:9" ht="16.5" hidden="1" customHeight="1" thickBot="1" x14ac:dyDescent="0.35">
      <c r="A1182" s="13" t="s">
        <v>507</v>
      </c>
      <c r="B1182" s="2">
        <v>25</v>
      </c>
      <c r="C1182" s="12" t="s">
        <v>508</v>
      </c>
      <c r="D1182" s="2">
        <v>4.0000000000000001E-3</v>
      </c>
    </row>
    <row r="1183" spans="1:9" ht="33" hidden="1" customHeight="1" x14ac:dyDescent="0.3">
      <c r="A1183" s="14" t="s">
        <v>509</v>
      </c>
      <c r="B1183" s="2">
        <v>4719448</v>
      </c>
      <c r="C1183" s="15" t="s">
        <v>510</v>
      </c>
      <c r="D1183" s="2">
        <v>0.57299999999999995</v>
      </c>
    </row>
    <row r="1184" spans="1:9" ht="39" hidden="1" customHeight="1" x14ac:dyDescent="0.3"/>
    <row r="1185" spans="1:2" ht="26.25" hidden="1" customHeight="1" x14ac:dyDescent="0.3"/>
    <row r="1186" spans="1:2" ht="26.25" hidden="1" customHeight="1" x14ac:dyDescent="0.3"/>
    <row r="1187" spans="1:2" ht="16.5" hidden="1" customHeight="1" x14ac:dyDescent="0.3">
      <c r="A1187" s="1" t="s">
        <v>436</v>
      </c>
    </row>
    <row r="1188" spans="1:2" ht="16.5" hidden="1" customHeight="1" x14ac:dyDescent="0.3"/>
    <row r="1189" spans="1:2" ht="16.5" hidden="1" customHeight="1" x14ac:dyDescent="0.3">
      <c r="A1189" s="1" t="s">
        <v>408</v>
      </c>
    </row>
    <row r="1190" spans="1:2" ht="16.5" hidden="1" customHeight="1" thickBot="1" x14ac:dyDescent="0.3"/>
    <row r="1191" spans="1:2" ht="16.5" hidden="1" customHeight="1" x14ac:dyDescent="0.3">
      <c r="A1191" s="24" t="s">
        <v>437</v>
      </c>
      <c r="B1191" s="26"/>
    </row>
    <row r="1192" spans="1:2" ht="16.5" hidden="1" customHeight="1" thickBot="1" x14ac:dyDescent="0.35">
      <c r="A1192" s="13" t="s">
        <v>438</v>
      </c>
      <c r="B1192" s="18" t="s">
        <v>439</v>
      </c>
    </row>
    <row r="1193" spans="1:2" ht="16.5" hidden="1" customHeight="1" thickBot="1" x14ac:dyDescent="0.35">
      <c r="A1193" s="13" t="s">
        <v>440</v>
      </c>
      <c r="B1193" s="18" t="s">
        <v>19</v>
      </c>
    </row>
    <row r="1194" spans="1:2" ht="16.5" hidden="1" customHeight="1" thickBot="1" x14ac:dyDescent="0.35">
      <c r="A1194" s="13" t="s">
        <v>441</v>
      </c>
      <c r="B1194" s="18">
        <v>2</v>
      </c>
    </row>
    <row r="1195" spans="1:2" ht="16.5" hidden="1" customHeight="1" thickBot="1" x14ac:dyDescent="0.35">
      <c r="A1195" s="13" t="s">
        <v>442</v>
      </c>
      <c r="B1195" s="18" t="s">
        <v>443</v>
      </c>
    </row>
    <row r="1196" spans="1:2" ht="26.25" hidden="1" customHeight="1" thickBot="1" x14ac:dyDescent="0.35">
      <c r="A1196" s="13" t="s">
        <v>76</v>
      </c>
      <c r="B1196" s="18">
        <v>183</v>
      </c>
    </row>
    <row r="1197" spans="1:2" ht="26.25" hidden="1" customHeight="1" thickBot="1" x14ac:dyDescent="0.35">
      <c r="A1197" s="13" t="s">
        <v>444</v>
      </c>
      <c r="B1197" s="18" t="s">
        <v>445</v>
      </c>
    </row>
    <row r="1198" spans="1:2" ht="39" hidden="1" customHeight="1" thickBot="1" x14ac:dyDescent="0.35">
      <c r="A1198" s="13" t="s">
        <v>77</v>
      </c>
      <c r="B1198" s="18">
        <v>2660</v>
      </c>
    </row>
    <row r="1199" spans="1:2" ht="26.25" hidden="1" customHeight="1" thickBot="1" x14ac:dyDescent="0.35">
      <c r="A1199" s="13" t="s">
        <v>446</v>
      </c>
      <c r="B1199" s="18" t="s">
        <v>447</v>
      </c>
    </row>
    <row r="1200" spans="1:2" ht="26.25" hidden="1" customHeight="1" thickBot="1" x14ac:dyDescent="0.35">
      <c r="A1200" s="13" t="s">
        <v>448</v>
      </c>
      <c r="B1200" s="18" t="s">
        <v>449</v>
      </c>
    </row>
    <row r="1201" spans="1:4" ht="26.25" hidden="1" customHeight="1" thickBot="1" x14ac:dyDescent="0.35">
      <c r="A1201" s="13" t="s">
        <v>450</v>
      </c>
      <c r="B1201" s="18" t="s">
        <v>451</v>
      </c>
    </row>
    <row r="1202" spans="1:4" ht="26.25" hidden="1" customHeight="1" x14ac:dyDescent="0.3">
      <c r="A1202" s="14" t="s">
        <v>452</v>
      </c>
      <c r="B1202" s="19" t="s">
        <v>453</v>
      </c>
    </row>
    <row r="1203" spans="1:4" ht="26.25" hidden="1" customHeight="1" thickBot="1" x14ac:dyDescent="0.3"/>
    <row r="1204" spans="1:4" ht="26.25" hidden="1" customHeight="1" x14ac:dyDescent="0.3">
      <c r="A1204" s="24" t="s">
        <v>80</v>
      </c>
      <c r="B1204" s="26"/>
    </row>
    <row r="1205" spans="1:4" ht="39" hidden="1" customHeight="1" thickBot="1" x14ac:dyDescent="0.35">
      <c r="A1205" s="13" t="s">
        <v>81</v>
      </c>
      <c r="B1205" s="2" t="s">
        <v>82</v>
      </c>
    </row>
    <row r="1206" spans="1:4" ht="38.25" hidden="1" customHeight="1" x14ac:dyDescent="0.3">
      <c r="A1206" s="14" t="s">
        <v>452</v>
      </c>
      <c r="B1206" s="2" t="s">
        <v>453</v>
      </c>
    </row>
    <row r="1207" spans="1:4" ht="16.5" hidden="1" customHeight="1" thickBot="1" x14ac:dyDescent="0.3"/>
    <row r="1208" spans="1:4" ht="33" hidden="1" customHeight="1" thickBot="1" x14ac:dyDescent="0.35">
      <c r="A1208" s="20" t="s">
        <v>454</v>
      </c>
      <c r="B1208" s="21">
        <v>20950</v>
      </c>
    </row>
    <row r="1209" spans="1:4" ht="33.75" hidden="1" customHeight="1" thickBot="1" x14ac:dyDescent="0.35">
      <c r="A1209" s="13" t="s">
        <v>455</v>
      </c>
      <c r="B1209" s="2">
        <v>20950</v>
      </c>
    </row>
    <row r="1210" spans="1:4" ht="66" hidden="1" customHeight="1" thickBot="1" x14ac:dyDescent="0.35">
      <c r="A1210" s="13" t="s">
        <v>456</v>
      </c>
      <c r="B1210" s="2">
        <v>9858146</v>
      </c>
    </row>
    <row r="1211" spans="1:4" ht="16.5" hidden="1" customHeight="1" x14ac:dyDescent="0.3">
      <c r="A1211" s="14" t="s">
        <v>457</v>
      </c>
      <c r="B1211" s="2">
        <v>9858146</v>
      </c>
    </row>
    <row r="1212" spans="1:4" ht="39" hidden="1" customHeight="1" thickBot="1" x14ac:dyDescent="0.3"/>
    <row r="1213" spans="1:4" ht="39" hidden="1" customHeight="1" x14ac:dyDescent="0.3">
      <c r="A1213" s="24" t="s">
        <v>458</v>
      </c>
      <c r="B1213" s="26"/>
      <c r="C1213" s="26"/>
      <c r="D1213" s="26"/>
    </row>
    <row r="1214" spans="1:4" ht="39" hidden="1" customHeight="1" x14ac:dyDescent="0.3">
      <c r="A1214" s="6" t="s">
        <v>459</v>
      </c>
      <c r="B1214" s="27" t="s">
        <v>19</v>
      </c>
      <c r="C1214" s="3" t="s">
        <v>93</v>
      </c>
      <c r="D1214" s="3" t="s">
        <v>93</v>
      </c>
    </row>
    <row r="1215" spans="1:4" ht="38.25" hidden="1" customHeight="1" x14ac:dyDescent="0.3">
      <c r="A1215" s="6" t="s">
        <v>460</v>
      </c>
      <c r="B1215" s="27"/>
      <c r="C1215" s="3" t="s">
        <v>86</v>
      </c>
      <c r="D1215" s="3" t="s">
        <v>461</v>
      </c>
    </row>
    <row r="1216" spans="1:4" ht="16.5" hidden="1" customHeight="1" thickBot="1" x14ac:dyDescent="0.35">
      <c r="A1216" s="6">
        <v>1</v>
      </c>
      <c r="B1216" s="17">
        <v>0</v>
      </c>
      <c r="C1216" s="2">
        <v>20719</v>
      </c>
      <c r="D1216" s="2">
        <v>9768286.6999999993</v>
      </c>
    </row>
    <row r="1217" spans="1:5" ht="16.5" hidden="1" customHeight="1" x14ac:dyDescent="0.3">
      <c r="A1217" s="6">
        <v>2</v>
      </c>
      <c r="B1217" s="22">
        <v>1</v>
      </c>
      <c r="C1217" s="2">
        <v>231</v>
      </c>
      <c r="D1217" s="2">
        <v>89859.199999999997</v>
      </c>
    </row>
    <row r="1218" spans="1:5" ht="16.5" hidden="1" customHeight="1" x14ac:dyDescent="0.3"/>
    <row r="1219" spans="1:5" ht="33" hidden="1" customHeight="1" x14ac:dyDescent="0.3">
      <c r="A1219" s="1" t="s">
        <v>513</v>
      </c>
    </row>
    <row r="1220" spans="1:5" ht="17.25" hidden="1" customHeight="1" thickBot="1" x14ac:dyDescent="0.3"/>
    <row r="1221" spans="1:5" ht="16.5" hidden="1" customHeight="1" x14ac:dyDescent="0.3">
      <c r="A1221" s="24" t="s">
        <v>462</v>
      </c>
      <c r="B1221" s="26"/>
      <c r="C1221" s="26"/>
      <c r="D1221" s="26"/>
      <c r="E1221" s="26"/>
    </row>
    <row r="1222" spans="1:5" ht="16.5" hidden="1" customHeight="1" x14ac:dyDescent="0.3">
      <c r="A1222" s="6" t="s">
        <v>463</v>
      </c>
      <c r="B1222" s="3" t="s">
        <v>460</v>
      </c>
      <c r="C1222" s="27" t="s">
        <v>464</v>
      </c>
      <c r="D1222" s="27"/>
      <c r="E1222" s="27"/>
    </row>
    <row r="1223" spans="1:5" ht="16.5" hidden="1" customHeight="1" thickBot="1" x14ac:dyDescent="0.35">
      <c r="A1223" s="13" t="s">
        <v>22</v>
      </c>
      <c r="B1223" s="12">
        <v>1</v>
      </c>
      <c r="C1223" s="2">
        <v>0</v>
      </c>
      <c r="D1223" s="2">
        <v>0</v>
      </c>
      <c r="E1223" s="2">
        <v>0</v>
      </c>
    </row>
    <row r="1224" spans="1:5" ht="16.5" hidden="1" customHeight="1" thickBot="1" x14ac:dyDescent="0.35">
      <c r="A1224" s="13"/>
      <c r="B1224" s="12">
        <v>2</v>
      </c>
      <c r="C1224" s="2">
        <v>1</v>
      </c>
      <c r="D1224" s="2">
        <v>0</v>
      </c>
      <c r="E1224" s="2">
        <v>0</v>
      </c>
    </row>
    <row r="1225" spans="1:5" ht="16.5" hidden="1" customHeight="1" thickBot="1" x14ac:dyDescent="0.35">
      <c r="A1225" s="13"/>
      <c r="B1225" s="12">
        <v>3</v>
      </c>
      <c r="C1225" s="2">
        <v>0</v>
      </c>
      <c r="D1225" s="2">
        <v>1</v>
      </c>
      <c r="E1225" s="2">
        <v>0</v>
      </c>
    </row>
    <row r="1226" spans="1:5" ht="16.5" hidden="1" customHeight="1" x14ac:dyDescent="0.3">
      <c r="A1226" s="14"/>
      <c r="B1226" s="15">
        <v>4</v>
      </c>
      <c r="C1226" s="2">
        <v>0</v>
      </c>
      <c r="D1226" s="2">
        <v>0</v>
      </c>
      <c r="E1226" s="2">
        <v>1</v>
      </c>
    </row>
    <row r="1227" spans="1:5" ht="17.25" hidden="1" customHeight="1" thickBot="1" x14ac:dyDescent="0.3"/>
    <row r="1228" spans="1:5" ht="17.25" hidden="1" customHeight="1" x14ac:dyDescent="0.3">
      <c r="A1228" s="4" t="s">
        <v>465</v>
      </c>
    </row>
    <row r="1229" spans="1:5" ht="17.25" hidden="1" customHeight="1" x14ac:dyDescent="0.3">
      <c r="A1229" s="23" t="s">
        <v>466</v>
      </c>
    </row>
    <row r="1230" spans="1:5" ht="16.5" hidden="1" customHeight="1" thickBot="1" x14ac:dyDescent="0.3"/>
    <row r="1231" spans="1:5" ht="16.5" hidden="1" customHeight="1" x14ac:dyDescent="0.3">
      <c r="A1231" s="24" t="s">
        <v>467</v>
      </c>
      <c r="B1231" s="26"/>
      <c r="C1231" s="26"/>
    </row>
    <row r="1232" spans="1:5" ht="66" hidden="1" customHeight="1" x14ac:dyDescent="0.3">
      <c r="A1232" s="6" t="s">
        <v>468</v>
      </c>
      <c r="B1232" s="3" t="s">
        <v>469</v>
      </c>
      <c r="C1232" s="3" t="s">
        <v>470</v>
      </c>
    </row>
    <row r="1233" spans="1:6" ht="99" hidden="1" customHeight="1" thickBot="1" x14ac:dyDescent="0.35">
      <c r="A1233" s="13" t="s">
        <v>471</v>
      </c>
      <c r="B1233" s="2">
        <v>1023181.2</v>
      </c>
      <c r="C1233" s="2">
        <v>1013381.1</v>
      </c>
    </row>
    <row r="1234" spans="1:6" ht="16.5" hidden="1" customHeight="1" thickBot="1" x14ac:dyDescent="0.35">
      <c r="A1234" s="13" t="s">
        <v>472</v>
      </c>
      <c r="B1234" s="2">
        <v>1023195.3</v>
      </c>
      <c r="C1234" s="2">
        <v>1013437.5</v>
      </c>
    </row>
    <row r="1235" spans="1:6" ht="16.5" hidden="1" customHeight="1" x14ac:dyDescent="0.3">
      <c r="A1235" s="14" t="s">
        <v>473</v>
      </c>
      <c r="B1235" s="2" t="s">
        <v>631</v>
      </c>
      <c r="C1235" s="2">
        <v>1013373.1</v>
      </c>
    </row>
    <row r="1236" spans="1:6" ht="66" hidden="1" customHeight="1" thickBot="1" x14ac:dyDescent="0.3"/>
    <row r="1237" spans="1:6" ht="17.25" hidden="1" customHeight="1" x14ac:dyDescent="0.3">
      <c r="A1237" s="24" t="s">
        <v>474</v>
      </c>
      <c r="B1237" s="26"/>
      <c r="C1237" s="26"/>
      <c r="D1237" s="26"/>
      <c r="E1237" s="26"/>
    </row>
    <row r="1238" spans="1:6" ht="17.25" hidden="1" customHeight="1" x14ac:dyDescent="0.3">
      <c r="A1238" s="6" t="s">
        <v>475</v>
      </c>
      <c r="B1238" s="3" t="s">
        <v>476</v>
      </c>
      <c r="C1238" s="3" t="s">
        <v>477</v>
      </c>
      <c r="D1238" s="3" t="s">
        <v>478</v>
      </c>
      <c r="E1238" s="3" t="s">
        <v>479</v>
      </c>
    </row>
    <row r="1239" spans="1:6" ht="16.5" hidden="1" customHeight="1" x14ac:dyDescent="0.3">
      <c r="A1239" s="25" t="s">
        <v>632</v>
      </c>
      <c r="B1239" s="27"/>
      <c r="C1239" s="27"/>
      <c r="D1239" s="27"/>
      <c r="E1239" s="27"/>
    </row>
    <row r="1240" spans="1:6" ht="16.5" hidden="1" customHeight="1" thickBot="1" x14ac:dyDescent="0.35">
      <c r="A1240" s="13" t="s">
        <v>481</v>
      </c>
      <c r="B1240" s="2">
        <v>6.62</v>
      </c>
      <c r="C1240" s="2">
        <v>2.9437000000000002</v>
      </c>
      <c r="D1240" s="2">
        <v>7291.62</v>
      </c>
      <c r="E1240" s="2">
        <v>2.0000000000000001E-4</v>
      </c>
    </row>
    <row r="1241" spans="1:6" ht="16.5" hidden="1" customHeight="1" thickBot="1" x14ac:dyDescent="0.35">
      <c r="A1241" s="13" t="s">
        <v>483</v>
      </c>
      <c r="B1241" s="2">
        <v>6.79</v>
      </c>
      <c r="C1241" s="2">
        <v>3</v>
      </c>
      <c r="D1241" s="2">
        <v>2475</v>
      </c>
      <c r="E1241" s="2">
        <v>1E-4</v>
      </c>
    </row>
    <row r="1242" spans="1:6" ht="16.5" hidden="1" customHeight="1" x14ac:dyDescent="0.3">
      <c r="A1242" s="14" t="s">
        <v>484</v>
      </c>
      <c r="B1242" s="2">
        <v>4.72</v>
      </c>
      <c r="C1242" s="2">
        <v>3</v>
      </c>
      <c r="D1242" s="2">
        <v>2475</v>
      </c>
      <c r="E1242" s="2">
        <v>2.7000000000000001E-3</v>
      </c>
    </row>
    <row r="1243" spans="1:6" ht="33" hidden="1" customHeight="1" thickBot="1" x14ac:dyDescent="0.3"/>
    <row r="1244" spans="1:6" ht="26.25" hidden="1" customHeight="1" x14ac:dyDescent="0.3">
      <c r="A1244" s="24" t="s">
        <v>485</v>
      </c>
      <c r="B1244" s="26"/>
      <c r="C1244" s="26"/>
      <c r="D1244" s="26"/>
      <c r="E1244" s="26"/>
    </row>
    <row r="1245" spans="1:6" ht="17.25" hidden="1" customHeight="1" x14ac:dyDescent="0.3">
      <c r="A1245" s="6" t="s">
        <v>486</v>
      </c>
      <c r="B1245" s="3" t="s">
        <v>476</v>
      </c>
      <c r="C1245" s="3" t="s">
        <v>477</v>
      </c>
      <c r="D1245" s="3" t="s">
        <v>478</v>
      </c>
      <c r="E1245" s="3" t="s">
        <v>479</v>
      </c>
    </row>
    <row r="1246" spans="1:6" ht="16.5" hidden="1" customHeight="1" x14ac:dyDescent="0.3">
      <c r="A1246" s="14" t="s">
        <v>22</v>
      </c>
      <c r="B1246" s="2">
        <v>4.72</v>
      </c>
      <c r="C1246" s="2">
        <v>3</v>
      </c>
      <c r="D1246" s="2">
        <v>2475</v>
      </c>
      <c r="E1246" s="2">
        <v>2.7000000000000001E-3</v>
      </c>
    </row>
    <row r="1247" spans="1:6" ht="16.5" hidden="1" customHeight="1" thickBot="1" x14ac:dyDescent="0.3"/>
    <row r="1248" spans="1:6" ht="16.5" hidden="1" customHeight="1" x14ac:dyDescent="0.3">
      <c r="A1248" s="24" t="s">
        <v>487</v>
      </c>
      <c r="B1248" s="26"/>
      <c r="C1248" s="26"/>
      <c r="D1248" s="26"/>
      <c r="E1248" s="26"/>
      <c r="F1248" s="26"/>
    </row>
    <row r="1249" spans="1:9" ht="16.5" hidden="1" customHeight="1" x14ac:dyDescent="0.3">
      <c r="A1249" s="25" t="s">
        <v>488</v>
      </c>
      <c r="B1249" s="27"/>
      <c r="C1249" s="27" t="s">
        <v>489</v>
      </c>
      <c r="D1249" s="3" t="s">
        <v>490</v>
      </c>
      <c r="E1249" s="27" t="s">
        <v>492</v>
      </c>
      <c r="F1249" s="27" t="s">
        <v>493</v>
      </c>
    </row>
    <row r="1250" spans="1:9" ht="16.5" hidden="1" customHeight="1" x14ac:dyDescent="0.3">
      <c r="A1250" s="25"/>
      <c r="B1250" s="27"/>
      <c r="C1250" s="27"/>
      <c r="D1250" s="3" t="s">
        <v>491</v>
      </c>
      <c r="E1250" s="27"/>
      <c r="F1250" s="27"/>
    </row>
    <row r="1251" spans="1:9" ht="16.5" hidden="1" customHeight="1" x14ac:dyDescent="0.3">
      <c r="A1251" s="25" t="s">
        <v>561</v>
      </c>
      <c r="B1251" s="27"/>
      <c r="C1251" s="27"/>
      <c r="D1251" s="27"/>
      <c r="E1251" s="27"/>
      <c r="F1251" s="27"/>
    </row>
    <row r="1252" spans="1:9" ht="16.5" hidden="1" customHeight="1" thickBot="1" x14ac:dyDescent="0.35">
      <c r="A1252" s="13" t="s">
        <v>495</v>
      </c>
      <c r="B1252" s="12"/>
      <c r="C1252" s="16">
        <v>-5.3270999999999997</v>
      </c>
      <c r="D1252" s="2">
        <v>0.2286</v>
      </c>
      <c r="E1252" s="16">
        <v>-23.31</v>
      </c>
      <c r="F1252" s="2" t="s">
        <v>482</v>
      </c>
    </row>
    <row r="1253" spans="1:9" ht="16.5" hidden="1" customHeight="1" thickBot="1" x14ac:dyDescent="0.35">
      <c r="A1253" s="13" t="s">
        <v>22</v>
      </c>
      <c r="B1253" s="12">
        <v>2</v>
      </c>
      <c r="C1253" s="2">
        <v>0.67110000000000003</v>
      </c>
      <c r="D1253" s="2">
        <v>0.27600000000000002</v>
      </c>
      <c r="E1253" s="2">
        <v>2.4300000000000002</v>
      </c>
      <c r="F1253" s="2">
        <v>1.5100000000000001E-2</v>
      </c>
    </row>
    <row r="1254" spans="1:9" ht="16.5" hidden="1" customHeight="1" thickBot="1" x14ac:dyDescent="0.35">
      <c r="A1254" s="13" t="s">
        <v>22</v>
      </c>
      <c r="B1254" s="12">
        <v>3</v>
      </c>
      <c r="C1254" s="2">
        <v>0.71950000000000003</v>
      </c>
      <c r="D1254" s="2">
        <v>0.28170000000000001</v>
      </c>
      <c r="E1254" s="2">
        <v>2.5499999999999998</v>
      </c>
      <c r="F1254" s="2">
        <v>1.0699999999999999E-2</v>
      </c>
    </row>
    <row r="1255" spans="1:9" ht="16.5" hidden="1" customHeight="1" x14ac:dyDescent="0.3">
      <c r="A1255" s="14" t="s">
        <v>22</v>
      </c>
      <c r="B1255" s="15">
        <v>4</v>
      </c>
      <c r="C1255" s="2">
        <v>0.97409999999999997</v>
      </c>
      <c r="D1255" s="2">
        <v>0.26019999999999999</v>
      </c>
      <c r="E1255" s="2">
        <v>3.74</v>
      </c>
      <c r="F1255" s="2">
        <v>2.0000000000000001E-4</v>
      </c>
    </row>
    <row r="1256" spans="1:9" ht="17.25" hidden="1" customHeight="1" thickBot="1" x14ac:dyDescent="0.3"/>
    <row r="1257" spans="1:9" ht="17.25" hidden="1" customHeight="1" x14ac:dyDescent="0.3">
      <c r="A1257" s="24" t="s">
        <v>496</v>
      </c>
      <c r="B1257" s="26"/>
      <c r="C1257" s="26"/>
      <c r="D1257" s="26"/>
      <c r="H1257">
        <f>F1257</f>
        <v>0</v>
      </c>
    </row>
    <row r="1258" spans="1:9" ht="17.25" hidden="1" customHeight="1" x14ac:dyDescent="0.3">
      <c r="A1258" s="6" t="s">
        <v>486</v>
      </c>
      <c r="B1258" s="3" t="s">
        <v>497</v>
      </c>
      <c r="C1258" s="27" t="s">
        <v>91</v>
      </c>
      <c r="D1258" s="27"/>
      <c r="H1258">
        <f t="shared" ref="H1258:H1259" si="42">F1258</f>
        <v>0</v>
      </c>
    </row>
    <row r="1259" spans="1:9" ht="16.5" hidden="1" customHeight="1" x14ac:dyDescent="0.3">
      <c r="A1259" s="25" t="s">
        <v>562</v>
      </c>
      <c r="B1259" s="27"/>
      <c r="C1259" s="27"/>
      <c r="D1259" s="27"/>
      <c r="H1259">
        <f t="shared" si="42"/>
        <v>0</v>
      </c>
    </row>
    <row r="1260" spans="1:9" ht="16.5" hidden="1" customHeight="1" thickBot="1" x14ac:dyDescent="0.35">
      <c r="A1260" s="13" t="s">
        <v>499</v>
      </c>
      <c r="B1260" s="2">
        <v>1.956</v>
      </c>
      <c r="C1260" s="2">
        <v>1.139</v>
      </c>
      <c r="D1260" s="2">
        <v>3.3610000000000002</v>
      </c>
    </row>
    <row r="1261" spans="1:9" ht="16.5" hidden="1" customHeight="1" thickBot="1" x14ac:dyDescent="0.35">
      <c r="A1261" s="13" t="s">
        <v>500</v>
      </c>
      <c r="B1261" s="2">
        <v>2.0529999999999999</v>
      </c>
      <c r="C1261" s="2">
        <v>1.1819999999999999</v>
      </c>
      <c r="D1261" s="2">
        <v>3.5670000000000002</v>
      </c>
    </row>
    <row r="1262" spans="1:9" ht="33" hidden="1" customHeight="1" thickBot="1" x14ac:dyDescent="0.35">
      <c r="A1262" s="14" t="s">
        <v>501</v>
      </c>
      <c r="B1262" s="2">
        <v>2.649</v>
      </c>
      <c r="C1262" s="2">
        <v>1.59</v>
      </c>
      <c r="D1262" s="2">
        <v>4.4109999999999996</v>
      </c>
    </row>
    <row r="1263" spans="1:9" ht="49.5" hidden="1" customHeight="1" thickBot="1" x14ac:dyDescent="0.3"/>
    <row r="1264" spans="1:9" ht="33" customHeight="1" x14ac:dyDescent="0.3">
      <c r="A1264" s="24" t="s">
        <v>502</v>
      </c>
      <c r="B1264" s="26"/>
      <c r="C1264" s="26"/>
      <c r="D1264" s="26"/>
      <c r="H1264" s="8" t="str">
        <f t="shared" ref="H1264:H1266" si="43">TEXT(B1264,"0.00")&amp;" ("&amp;TEXT(C1264,"0.00")&amp;" to "&amp;TEXT(D1264,"0.00")&amp;")"</f>
        <v>0.00 (0.00 to 0.00)</v>
      </c>
      <c r="I1264">
        <f t="shared" ref="I1264:I1266" si="44">F1257</f>
        <v>0</v>
      </c>
    </row>
    <row r="1265" spans="1:9" ht="26.25" customHeight="1" thickBot="1" x14ac:dyDescent="0.35">
      <c r="A1265" s="13" t="s">
        <v>503</v>
      </c>
      <c r="B1265" s="2">
        <v>40.6</v>
      </c>
      <c r="C1265" s="12" t="s">
        <v>504</v>
      </c>
      <c r="D1265" s="2">
        <v>0.17499999999999999</v>
      </c>
      <c r="H1265" s="8" t="str">
        <f t="shared" si="43"/>
        <v>40.60 (Somers' D to 0.18)</v>
      </c>
      <c r="I1265">
        <f t="shared" si="44"/>
        <v>0</v>
      </c>
    </row>
    <row r="1266" spans="1:9" ht="25.5" customHeight="1" thickBot="1" x14ac:dyDescent="0.35">
      <c r="A1266" s="13" t="s">
        <v>505</v>
      </c>
      <c r="B1266" s="2">
        <v>23</v>
      </c>
      <c r="C1266" s="12" t="s">
        <v>506</v>
      </c>
      <c r="D1266" s="2">
        <v>0.27600000000000002</v>
      </c>
      <c r="H1266" s="8" t="str">
        <f t="shared" si="43"/>
        <v>23.00 (Gamma to 0.28)</v>
      </c>
      <c r="I1266">
        <f t="shared" si="44"/>
        <v>0</v>
      </c>
    </row>
    <row r="1267" spans="1:9" ht="16.5" hidden="1" customHeight="1" thickBot="1" x14ac:dyDescent="0.35">
      <c r="A1267" s="13" t="s">
        <v>507</v>
      </c>
      <c r="B1267" s="2">
        <v>36.4</v>
      </c>
      <c r="C1267" s="12" t="s">
        <v>508</v>
      </c>
      <c r="D1267" s="2">
        <v>4.0000000000000001E-3</v>
      </c>
    </row>
    <row r="1268" spans="1:9" ht="33" hidden="1" customHeight="1" x14ac:dyDescent="0.3">
      <c r="A1268" s="14" t="s">
        <v>509</v>
      </c>
      <c r="B1268" s="2">
        <v>4786089</v>
      </c>
      <c r="C1268" s="15" t="s">
        <v>510</v>
      </c>
      <c r="D1268" s="2">
        <v>0.58799999999999997</v>
      </c>
    </row>
    <row r="1269" spans="1:9" ht="39" hidden="1" customHeight="1" x14ac:dyDescent="0.3"/>
    <row r="1270" spans="1:9" ht="26.25" hidden="1" customHeight="1" x14ac:dyDescent="0.3"/>
    <row r="1271" spans="1:9" ht="26.25" hidden="1" customHeight="1" x14ac:dyDescent="0.3"/>
    <row r="1272" spans="1:9" ht="16.5" hidden="1" customHeight="1" x14ac:dyDescent="0.3">
      <c r="A1272" s="1" t="s">
        <v>436</v>
      </c>
    </row>
    <row r="1273" spans="1:9" ht="16.5" hidden="1" customHeight="1" x14ac:dyDescent="0.3"/>
    <row r="1274" spans="1:9" ht="16.5" hidden="1" customHeight="1" x14ac:dyDescent="0.3">
      <c r="A1274" s="1" t="s">
        <v>409</v>
      </c>
    </row>
    <row r="1275" spans="1:9" ht="16.5" hidden="1" customHeight="1" thickBot="1" x14ac:dyDescent="0.3"/>
    <row r="1276" spans="1:9" ht="16.5" hidden="1" customHeight="1" x14ac:dyDescent="0.3">
      <c r="A1276" s="24" t="s">
        <v>437</v>
      </c>
      <c r="B1276" s="26"/>
    </row>
    <row r="1277" spans="1:9" ht="16.5" hidden="1" customHeight="1" thickBot="1" x14ac:dyDescent="0.35">
      <c r="A1277" s="13" t="s">
        <v>438</v>
      </c>
      <c r="B1277" s="18" t="s">
        <v>439</v>
      </c>
    </row>
    <row r="1278" spans="1:9" ht="16.5" hidden="1" customHeight="1" thickBot="1" x14ac:dyDescent="0.35">
      <c r="A1278" s="13" t="s">
        <v>440</v>
      </c>
      <c r="B1278" s="18" t="s">
        <v>19</v>
      </c>
    </row>
    <row r="1279" spans="1:9" ht="16.5" hidden="1" customHeight="1" thickBot="1" x14ac:dyDescent="0.35">
      <c r="A1279" s="13" t="s">
        <v>441</v>
      </c>
      <c r="B1279" s="18">
        <v>2</v>
      </c>
    </row>
    <row r="1280" spans="1:9" ht="16.5" hidden="1" customHeight="1" thickBot="1" x14ac:dyDescent="0.35">
      <c r="A1280" s="13" t="s">
        <v>442</v>
      </c>
      <c r="B1280" s="18" t="s">
        <v>443</v>
      </c>
    </row>
    <row r="1281" spans="1:2" ht="26.25" hidden="1" customHeight="1" thickBot="1" x14ac:dyDescent="0.35">
      <c r="A1281" s="13" t="s">
        <v>76</v>
      </c>
      <c r="B1281" s="18">
        <v>179</v>
      </c>
    </row>
    <row r="1282" spans="1:2" ht="26.25" hidden="1" customHeight="1" thickBot="1" x14ac:dyDescent="0.35">
      <c r="A1282" s="13" t="s">
        <v>444</v>
      </c>
      <c r="B1282" s="18" t="s">
        <v>445</v>
      </c>
    </row>
    <row r="1283" spans="1:2" ht="39" hidden="1" customHeight="1" thickBot="1" x14ac:dyDescent="0.35">
      <c r="A1283" s="13" t="s">
        <v>77</v>
      </c>
      <c r="B1283" s="18">
        <v>1683</v>
      </c>
    </row>
    <row r="1284" spans="1:2" ht="26.25" hidden="1" customHeight="1" thickBot="1" x14ac:dyDescent="0.35">
      <c r="A1284" s="13" t="s">
        <v>446</v>
      </c>
      <c r="B1284" s="18" t="s">
        <v>447</v>
      </c>
    </row>
    <row r="1285" spans="1:2" ht="26.25" hidden="1" customHeight="1" thickBot="1" x14ac:dyDescent="0.35">
      <c r="A1285" s="13" t="s">
        <v>448</v>
      </c>
      <c r="B1285" s="18" t="s">
        <v>449</v>
      </c>
    </row>
    <row r="1286" spans="1:2" ht="26.25" hidden="1" customHeight="1" thickBot="1" x14ac:dyDescent="0.35">
      <c r="A1286" s="13" t="s">
        <v>450</v>
      </c>
      <c r="B1286" s="18" t="s">
        <v>451</v>
      </c>
    </row>
    <row r="1287" spans="1:2" ht="26.25" hidden="1" customHeight="1" x14ac:dyDescent="0.3">
      <c r="A1287" s="14" t="s">
        <v>452</v>
      </c>
      <c r="B1287" s="19" t="s">
        <v>453</v>
      </c>
    </row>
    <row r="1288" spans="1:2" ht="26.25" hidden="1" customHeight="1" thickBot="1" x14ac:dyDescent="0.3"/>
    <row r="1289" spans="1:2" ht="26.25" hidden="1" customHeight="1" x14ac:dyDescent="0.3">
      <c r="A1289" s="24" t="s">
        <v>80</v>
      </c>
      <c r="B1289" s="26"/>
    </row>
    <row r="1290" spans="1:2" ht="39" hidden="1" customHeight="1" thickBot="1" x14ac:dyDescent="0.35">
      <c r="A1290" s="13" t="s">
        <v>81</v>
      </c>
      <c r="B1290" s="2" t="s">
        <v>82</v>
      </c>
    </row>
    <row r="1291" spans="1:2" ht="38.25" hidden="1" customHeight="1" x14ac:dyDescent="0.3">
      <c r="A1291" s="14" t="s">
        <v>452</v>
      </c>
      <c r="B1291" s="2" t="s">
        <v>453</v>
      </c>
    </row>
    <row r="1292" spans="1:2" ht="16.5" hidden="1" customHeight="1" thickBot="1" x14ac:dyDescent="0.3"/>
    <row r="1293" spans="1:2" ht="33" hidden="1" customHeight="1" thickBot="1" x14ac:dyDescent="0.35">
      <c r="A1293" s="20" t="s">
        <v>454</v>
      </c>
      <c r="B1293" s="21">
        <v>2777</v>
      </c>
    </row>
    <row r="1294" spans="1:2" ht="33.75" hidden="1" customHeight="1" thickBot="1" x14ac:dyDescent="0.35">
      <c r="A1294" s="13" t="s">
        <v>455</v>
      </c>
      <c r="B1294" s="2">
        <v>2777</v>
      </c>
    </row>
    <row r="1295" spans="1:2" ht="66" hidden="1" customHeight="1" thickBot="1" x14ac:dyDescent="0.35">
      <c r="A1295" s="13" t="s">
        <v>456</v>
      </c>
      <c r="B1295" s="2">
        <v>1296193</v>
      </c>
    </row>
    <row r="1296" spans="1:2" ht="16.5" hidden="1" customHeight="1" x14ac:dyDescent="0.3">
      <c r="A1296" s="14" t="s">
        <v>457</v>
      </c>
      <c r="B1296" s="2">
        <v>1296193</v>
      </c>
    </row>
    <row r="1297" spans="1:5" ht="39" hidden="1" customHeight="1" thickBot="1" x14ac:dyDescent="0.3"/>
    <row r="1298" spans="1:5" ht="39" hidden="1" customHeight="1" x14ac:dyDescent="0.3">
      <c r="A1298" s="24" t="s">
        <v>458</v>
      </c>
      <c r="B1298" s="26"/>
      <c r="C1298" s="26"/>
      <c r="D1298" s="26"/>
    </row>
    <row r="1299" spans="1:5" ht="39" hidden="1" customHeight="1" x14ac:dyDescent="0.3">
      <c r="A1299" s="6" t="s">
        <v>459</v>
      </c>
      <c r="B1299" s="27" t="s">
        <v>19</v>
      </c>
      <c r="C1299" s="3" t="s">
        <v>93</v>
      </c>
      <c r="D1299" s="3" t="s">
        <v>93</v>
      </c>
    </row>
    <row r="1300" spans="1:5" ht="38.25" hidden="1" customHeight="1" x14ac:dyDescent="0.3">
      <c r="A1300" s="6" t="s">
        <v>460</v>
      </c>
      <c r="B1300" s="27"/>
      <c r="C1300" s="3" t="s">
        <v>86</v>
      </c>
      <c r="D1300" s="3" t="s">
        <v>461</v>
      </c>
    </row>
    <row r="1301" spans="1:5" ht="16.5" hidden="1" customHeight="1" thickBot="1" x14ac:dyDescent="0.35">
      <c r="A1301" s="6">
        <v>1</v>
      </c>
      <c r="B1301" s="17">
        <v>0</v>
      </c>
      <c r="C1301" s="2">
        <v>2758</v>
      </c>
      <c r="D1301" s="2">
        <v>1291035.6000000001</v>
      </c>
    </row>
    <row r="1302" spans="1:5" ht="16.5" hidden="1" customHeight="1" x14ac:dyDescent="0.3">
      <c r="A1302" s="6">
        <v>2</v>
      </c>
      <c r="B1302" s="22">
        <v>1</v>
      </c>
      <c r="C1302" s="2">
        <v>19</v>
      </c>
      <c r="D1302" s="2">
        <v>5156.8999999999996</v>
      </c>
    </row>
    <row r="1303" spans="1:5" ht="16.5" hidden="1" customHeight="1" x14ac:dyDescent="0.3"/>
    <row r="1304" spans="1:5" ht="33" hidden="1" customHeight="1" x14ac:dyDescent="0.3">
      <c r="A1304" s="1" t="s">
        <v>513</v>
      </c>
    </row>
    <row r="1305" spans="1:5" ht="17.25" hidden="1" customHeight="1" thickBot="1" x14ac:dyDescent="0.3"/>
    <row r="1306" spans="1:5" ht="16.5" hidden="1" customHeight="1" x14ac:dyDescent="0.3">
      <c r="A1306" s="24" t="s">
        <v>462</v>
      </c>
      <c r="B1306" s="26"/>
      <c r="C1306" s="26"/>
      <c r="D1306" s="26"/>
      <c r="E1306" s="26"/>
    </row>
    <row r="1307" spans="1:5" ht="16.5" hidden="1" customHeight="1" x14ac:dyDescent="0.3">
      <c r="A1307" s="6" t="s">
        <v>463</v>
      </c>
      <c r="B1307" s="3" t="s">
        <v>460</v>
      </c>
      <c r="C1307" s="27" t="s">
        <v>464</v>
      </c>
      <c r="D1307" s="27"/>
      <c r="E1307" s="27"/>
    </row>
    <row r="1308" spans="1:5" ht="16.5" hidden="1" customHeight="1" thickBot="1" x14ac:dyDescent="0.35">
      <c r="A1308" s="13" t="s">
        <v>22</v>
      </c>
      <c r="B1308" s="12">
        <v>1</v>
      </c>
      <c r="C1308" s="2">
        <v>0</v>
      </c>
      <c r="D1308" s="2">
        <v>0</v>
      </c>
      <c r="E1308" s="2">
        <v>0</v>
      </c>
    </row>
    <row r="1309" spans="1:5" ht="16.5" hidden="1" customHeight="1" thickBot="1" x14ac:dyDescent="0.35">
      <c r="A1309" s="13"/>
      <c r="B1309" s="12">
        <v>2</v>
      </c>
      <c r="C1309" s="2">
        <v>1</v>
      </c>
      <c r="D1309" s="2">
        <v>0</v>
      </c>
      <c r="E1309" s="2">
        <v>0</v>
      </c>
    </row>
    <row r="1310" spans="1:5" ht="16.5" hidden="1" customHeight="1" thickBot="1" x14ac:dyDescent="0.35">
      <c r="A1310" s="13"/>
      <c r="B1310" s="12">
        <v>3</v>
      </c>
      <c r="C1310" s="2">
        <v>0</v>
      </c>
      <c r="D1310" s="2">
        <v>1</v>
      </c>
      <c r="E1310" s="2">
        <v>0</v>
      </c>
    </row>
    <row r="1311" spans="1:5" ht="16.5" hidden="1" customHeight="1" x14ac:dyDescent="0.3">
      <c r="A1311" s="14"/>
      <c r="B1311" s="15">
        <v>4</v>
      </c>
      <c r="C1311" s="2">
        <v>0</v>
      </c>
      <c r="D1311" s="2">
        <v>0</v>
      </c>
      <c r="E1311" s="2">
        <v>1</v>
      </c>
    </row>
    <row r="1312" spans="1:5" ht="17.25" hidden="1" customHeight="1" thickBot="1" x14ac:dyDescent="0.3"/>
    <row r="1313" spans="1:5" ht="17.25" hidden="1" customHeight="1" x14ac:dyDescent="0.3">
      <c r="A1313" s="4" t="s">
        <v>465</v>
      </c>
    </row>
    <row r="1314" spans="1:5" ht="17.25" hidden="1" customHeight="1" x14ac:dyDescent="0.3">
      <c r="A1314" s="23" t="s">
        <v>466</v>
      </c>
    </row>
    <row r="1315" spans="1:5" ht="16.5" hidden="1" customHeight="1" thickBot="1" x14ac:dyDescent="0.3"/>
    <row r="1316" spans="1:5" ht="16.5" hidden="1" customHeight="1" x14ac:dyDescent="0.3">
      <c r="A1316" s="24" t="s">
        <v>467</v>
      </c>
      <c r="B1316" s="26"/>
      <c r="C1316" s="26"/>
    </row>
    <row r="1317" spans="1:5" ht="66" hidden="1" customHeight="1" x14ac:dyDescent="0.3">
      <c r="A1317" s="6" t="s">
        <v>468</v>
      </c>
      <c r="B1317" s="3" t="s">
        <v>469</v>
      </c>
      <c r="C1317" s="3" t="s">
        <v>470</v>
      </c>
    </row>
    <row r="1318" spans="1:5" ht="99" hidden="1" customHeight="1" thickBot="1" x14ac:dyDescent="0.35">
      <c r="A1318" s="13" t="s">
        <v>471</v>
      </c>
      <c r="B1318" s="2">
        <v>67298.475999999995</v>
      </c>
      <c r="C1318" s="2">
        <v>66898.366999999998</v>
      </c>
    </row>
    <row r="1319" spans="1:5" ht="16.5" hidden="1" customHeight="1" thickBot="1" x14ac:dyDescent="0.35">
      <c r="A1319" s="13" t="s">
        <v>472</v>
      </c>
      <c r="B1319" s="2">
        <v>67310.551000000007</v>
      </c>
      <c r="C1319" s="2">
        <v>66946.667000000001</v>
      </c>
    </row>
    <row r="1320" spans="1:5" ht="16.5" hidden="1" customHeight="1" x14ac:dyDescent="0.3">
      <c r="A1320" s="14" t="s">
        <v>473</v>
      </c>
      <c r="B1320" s="2" t="s">
        <v>633</v>
      </c>
      <c r="C1320" s="2">
        <v>66890.366999999998</v>
      </c>
    </row>
    <row r="1321" spans="1:5" ht="66" hidden="1" customHeight="1" thickBot="1" x14ac:dyDescent="0.3"/>
    <row r="1322" spans="1:5" ht="17.25" hidden="1" customHeight="1" x14ac:dyDescent="0.3">
      <c r="A1322" s="24" t="s">
        <v>474</v>
      </c>
      <c r="B1322" s="26"/>
      <c r="C1322" s="26"/>
      <c r="D1322" s="26"/>
      <c r="E1322" s="26"/>
    </row>
    <row r="1323" spans="1:5" ht="17.25" hidden="1" customHeight="1" x14ac:dyDescent="0.3">
      <c r="A1323" s="6" t="s">
        <v>475</v>
      </c>
      <c r="B1323" s="3" t="s">
        <v>476</v>
      </c>
      <c r="C1323" s="3" t="s">
        <v>477</v>
      </c>
      <c r="D1323" s="3" t="s">
        <v>478</v>
      </c>
      <c r="E1323" s="3" t="s">
        <v>479</v>
      </c>
    </row>
    <row r="1324" spans="1:5" ht="16.5" hidden="1" customHeight="1" x14ac:dyDescent="0.3">
      <c r="A1324" s="25" t="s">
        <v>615</v>
      </c>
      <c r="B1324" s="27"/>
      <c r="C1324" s="27"/>
      <c r="D1324" s="27"/>
      <c r="E1324" s="27"/>
    </row>
    <row r="1325" spans="1:5" ht="16.5" hidden="1" customHeight="1" thickBot="1" x14ac:dyDescent="0.35">
      <c r="A1325" s="13" t="s">
        <v>481</v>
      </c>
      <c r="B1325" s="2">
        <v>0.28999999999999998</v>
      </c>
      <c r="C1325" s="2">
        <v>3</v>
      </c>
      <c r="D1325" s="2">
        <v>4511.9399999999996</v>
      </c>
      <c r="E1325" s="2">
        <v>0.83299999999999996</v>
      </c>
    </row>
    <row r="1326" spans="1:5" ht="16.5" hidden="1" customHeight="1" thickBot="1" x14ac:dyDescent="0.35">
      <c r="A1326" s="13" t="s">
        <v>483</v>
      </c>
      <c r="B1326" s="2">
        <v>0.88</v>
      </c>
      <c r="C1326" s="2">
        <v>3</v>
      </c>
      <c r="D1326" s="2">
        <v>1502</v>
      </c>
      <c r="E1326" s="2">
        <v>0.45150000000000001</v>
      </c>
    </row>
    <row r="1327" spans="1:5" ht="16.5" hidden="1" customHeight="1" x14ac:dyDescent="0.3">
      <c r="A1327" s="14" t="s">
        <v>484</v>
      </c>
      <c r="B1327" s="2">
        <v>0.46</v>
      </c>
      <c r="C1327" s="2">
        <v>3</v>
      </c>
      <c r="D1327" s="2">
        <v>1502</v>
      </c>
      <c r="E1327" s="2">
        <v>0.70950000000000002</v>
      </c>
    </row>
    <row r="1328" spans="1:5" ht="33" hidden="1" customHeight="1" thickBot="1" x14ac:dyDescent="0.3"/>
    <row r="1329" spans="1:8" ht="26.25" hidden="1" customHeight="1" x14ac:dyDescent="0.3">
      <c r="A1329" s="24" t="s">
        <v>485</v>
      </c>
      <c r="B1329" s="26"/>
      <c r="C1329" s="26"/>
      <c r="D1329" s="26"/>
      <c r="E1329" s="26"/>
    </row>
    <row r="1330" spans="1:8" ht="17.25" hidden="1" customHeight="1" x14ac:dyDescent="0.3">
      <c r="A1330" s="6" t="s">
        <v>486</v>
      </c>
      <c r="B1330" s="3" t="s">
        <v>476</v>
      </c>
      <c r="C1330" s="3" t="s">
        <v>477</v>
      </c>
      <c r="D1330" s="3" t="s">
        <v>478</v>
      </c>
      <c r="E1330" s="3" t="s">
        <v>479</v>
      </c>
    </row>
    <row r="1331" spans="1:8" ht="16.5" hidden="1" customHeight="1" x14ac:dyDescent="0.3">
      <c r="A1331" s="14" t="s">
        <v>22</v>
      </c>
      <c r="B1331" s="2">
        <v>0.46</v>
      </c>
      <c r="C1331" s="2">
        <v>3</v>
      </c>
      <c r="D1331" s="2">
        <v>1502</v>
      </c>
      <c r="E1331" s="2">
        <v>0.70950000000000002</v>
      </c>
    </row>
    <row r="1332" spans="1:8" ht="16.5" hidden="1" customHeight="1" thickBot="1" x14ac:dyDescent="0.3"/>
    <row r="1333" spans="1:8" ht="16.5" hidden="1" customHeight="1" x14ac:dyDescent="0.3">
      <c r="A1333" s="24" t="s">
        <v>487</v>
      </c>
      <c r="B1333" s="26"/>
      <c r="C1333" s="26"/>
      <c r="D1333" s="26"/>
      <c r="E1333" s="26"/>
      <c r="F1333" s="26"/>
    </row>
    <row r="1334" spans="1:8" ht="16.5" hidden="1" customHeight="1" x14ac:dyDescent="0.3">
      <c r="A1334" s="25" t="s">
        <v>488</v>
      </c>
      <c r="B1334" s="27"/>
      <c r="C1334" s="27" t="s">
        <v>489</v>
      </c>
      <c r="D1334" s="3" t="s">
        <v>490</v>
      </c>
      <c r="E1334" s="27" t="s">
        <v>492</v>
      </c>
      <c r="F1334" s="27" t="s">
        <v>493</v>
      </c>
    </row>
    <row r="1335" spans="1:8" ht="16.5" hidden="1" customHeight="1" x14ac:dyDescent="0.3">
      <c r="A1335" s="25"/>
      <c r="B1335" s="27"/>
      <c r="C1335" s="27"/>
      <c r="D1335" s="3" t="s">
        <v>491</v>
      </c>
      <c r="E1335" s="27"/>
      <c r="F1335" s="27"/>
    </row>
    <row r="1336" spans="1:8" ht="16.5" hidden="1" customHeight="1" x14ac:dyDescent="0.3">
      <c r="A1336" s="25" t="s">
        <v>564</v>
      </c>
      <c r="B1336" s="27"/>
      <c r="C1336" s="27"/>
      <c r="D1336" s="27"/>
      <c r="E1336" s="27"/>
      <c r="F1336" s="27"/>
    </row>
    <row r="1337" spans="1:8" ht="16.5" hidden="1" customHeight="1" thickBot="1" x14ac:dyDescent="0.35">
      <c r="A1337" s="13" t="s">
        <v>495</v>
      </c>
      <c r="B1337" s="12"/>
      <c r="C1337" s="16">
        <v>-5.3231000000000002</v>
      </c>
      <c r="D1337" s="2">
        <v>0.4209</v>
      </c>
      <c r="E1337" s="16">
        <v>-12.65</v>
      </c>
      <c r="F1337" s="2" t="s">
        <v>482</v>
      </c>
    </row>
    <row r="1338" spans="1:8" ht="16.5" hidden="1" customHeight="1" thickBot="1" x14ac:dyDescent="0.35">
      <c r="A1338" s="13" t="s">
        <v>22</v>
      </c>
      <c r="B1338" s="12">
        <v>2</v>
      </c>
      <c r="C1338" s="16">
        <v>-0.36859999999999998</v>
      </c>
      <c r="D1338" s="2">
        <v>0.70689999999999997</v>
      </c>
      <c r="E1338" s="16">
        <v>-0.52</v>
      </c>
      <c r="F1338" s="2">
        <v>0.60219999999999996</v>
      </c>
    </row>
    <row r="1339" spans="1:8" ht="16.5" hidden="1" customHeight="1" thickBot="1" x14ac:dyDescent="0.35">
      <c r="A1339" s="13" t="s">
        <v>22</v>
      </c>
      <c r="B1339" s="12">
        <v>3</v>
      </c>
      <c r="C1339" s="16">
        <v>-0.86470000000000002</v>
      </c>
      <c r="D1339" s="2">
        <v>0.8669</v>
      </c>
      <c r="E1339" s="16">
        <v>-1</v>
      </c>
      <c r="F1339" s="2">
        <v>0.31869999999999998</v>
      </c>
    </row>
    <row r="1340" spans="1:8" ht="16.5" hidden="1" customHeight="1" x14ac:dyDescent="0.3">
      <c r="A1340" s="14" t="s">
        <v>22</v>
      </c>
      <c r="B1340" s="15">
        <v>4</v>
      </c>
      <c r="C1340" s="16">
        <v>-0.85780000000000001</v>
      </c>
      <c r="D1340" s="2">
        <v>1.0916999999999999</v>
      </c>
      <c r="E1340" s="16">
        <v>-0.79</v>
      </c>
      <c r="F1340" s="2">
        <v>0.43209999999999998</v>
      </c>
    </row>
    <row r="1341" spans="1:8" ht="17.25" hidden="1" customHeight="1" thickBot="1" x14ac:dyDescent="0.3"/>
    <row r="1342" spans="1:8" ht="17.25" hidden="1" customHeight="1" x14ac:dyDescent="0.3">
      <c r="A1342" s="24" t="s">
        <v>496</v>
      </c>
      <c r="B1342" s="26"/>
      <c r="C1342" s="26"/>
      <c r="D1342" s="26"/>
      <c r="H1342">
        <f>F1342</f>
        <v>0</v>
      </c>
    </row>
    <row r="1343" spans="1:8" ht="17.25" hidden="1" customHeight="1" x14ac:dyDescent="0.3">
      <c r="A1343" s="6" t="s">
        <v>486</v>
      </c>
      <c r="B1343" s="3" t="s">
        <v>497</v>
      </c>
      <c r="C1343" s="27" t="s">
        <v>91</v>
      </c>
      <c r="D1343" s="27"/>
      <c r="H1343">
        <f t="shared" ref="H1343:H1344" si="45">F1343</f>
        <v>0</v>
      </c>
    </row>
    <row r="1344" spans="1:8" ht="16.5" hidden="1" customHeight="1" x14ac:dyDescent="0.3">
      <c r="A1344" s="25" t="s">
        <v>565</v>
      </c>
      <c r="B1344" s="27"/>
      <c r="C1344" s="27"/>
      <c r="D1344" s="27"/>
      <c r="H1344">
        <f t="shared" si="45"/>
        <v>0</v>
      </c>
    </row>
    <row r="1345" spans="1:9" ht="16.5" hidden="1" customHeight="1" thickBot="1" x14ac:dyDescent="0.35">
      <c r="A1345" s="13" t="s">
        <v>499</v>
      </c>
      <c r="B1345" s="2">
        <v>0.69199999999999995</v>
      </c>
      <c r="C1345" s="2">
        <v>0.17299999999999999</v>
      </c>
      <c r="D1345" s="2">
        <v>2.7679999999999998</v>
      </c>
    </row>
    <row r="1346" spans="1:9" ht="16.5" hidden="1" customHeight="1" thickBot="1" x14ac:dyDescent="0.35">
      <c r="A1346" s="13" t="s">
        <v>500</v>
      </c>
      <c r="B1346" s="2">
        <v>0.42099999999999999</v>
      </c>
      <c r="C1346" s="2">
        <v>7.6999999999999999E-2</v>
      </c>
      <c r="D1346" s="2">
        <v>2.3069999999999999</v>
      </c>
    </row>
    <row r="1347" spans="1:9" ht="33" hidden="1" customHeight="1" thickBot="1" x14ac:dyDescent="0.35">
      <c r="A1347" s="14" t="s">
        <v>501</v>
      </c>
      <c r="B1347" s="2">
        <v>0.42399999999999999</v>
      </c>
      <c r="C1347" s="2">
        <v>0.05</v>
      </c>
      <c r="D1347" s="2">
        <v>3.61</v>
      </c>
    </row>
    <row r="1348" spans="1:9" ht="49.5" hidden="1" customHeight="1" thickBot="1" x14ac:dyDescent="0.3"/>
    <row r="1349" spans="1:9" ht="33" customHeight="1" x14ac:dyDescent="0.3">
      <c r="A1349" s="24" t="s">
        <v>502</v>
      </c>
      <c r="B1349" s="26"/>
      <c r="C1349" s="26"/>
      <c r="D1349" s="26"/>
      <c r="H1349" s="8" t="str">
        <f t="shared" ref="H1349:H1351" si="46">TEXT(B1349,"0.00")&amp;" ("&amp;TEXT(C1349,"0.00")&amp;" to "&amp;TEXT(D1349,"0.00")&amp;")"</f>
        <v>0.00 (0.00 to 0.00)</v>
      </c>
      <c r="I1349">
        <f t="shared" ref="I1349:I1351" si="47">F1342</f>
        <v>0</v>
      </c>
    </row>
    <row r="1350" spans="1:9" ht="26.25" customHeight="1" thickBot="1" x14ac:dyDescent="0.35">
      <c r="A1350" s="13" t="s">
        <v>503</v>
      </c>
      <c r="B1350" s="2">
        <v>26.8</v>
      </c>
      <c r="C1350" s="12" t="s">
        <v>504</v>
      </c>
      <c r="D1350" s="2">
        <v>4.1000000000000002E-2</v>
      </c>
      <c r="H1350" s="8" t="str">
        <f t="shared" si="46"/>
        <v>26.80 (Somers' D to 0.04)</v>
      </c>
      <c r="I1350">
        <f t="shared" si="47"/>
        <v>0</v>
      </c>
    </row>
    <row r="1351" spans="1:9" ht="25.5" customHeight="1" thickBot="1" x14ac:dyDescent="0.35">
      <c r="A1351" s="13" t="s">
        <v>505</v>
      </c>
      <c r="B1351" s="2">
        <v>22.6</v>
      </c>
      <c r="C1351" s="12" t="s">
        <v>506</v>
      </c>
      <c r="D1351" s="2">
        <v>8.3000000000000004E-2</v>
      </c>
      <c r="H1351" s="8" t="str">
        <f t="shared" si="46"/>
        <v>22.60 (Gamma to 0.08)</v>
      </c>
      <c r="I1351">
        <f t="shared" si="47"/>
        <v>0</v>
      </c>
    </row>
    <row r="1352" spans="1:9" ht="16.5" hidden="1" customHeight="1" thickBot="1" x14ac:dyDescent="0.35">
      <c r="A1352" s="13" t="s">
        <v>507</v>
      </c>
      <c r="B1352" s="2">
        <v>50.6</v>
      </c>
      <c r="C1352" s="12" t="s">
        <v>508</v>
      </c>
      <c r="D1352" s="2">
        <v>1E-3</v>
      </c>
    </row>
    <row r="1353" spans="1:9" ht="33" hidden="1" customHeight="1" x14ac:dyDescent="0.3">
      <c r="A1353" s="14" t="s">
        <v>509</v>
      </c>
      <c r="B1353" s="2">
        <v>52402</v>
      </c>
      <c r="C1353" s="15" t="s">
        <v>510</v>
      </c>
      <c r="D1353" s="2">
        <v>0.52100000000000002</v>
      </c>
    </row>
    <row r="1354" spans="1:9" ht="39" hidden="1" customHeight="1" x14ac:dyDescent="0.3"/>
    <row r="1355" spans="1:9" ht="26.25" hidden="1" customHeight="1" x14ac:dyDescent="0.3"/>
    <row r="1356" spans="1:9" ht="26.25" hidden="1" customHeight="1" x14ac:dyDescent="0.3"/>
    <row r="1357" spans="1:9" ht="16.5" hidden="1" customHeight="1" x14ac:dyDescent="0.3">
      <c r="A1357" s="1" t="s">
        <v>436</v>
      </c>
    </row>
    <row r="1358" spans="1:9" ht="16.5" hidden="1" customHeight="1" x14ac:dyDescent="0.3"/>
    <row r="1359" spans="1:9" ht="16.5" hidden="1" customHeight="1" x14ac:dyDescent="0.3">
      <c r="A1359" s="1" t="s">
        <v>410</v>
      </c>
    </row>
    <row r="1360" spans="1:9" ht="16.5" hidden="1" customHeight="1" thickBot="1" x14ac:dyDescent="0.3"/>
    <row r="1361" spans="1:2" ht="16.5" hidden="1" customHeight="1" x14ac:dyDescent="0.3">
      <c r="A1361" s="24" t="s">
        <v>437</v>
      </c>
      <c r="B1361" s="26"/>
    </row>
    <row r="1362" spans="1:2" ht="16.5" hidden="1" customHeight="1" thickBot="1" x14ac:dyDescent="0.35">
      <c r="A1362" s="13" t="s">
        <v>438</v>
      </c>
      <c r="B1362" s="18" t="s">
        <v>439</v>
      </c>
    </row>
    <row r="1363" spans="1:2" ht="16.5" hidden="1" customHeight="1" thickBot="1" x14ac:dyDescent="0.35">
      <c r="A1363" s="13" t="s">
        <v>440</v>
      </c>
      <c r="B1363" s="18" t="s">
        <v>19</v>
      </c>
    </row>
    <row r="1364" spans="1:2" ht="16.5" hidden="1" customHeight="1" thickBot="1" x14ac:dyDescent="0.35">
      <c r="A1364" s="13" t="s">
        <v>441</v>
      </c>
      <c r="B1364" s="18">
        <v>2</v>
      </c>
    </row>
    <row r="1365" spans="1:2" ht="16.5" hidden="1" customHeight="1" thickBot="1" x14ac:dyDescent="0.35">
      <c r="A1365" s="13" t="s">
        <v>442</v>
      </c>
      <c r="B1365" s="18" t="s">
        <v>443</v>
      </c>
    </row>
    <row r="1366" spans="1:2" ht="26.25" hidden="1" customHeight="1" thickBot="1" x14ac:dyDescent="0.35">
      <c r="A1366" s="13" t="s">
        <v>76</v>
      </c>
      <c r="B1366" s="18">
        <v>183</v>
      </c>
    </row>
    <row r="1367" spans="1:2" ht="26.25" hidden="1" customHeight="1" thickBot="1" x14ac:dyDescent="0.35">
      <c r="A1367" s="13" t="s">
        <v>444</v>
      </c>
      <c r="B1367" s="18" t="s">
        <v>445</v>
      </c>
    </row>
    <row r="1368" spans="1:2" ht="39" hidden="1" customHeight="1" thickBot="1" x14ac:dyDescent="0.35">
      <c r="A1368" s="13" t="s">
        <v>77</v>
      </c>
      <c r="B1368" s="18">
        <v>2975</v>
      </c>
    </row>
    <row r="1369" spans="1:2" ht="26.25" hidden="1" customHeight="1" thickBot="1" x14ac:dyDescent="0.35">
      <c r="A1369" s="13" t="s">
        <v>446</v>
      </c>
      <c r="B1369" s="18" t="s">
        <v>447</v>
      </c>
    </row>
    <row r="1370" spans="1:2" ht="26.25" hidden="1" customHeight="1" thickBot="1" x14ac:dyDescent="0.35">
      <c r="A1370" s="13" t="s">
        <v>448</v>
      </c>
      <c r="B1370" s="18" t="s">
        <v>449</v>
      </c>
    </row>
    <row r="1371" spans="1:2" ht="26.25" hidden="1" customHeight="1" thickBot="1" x14ac:dyDescent="0.35">
      <c r="A1371" s="13" t="s">
        <v>450</v>
      </c>
      <c r="B1371" s="18" t="s">
        <v>451</v>
      </c>
    </row>
    <row r="1372" spans="1:2" ht="26.25" hidden="1" customHeight="1" x14ac:dyDescent="0.3">
      <c r="A1372" s="14" t="s">
        <v>452</v>
      </c>
      <c r="B1372" s="19" t="s">
        <v>453</v>
      </c>
    </row>
    <row r="1373" spans="1:2" ht="26.25" hidden="1" customHeight="1" thickBot="1" x14ac:dyDescent="0.3"/>
    <row r="1374" spans="1:2" ht="26.25" hidden="1" customHeight="1" x14ac:dyDescent="0.3">
      <c r="A1374" s="24" t="s">
        <v>80</v>
      </c>
      <c r="B1374" s="26"/>
    </row>
    <row r="1375" spans="1:2" ht="39" hidden="1" customHeight="1" thickBot="1" x14ac:dyDescent="0.35">
      <c r="A1375" s="13" t="s">
        <v>81</v>
      </c>
      <c r="B1375" s="2" t="s">
        <v>82</v>
      </c>
    </row>
    <row r="1376" spans="1:2" ht="38.25" hidden="1" customHeight="1" x14ac:dyDescent="0.3">
      <c r="A1376" s="14" t="s">
        <v>452</v>
      </c>
      <c r="B1376" s="2" t="s">
        <v>453</v>
      </c>
    </row>
    <row r="1377" spans="1:5" ht="16.5" hidden="1" customHeight="1" thickBot="1" x14ac:dyDescent="0.3"/>
    <row r="1378" spans="1:5" ht="33" hidden="1" customHeight="1" thickBot="1" x14ac:dyDescent="0.35">
      <c r="A1378" s="20" t="s">
        <v>454</v>
      </c>
      <c r="B1378" s="21">
        <v>26435</v>
      </c>
    </row>
    <row r="1379" spans="1:5" ht="33.75" hidden="1" customHeight="1" thickBot="1" x14ac:dyDescent="0.35">
      <c r="A1379" s="13" t="s">
        <v>455</v>
      </c>
      <c r="B1379" s="2">
        <v>26435</v>
      </c>
    </row>
    <row r="1380" spans="1:5" ht="66" hidden="1" customHeight="1" thickBot="1" x14ac:dyDescent="0.35">
      <c r="A1380" s="13" t="s">
        <v>456</v>
      </c>
      <c r="B1380" s="2">
        <v>11585647</v>
      </c>
    </row>
    <row r="1381" spans="1:5" ht="16.5" hidden="1" customHeight="1" x14ac:dyDescent="0.3">
      <c r="A1381" s="14" t="s">
        <v>457</v>
      </c>
      <c r="B1381" s="2">
        <v>11585647</v>
      </c>
    </row>
    <row r="1382" spans="1:5" ht="39" hidden="1" customHeight="1" thickBot="1" x14ac:dyDescent="0.3"/>
    <row r="1383" spans="1:5" ht="39" hidden="1" customHeight="1" x14ac:dyDescent="0.3">
      <c r="A1383" s="24" t="s">
        <v>458</v>
      </c>
      <c r="B1383" s="26"/>
      <c r="C1383" s="26"/>
      <c r="D1383" s="26"/>
    </row>
    <row r="1384" spans="1:5" ht="39" hidden="1" customHeight="1" x14ac:dyDescent="0.3">
      <c r="A1384" s="6" t="s">
        <v>459</v>
      </c>
      <c r="B1384" s="27" t="s">
        <v>19</v>
      </c>
      <c r="C1384" s="3" t="s">
        <v>93</v>
      </c>
      <c r="D1384" s="3" t="s">
        <v>93</v>
      </c>
    </row>
    <row r="1385" spans="1:5" ht="38.25" hidden="1" customHeight="1" x14ac:dyDescent="0.3">
      <c r="A1385" s="6" t="s">
        <v>460</v>
      </c>
      <c r="B1385" s="27"/>
      <c r="C1385" s="3" t="s">
        <v>86</v>
      </c>
      <c r="D1385" s="3" t="s">
        <v>461</v>
      </c>
    </row>
    <row r="1386" spans="1:5" ht="16.5" hidden="1" customHeight="1" thickBot="1" x14ac:dyDescent="0.35">
      <c r="A1386" s="6">
        <v>1</v>
      </c>
      <c r="B1386" s="17">
        <v>0</v>
      </c>
      <c r="C1386" s="2">
        <v>26099</v>
      </c>
      <c r="D1386" s="2">
        <v>11477993</v>
      </c>
    </row>
    <row r="1387" spans="1:5" ht="16.5" hidden="1" customHeight="1" x14ac:dyDescent="0.3">
      <c r="A1387" s="6">
        <v>2</v>
      </c>
      <c r="B1387" s="22">
        <v>1</v>
      </c>
      <c r="C1387" s="2">
        <v>336</v>
      </c>
      <c r="D1387" s="2">
        <v>107654</v>
      </c>
    </row>
    <row r="1388" spans="1:5" ht="16.5" hidden="1" customHeight="1" x14ac:dyDescent="0.3"/>
    <row r="1389" spans="1:5" ht="33" hidden="1" customHeight="1" x14ac:dyDescent="0.3">
      <c r="A1389" s="1" t="s">
        <v>513</v>
      </c>
    </row>
    <row r="1390" spans="1:5" ht="17.25" hidden="1" customHeight="1" thickBot="1" x14ac:dyDescent="0.3"/>
    <row r="1391" spans="1:5" ht="16.5" hidden="1" customHeight="1" x14ac:dyDescent="0.3">
      <c r="A1391" s="24" t="s">
        <v>462</v>
      </c>
      <c r="B1391" s="26"/>
      <c r="C1391" s="26"/>
      <c r="D1391" s="26"/>
      <c r="E1391" s="26"/>
    </row>
    <row r="1392" spans="1:5" ht="16.5" hidden="1" customHeight="1" x14ac:dyDescent="0.3">
      <c r="A1392" s="6" t="s">
        <v>463</v>
      </c>
      <c r="B1392" s="3" t="s">
        <v>460</v>
      </c>
      <c r="C1392" s="27" t="s">
        <v>464</v>
      </c>
      <c r="D1392" s="27"/>
      <c r="E1392" s="27"/>
    </row>
    <row r="1393" spans="1:5" ht="16.5" hidden="1" customHeight="1" thickBot="1" x14ac:dyDescent="0.35">
      <c r="A1393" s="13" t="s">
        <v>22</v>
      </c>
      <c r="B1393" s="12">
        <v>1</v>
      </c>
      <c r="C1393" s="2">
        <v>0</v>
      </c>
      <c r="D1393" s="2">
        <v>0</v>
      </c>
      <c r="E1393" s="2">
        <v>0</v>
      </c>
    </row>
    <row r="1394" spans="1:5" ht="16.5" hidden="1" customHeight="1" thickBot="1" x14ac:dyDescent="0.35">
      <c r="A1394" s="13"/>
      <c r="B1394" s="12">
        <v>2</v>
      </c>
      <c r="C1394" s="2">
        <v>1</v>
      </c>
      <c r="D1394" s="2">
        <v>0</v>
      </c>
      <c r="E1394" s="2">
        <v>0</v>
      </c>
    </row>
    <row r="1395" spans="1:5" ht="16.5" hidden="1" customHeight="1" thickBot="1" x14ac:dyDescent="0.35">
      <c r="A1395" s="13"/>
      <c r="B1395" s="12">
        <v>3</v>
      </c>
      <c r="C1395" s="2">
        <v>0</v>
      </c>
      <c r="D1395" s="2">
        <v>1</v>
      </c>
      <c r="E1395" s="2">
        <v>0</v>
      </c>
    </row>
    <row r="1396" spans="1:5" ht="16.5" hidden="1" customHeight="1" x14ac:dyDescent="0.3">
      <c r="A1396" s="14"/>
      <c r="B1396" s="15">
        <v>4</v>
      </c>
      <c r="C1396" s="2">
        <v>0</v>
      </c>
      <c r="D1396" s="2">
        <v>0</v>
      </c>
      <c r="E1396" s="2">
        <v>1</v>
      </c>
    </row>
    <row r="1397" spans="1:5" ht="17.25" hidden="1" customHeight="1" thickBot="1" x14ac:dyDescent="0.3"/>
    <row r="1398" spans="1:5" ht="17.25" hidden="1" customHeight="1" x14ac:dyDescent="0.3">
      <c r="A1398" s="4" t="s">
        <v>465</v>
      </c>
    </row>
    <row r="1399" spans="1:5" ht="17.25" hidden="1" customHeight="1" x14ac:dyDescent="0.3">
      <c r="A1399" s="23" t="s">
        <v>466</v>
      </c>
    </row>
    <row r="1400" spans="1:5" ht="16.5" hidden="1" customHeight="1" thickBot="1" x14ac:dyDescent="0.3"/>
    <row r="1401" spans="1:5" ht="16.5" hidden="1" customHeight="1" x14ac:dyDescent="0.3">
      <c r="A1401" s="24" t="s">
        <v>467</v>
      </c>
      <c r="B1401" s="26"/>
      <c r="C1401" s="26"/>
    </row>
    <row r="1402" spans="1:5" ht="66" hidden="1" customHeight="1" x14ac:dyDescent="0.3">
      <c r="A1402" s="6" t="s">
        <v>468</v>
      </c>
      <c r="B1402" s="3" t="s">
        <v>469</v>
      </c>
      <c r="C1402" s="3" t="s">
        <v>470</v>
      </c>
    </row>
    <row r="1403" spans="1:5" ht="99" hidden="1" customHeight="1" thickBot="1" x14ac:dyDescent="0.35">
      <c r="A1403" s="13" t="s">
        <v>471</v>
      </c>
      <c r="B1403" s="2">
        <v>1221642.1000000001</v>
      </c>
      <c r="C1403" s="2">
        <v>1204583</v>
      </c>
    </row>
    <row r="1404" spans="1:5" ht="16.5" hidden="1" customHeight="1" thickBot="1" x14ac:dyDescent="0.35">
      <c r="A1404" s="13" t="s">
        <v>472</v>
      </c>
      <c r="B1404" s="2">
        <v>1221656.3</v>
      </c>
      <c r="C1404" s="2">
        <v>1204640.1000000001</v>
      </c>
    </row>
    <row r="1405" spans="1:5" ht="16.5" hidden="1" customHeight="1" x14ac:dyDescent="0.3">
      <c r="A1405" s="14" t="s">
        <v>473</v>
      </c>
      <c r="B1405" s="2" t="s">
        <v>634</v>
      </c>
      <c r="C1405" s="2">
        <v>1204575</v>
      </c>
    </row>
    <row r="1406" spans="1:5" ht="66" hidden="1" customHeight="1" thickBot="1" x14ac:dyDescent="0.3"/>
    <row r="1407" spans="1:5" ht="17.25" hidden="1" customHeight="1" x14ac:dyDescent="0.3">
      <c r="A1407" s="24" t="s">
        <v>474</v>
      </c>
      <c r="B1407" s="26"/>
      <c r="C1407" s="26"/>
      <c r="D1407" s="26"/>
      <c r="E1407" s="26"/>
    </row>
    <row r="1408" spans="1:5" ht="17.25" hidden="1" customHeight="1" x14ac:dyDescent="0.3">
      <c r="A1408" s="6" t="s">
        <v>475</v>
      </c>
      <c r="B1408" s="3" t="s">
        <v>476</v>
      </c>
      <c r="C1408" s="3" t="s">
        <v>477</v>
      </c>
      <c r="D1408" s="3" t="s">
        <v>478</v>
      </c>
      <c r="E1408" s="3" t="s">
        <v>479</v>
      </c>
    </row>
    <row r="1409" spans="1:6" ht="16.5" hidden="1" customHeight="1" x14ac:dyDescent="0.3">
      <c r="A1409" s="25" t="s">
        <v>550</v>
      </c>
      <c r="B1409" s="27"/>
      <c r="C1409" s="27"/>
      <c r="D1409" s="27"/>
      <c r="E1409" s="27"/>
    </row>
    <row r="1410" spans="1:6" ht="16.5" hidden="1" customHeight="1" thickBot="1" x14ac:dyDescent="0.35">
      <c r="A1410" s="13" t="s">
        <v>481</v>
      </c>
      <c r="B1410" s="2">
        <v>13.08</v>
      </c>
      <c r="C1410" s="2">
        <v>2.9943</v>
      </c>
      <c r="D1410" s="2">
        <v>8360.14</v>
      </c>
      <c r="E1410" s="2" t="s">
        <v>482</v>
      </c>
    </row>
    <row r="1411" spans="1:6" ht="16.5" hidden="1" customHeight="1" thickBot="1" x14ac:dyDescent="0.35">
      <c r="A1411" s="13" t="s">
        <v>483</v>
      </c>
      <c r="B1411" s="2">
        <v>13.66</v>
      </c>
      <c r="C1411" s="2">
        <v>3</v>
      </c>
      <c r="D1411" s="2">
        <v>2790</v>
      </c>
      <c r="E1411" s="2" t="s">
        <v>482</v>
      </c>
    </row>
    <row r="1412" spans="1:6" ht="16.5" hidden="1" customHeight="1" x14ac:dyDescent="0.3">
      <c r="A1412" s="14" t="s">
        <v>484</v>
      </c>
      <c r="B1412" s="2">
        <v>11.73</v>
      </c>
      <c r="C1412" s="2">
        <v>3</v>
      </c>
      <c r="D1412" s="2">
        <v>2790</v>
      </c>
      <c r="E1412" s="2" t="s">
        <v>482</v>
      </c>
    </row>
    <row r="1413" spans="1:6" ht="33" hidden="1" customHeight="1" thickBot="1" x14ac:dyDescent="0.3"/>
    <row r="1414" spans="1:6" ht="26.25" hidden="1" customHeight="1" x14ac:dyDescent="0.3">
      <c r="A1414" s="24" t="s">
        <v>485</v>
      </c>
      <c r="B1414" s="26"/>
      <c r="C1414" s="26"/>
      <c r="D1414" s="26"/>
      <c r="E1414" s="26"/>
    </row>
    <row r="1415" spans="1:6" ht="17.25" hidden="1" customHeight="1" x14ac:dyDescent="0.3">
      <c r="A1415" s="6" t="s">
        <v>486</v>
      </c>
      <c r="B1415" s="3" t="s">
        <v>476</v>
      </c>
      <c r="C1415" s="3" t="s">
        <v>477</v>
      </c>
      <c r="D1415" s="3" t="s">
        <v>478</v>
      </c>
      <c r="E1415" s="3" t="s">
        <v>479</v>
      </c>
    </row>
    <row r="1416" spans="1:6" ht="16.5" hidden="1" customHeight="1" x14ac:dyDescent="0.3">
      <c r="A1416" s="14" t="s">
        <v>22</v>
      </c>
      <c r="B1416" s="2">
        <v>11.73</v>
      </c>
      <c r="C1416" s="2">
        <v>3</v>
      </c>
      <c r="D1416" s="2">
        <v>2790</v>
      </c>
      <c r="E1416" s="2" t="s">
        <v>482</v>
      </c>
    </row>
    <row r="1417" spans="1:6" ht="16.5" hidden="1" customHeight="1" thickBot="1" x14ac:dyDescent="0.3"/>
    <row r="1418" spans="1:6" ht="16.5" hidden="1" customHeight="1" x14ac:dyDescent="0.3">
      <c r="A1418" s="24" t="s">
        <v>487</v>
      </c>
      <c r="B1418" s="26"/>
      <c r="C1418" s="26"/>
      <c r="D1418" s="26"/>
      <c r="E1418" s="26"/>
      <c r="F1418" s="26"/>
    </row>
    <row r="1419" spans="1:6" ht="16.5" hidden="1" customHeight="1" x14ac:dyDescent="0.3">
      <c r="A1419" s="25" t="s">
        <v>488</v>
      </c>
      <c r="B1419" s="27"/>
      <c r="C1419" s="27" t="s">
        <v>489</v>
      </c>
      <c r="D1419" s="3" t="s">
        <v>490</v>
      </c>
      <c r="E1419" s="27" t="s">
        <v>492</v>
      </c>
      <c r="F1419" s="27" t="s">
        <v>493</v>
      </c>
    </row>
    <row r="1420" spans="1:6" ht="16.5" hidden="1" customHeight="1" x14ac:dyDescent="0.3">
      <c r="A1420" s="25"/>
      <c r="B1420" s="27"/>
      <c r="C1420" s="27"/>
      <c r="D1420" s="3" t="s">
        <v>491</v>
      </c>
      <c r="E1420" s="27"/>
      <c r="F1420" s="27"/>
    </row>
    <row r="1421" spans="1:6" ht="16.5" hidden="1" customHeight="1" x14ac:dyDescent="0.3">
      <c r="A1421" s="25" t="s">
        <v>566</v>
      </c>
      <c r="B1421" s="27"/>
      <c r="C1421" s="27"/>
      <c r="D1421" s="27"/>
      <c r="E1421" s="27"/>
      <c r="F1421" s="27"/>
    </row>
    <row r="1422" spans="1:6" ht="16.5" hidden="1" customHeight="1" thickBot="1" x14ac:dyDescent="0.35">
      <c r="A1422" s="13" t="s">
        <v>495</v>
      </c>
      <c r="B1422" s="12"/>
      <c r="C1422" s="16">
        <v>-5.2165999999999997</v>
      </c>
      <c r="D1422" s="2">
        <v>0.1394</v>
      </c>
      <c r="E1422" s="16">
        <v>-37.409999999999997</v>
      </c>
      <c r="F1422" s="2" t="s">
        <v>482</v>
      </c>
    </row>
    <row r="1423" spans="1:6" ht="16.5" hidden="1" customHeight="1" thickBot="1" x14ac:dyDescent="0.35">
      <c r="A1423" s="13" t="s">
        <v>22</v>
      </c>
      <c r="B1423" s="12">
        <v>2</v>
      </c>
      <c r="C1423" s="2">
        <v>0.46600000000000003</v>
      </c>
      <c r="D1423" s="2">
        <v>0.184</v>
      </c>
      <c r="E1423" s="2">
        <v>2.5299999999999998</v>
      </c>
      <c r="F1423" s="2">
        <v>1.14E-2</v>
      </c>
    </row>
    <row r="1424" spans="1:6" ht="16.5" hidden="1" customHeight="1" thickBot="1" x14ac:dyDescent="0.35">
      <c r="A1424" s="13" t="s">
        <v>22</v>
      </c>
      <c r="B1424" s="12">
        <v>3</v>
      </c>
      <c r="C1424" s="2">
        <v>0.93610000000000004</v>
      </c>
      <c r="D1424" s="2">
        <v>0.18679999999999999</v>
      </c>
      <c r="E1424" s="2">
        <v>5.01</v>
      </c>
      <c r="F1424" s="2" t="s">
        <v>482</v>
      </c>
    </row>
    <row r="1425" spans="1:9" ht="16.5" hidden="1" customHeight="1" x14ac:dyDescent="0.3">
      <c r="A1425" s="14" t="s">
        <v>22</v>
      </c>
      <c r="B1425" s="15">
        <v>4</v>
      </c>
      <c r="C1425" s="2">
        <v>1.0087999999999999</v>
      </c>
      <c r="D1425" s="2">
        <v>0.19489999999999999</v>
      </c>
      <c r="E1425" s="2">
        <v>5.18</v>
      </c>
      <c r="F1425" s="2" t="s">
        <v>482</v>
      </c>
    </row>
    <row r="1426" spans="1:9" ht="17.25" hidden="1" customHeight="1" thickBot="1" x14ac:dyDescent="0.3"/>
    <row r="1427" spans="1:9" ht="17.25" hidden="1" customHeight="1" x14ac:dyDescent="0.3">
      <c r="A1427" s="24" t="s">
        <v>496</v>
      </c>
      <c r="B1427" s="26"/>
      <c r="C1427" s="26"/>
      <c r="D1427" s="26"/>
      <c r="H1427">
        <f>F1427</f>
        <v>0</v>
      </c>
    </row>
    <row r="1428" spans="1:9" ht="17.25" hidden="1" customHeight="1" x14ac:dyDescent="0.3">
      <c r="A1428" s="6" t="s">
        <v>486</v>
      </c>
      <c r="B1428" s="3" t="s">
        <v>497</v>
      </c>
      <c r="C1428" s="27" t="s">
        <v>91</v>
      </c>
      <c r="D1428" s="27"/>
      <c r="H1428">
        <f t="shared" ref="H1428:H1429" si="48">F1428</f>
        <v>0</v>
      </c>
    </row>
    <row r="1429" spans="1:9" ht="16.5" hidden="1" customHeight="1" x14ac:dyDescent="0.3">
      <c r="A1429" s="25" t="s">
        <v>567</v>
      </c>
      <c r="B1429" s="27"/>
      <c r="C1429" s="27"/>
      <c r="D1429" s="27"/>
      <c r="H1429">
        <f t="shared" si="48"/>
        <v>0</v>
      </c>
    </row>
    <row r="1430" spans="1:9" ht="16.5" hidden="1" customHeight="1" thickBot="1" x14ac:dyDescent="0.35">
      <c r="A1430" s="13" t="s">
        <v>499</v>
      </c>
      <c r="B1430" s="2">
        <v>1.5940000000000001</v>
      </c>
      <c r="C1430" s="2">
        <v>1.111</v>
      </c>
      <c r="D1430" s="2">
        <v>2.286</v>
      </c>
    </row>
    <row r="1431" spans="1:9" ht="16.5" hidden="1" customHeight="1" thickBot="1" x14ac:dyDescent="0.35">
      <c r="A1431" s="13" t="s">
        <v>500</v>
      </c>
      <c r="B1431" s="2">
        <v>2.5499999999999998</v>
      </c>
      <c r="C1431" s="2">
        <v>1.768</v>
      </c>
      <c r="D1431" s="2">
        <v>3.6779999999999999</v>
      </c>
    </row>
    <row r="1432" spans="1:9" ht="33" hidden="1" customHeight="1" thickBot="1" x14ac:dyDescent="0.35">
      <c r="A1432" s="14" t="s">
        <v>501</v>
      </c>
      <c r="B1432" s="2">
        <v>2.742</v>
      </c>
      <c r="C1432" s="2">
        <v>1.871</v>
      </c>
      <c r="D1432" s="2">
        <v>4.0190000000000001</v>
      </c>
    </row>
    <row r="1433" spans="1:9" ht="49.5" hidden="1" customHeight="1" thickBot="1" x14ac:dyDescent="0.3"/>
    <row r="1434" spans="1:9" ht="33" customHeight="1" x14ac:dyDescent="0.3">
      <c r="A1434" s="24" t="s">
        <v>502</v>
      </c>
      <c r="B1434" s="26"/>
      <c r="C1434" s="26"/>
      <c r="D1434" s="26"/>
      <c r="H1434" s="8" t="str">
        <f t="shared" ref="H1434:H1436" si="49">TEXT(B1434,"0.00")&amp;" ("&amp;TEXT(C1434,"0.00")&amp;" to "&amp;TEXT(D1434,"0.00")&amp;")"</f>
        <v>0.00 (0.00 to 0.00)</v>
      </c>
      <c r="I1434">
        <f t="shared" ref="I1434:I1436" si="50">F1427</f>
        <v>0</v>
      </c>
    </row>
    <row r="1435" spans="1:9" ht="26.25" customHeight="1" thickBot="1" x14ac:dyDescent="0.35">
      <c r="A1435" s="13" t="s">
        <v>503</v>
      </c>
      <c r="B1435" s="2">
        <v>47.3</v>
      </c>
      <c r="C1435" s="12" t="s">
        <v>504</v>
      </c>
      <c r="D1435" s="2">
        <v>0.19400000000000001</v>
      </c>
      <c r="H1435" s="8" t="str">
        <f t="shared" si="49"/>
        <v>47.30 (Somers' D to 0.19)</v>
      </c>
      <c r="I1435">
        <f t="shared" si="50"/>
        <v>0</v>
      </c>
    </row>
    <row r="1436" spans="1:9" ht="25.5" customHeight="1" thickBot="1" x14ac:dyDescent="0.35">
      <c r="A1436" s="13" t="s">
        <v>505</v>
      </c>
      <c r="B1436" s="2">
        <v>27.9</v>
      </c>
      <c r="C1436" s="12" t="s">
        <v>506</v>
      </c>
      <c r="D1436" s="2">
        <v>0.25800000000000001</v>
      </c>
      <c r="H1436" s="8" t="str">
        <f t="shared" si="49"/>
        <v>27.90 (Gamma to 0.26)</v>
      </c>
      <c r="I1436">
        <f t="shared" si="50"/>
        <v>0</v>
      </c>
    </row>
    <row r="1437" spans="1:9" ht="16.5" hidden="1" customHeight="1" thickBot="1" x14ac:dyDescent="0.35">
      <c r="A1437" s="13" t="s">
        <v>507</v>
      </c>
      <c r="B1437" s="2">
        <v>24.9</v>
      </c>
      <c r="C1437" s="12" t="s">
        <v>508</v>
      </c>
      <c r="D1437" s="2">
        <v>5.0000000000000001E-3</v>
      </c>
    </row>
    <row r="1438" spans="1:9" ht="33" hidden="1" customHeight="1" x14ac:dyDescent="0.3">
      <c r="A1438" s="14" t="s">
        <v>509</v>
      </c>
      <c r="B1438" s="2">
        <v>8769264</v>
      </c>
      <c r="C1438" s="15" t="s">
        <v>510</v>
      </c>
      <c r="D1438" s="2">
        <v>0.59699999999999998</v>
      </c>
    </row>
    <row r="1439" spans="1:9" ht="39" hidden="1" customHeight="1" x14ac:dyDescent="0.3"/>
    <row r="1440" spans="1:9" ht="26.25" hidden="1" customHeight="1" x14ac:dyDescent="0.3"/>
    <row r="1441" spans="1:2" ht="26.25" hidden="1" customHeight="1" x14ac:dyDescent="0.3"/>
    <row r="1442" spans="1:2" ht="16.5" hidden="1" customHeight="1" x14ac:dyDescent="0.3">
      <c r="A1442" s="1" t="s">
        <v>436</v>
      </c>
    </row>
    <row r="1443" spans="1:2" ht="16.5" hidden="1" customHeight="1" x14ac:dyDescent="0.3"/>
    <row r="1444" spans="1:2" ht="16.5" hidden="1" customHeight="1" x14ac:dyDescent="0.3">
      <c r="A1444" s="1" t="s">
        <v>411</v>
      </c>
    </row>
    <row r="1445" spans="1:2" ht="16.5" hidden="1" customHeight="1" thickBot="1" x14ac:dyDescent="0.3"/>
    <row r="1446" spans="1:2" ht="16.5" hidden="1" customHeight="1" x14ac:dyDescent="0.3">
      <c r="A1446" s="24" t="s">
        <v>437</v>
      </c>
      <c r="B1446" s="26"/>
    </row>
    <row r="1447" spans="1:2" ht="16.5" hidden="1" customHeight="1" thickBot="1" x14ac:dyDescent="0.35">
      <c r="A1447" s="13" t="s">
        <v>438</v>
      </c>
      <c r="B1447" s="18" t="s">
        <v>439</v>
      </c>
    </row>
    <row r="1448" spans="1:2" ht="16.5" hidden="1" customHeight="1" thickBot="1" x14ac:dyDescent="0.35">
      <c r="A1448" s="13" t="s">
        <v>440</v>
      </c>
      <c r="B1448" s="18" t="s">
        <v>19</v>
      </c>
    </row>
    <row r="1449" spans="1:2" ht="16.5" hidden="1" customHeight="1" thickBot="1" x14ac:dyDescent="0.35">
      <c r="A1449" s="13" t="s">
        <v>441</v>
      </c>
      <c r="B1449" s="18">
        <v>2</v>
      </c>
    </row>
    <row r="1450" spans="1:2" ht="16.5" hidden="1" customHeight="1" thickBot="1" x14ac:dyDescent="0.35">
      <c r="A1450" s="13" t="s">
        <v>442</v>
      </c>
      <c r="B1450" s="18" t="s">
        <v>443</v>
      </c>
    </row>
    <row r="1451" spans="1:2" ht="26.25" hidden="1" customHeight="1" thickBot="1" x14ac:dyDescent="0.35">
      <c r="A1451" s="13" t="s">
        <v>76</v>
      </c>
      <c r="B1451" s="18">
        <v>183</v>
      </c>
    </row>
    <row r="1452" spans="1:2" ht="26.25" hidden="1" customHeight="1" thickBot="1" x14ac:dyDescent="0.35">
      <c r="A1452" s="13" t="s">
        <v>444</v>
      </c>
      <c r="B1452" s="18" t="s">
        <v>445</v>
      </c>
    </row>
    <row r="1453" spans="1:2" ht="39" hidden="1" customHeight="1" thickBot="1" x14ac:dyDescent="0.35">
      <c r="A1453" s="13" t="s">
        <v>77</v>
      </c>
      <c r="B1453" s="18">
        <v>2951</v>
      </c>
    </row>
    <row r="1454" spans="1:2" ht="26.25" hidden="1" customHeight="1" thickBot="1" x14ac:dyDescent="0.35">
      <c r="A1454" s="13" t="s">
        <v>446</v>
      </c>
      <c r="B1454" s="18" t="s">
        <v>447</v>
      </c>
    </row>
    <row r="1455" spans="1:2" ht="26.25" hidden="1" customHeight="1" thickBot="1" x14ac:dyDescent="0.35">
      <c r="A1455" s="13" t="s">
        <v>448</v>
      </c>
      <c r="B1455" s="18" t="s">
        <v>449</v>
      </c>
    </row>
    <row r="1456" spans="1:2" ht="26.25" hidden="1" customHeight="1" thickBot="1" x14ac:dyDescent="0.35">
      <c r="A1456" s="13" t="s">
        <v>450</v>
      </c>
      <c r="B1456" s="18" t="s">
        <v>451</v>
      </c>
    </row>
    <row r="1457" spans="1:4" ht="26.25" hidden="1" customHeight="1" x14ac:dyDescent="0.3">
      <c r="A1457" s="14" t="s">
        <v>452</v>
      </c>
      <c r="B1457" s="19" t="s">
        <v>453</v>
      </c>
    </row>
    <row r="1458" spans="1:4" ht="26.25" hidden="1" customHeight="1" thickBot="1" x14ac:dyDescent="0.3"/>
    <row r="1459" spans="1:4" ht="26.25" hidden="1" customHeight="1" x14ac:dyDescent="0.3">
      <c r="A1459" s="24" t="s">
        <v>80</v>
      </c>
      <c r="B1459" s="26"/>
    </row>
    <row r="1460" spans="1:4" ht="39" hidden="1" customHeight="1" thickBot="1" x14ac:dyDescent="0.35">
      <c r="A1460" s="13" t="s">
        <v>81</v>
      </c>
      <c r="B1460" s="2" t="s">
        <v>82</v>
      </c>
    </row>
    <row r="1461" spans="1:4" ht="38.25" hidden="1" customHeight="1" x14ac:dyDescent="0.3">
      <c r="A1461" s="14" t="s">
        <v>452</v>
      </c>
      <c r="B1461" s="2" t="s">
        <v>453</v>
      </c>
    </row>
    <row r="1462" spans="1:4" ht="16.5" hidden="1" customHeight="1" thickBot="1" x14ac:dyDescent="0.3"/>
    <row r="1463" spans="1:4" ht="33" hidden="1" customHeight="1" thickBot="1" x14ac:dyDescent="0.35">
      <c r="A1463" s="20" t="s">
        <v>454</v>
      </c>
      <c r="B1463" s="21">
        <v>16265</v>
      </c>
    </row>
    <row r="1464" spans="1:4" ht="33.75" hidden="1" customHeight="1" thickBot="1" x14ac:dyDescent="0.35">
      <c r="A1464" s="13" t="s">
        <v>455</v>
      </c>
      <c r="B1464" s="2">
        <v>16265</v>
      </c>
    </row>
    <row r="1465" spans="1:4" ht="66" hidden="1" customHeight="1" thickBot="1" x14ac:dyDescent="0.35">
      <c r="A1465" s="13" t="s">
        <v>456</v>
      </c>
      <c r="B1465" s="2">
        <v>7016830</v>
      </c>
    </row>
    <row r="1466" spans="1:4" ht="16.5" hidden="1" customHeight="1" x14ac:dyDescent="0.3">
      <c r="A1466" s="14" t="s">
        <v>457</v>
      </c>
      <c r="B1466" s="2">
        <v>7016830</v>
      </c>
    </row>
    <row r="1467" spans="1:4" ht="39" hidden="1" customHeight="1" thickBot="1" x14ac:dyDescent="0.3"/>
    <row r="1468" spans="1:4" ht="39" hidden="1" customHeight="1" x14ac:dyDescent="0.3">
      <c r="A1468" s="24" t="s">
        <v>458</v>
      </c>
      <c r="B1468" s="26"/>
      <c r="C1468" s="26"/>
      <c r="D1468" s="26"/>
    </row>
    <row r="1469" spans="1:4" ht="39" hidden="1" customHeight="1" x14ac:dyDescent="0.3">
      <c r="A1469" s="6" t="s">
        <v>459</v>
      </c>
      <c r="B1469" s="27" t="s">
        <v>19</v>
      </c>
      <c r="C1469" s="3" t="s">
        <v>93</v>
      </c>
      <c r="D1469" s="3" t="s">
        <v>93</v>
      </c>
    </row>
    <row r="1470" spans="1:4" ht="38.25" hidden="1" customHeight="1" x14ac:dyDescent="0.3">
      <c r="A1470" s="6" t="s">
        <v>460</v>
      </c>
      <c r="B1470" s="27"/>
      <c r="C1470" s="3" t="s">
        <v>86</v>
      </c>
      <c r="D1470" s="3" t="s">
        <v>461</v>
      </c>
    </row>
    <row r="1471" spans="1:4" ht="16.5" hidden="1" customHeight="1" thickBot="1" x14ac:dyDescent="0.35">
      <c r="A1471" s="6">
        <v>1</v>
      </c>
      <c r="B1471" s="17">
        <v>0</v>
      </c>
      <c r="C1471" s="2">
        <v>15967</v>
      </c>
      <c r="D1471" s="2">
        <v>6922771.2000000002</v>
      </c>
    </row>
    <row r="1472" spans="1:4" ht="16.5" hidden="1" customHeight="1" x14ac:dyDescent="0.3">
      <c r="A1472" s="6">
        <v>2</v>
      </c>
      <c r="B1472" s="22">
        <v>1</v>
      </c>
      <c r="C1472" s="2">
        <v>298</v>
      </c>
      <c r="D1472" s="2">
        <v>94058.9</v>
      </c>
    </row>
    <row r="1473" spans="1:5" ht="16.5" hidden="1" customHeight="1" x14ac:dyDescent="0.3"/>
    <row r="1474" spans="1:5" ht="33" hidden="1" customHeight="1" x14ac:dyDescent="0.3">
      <c r="A1474" s="1" t="s">
        <v>513</v>
      </c>
    </row>
    <row r="1475" spans="1:5" ht="17.25" hidden="1" customHeight="1" thickBot="1" x14ac:dyDescent="0.3"/>
    <row r="1476" spans="1:5" ht="16.5" hidden="1" customHeight="1" x14ac:dyDescent="0.3">
      <c r="A1476" s="24" t="s">
        <v>462</v>
      </c>
      <c r="B1476" s="26"/>
      <c r="C1476" s="26"/>
      <c r="D1476" s="26"/>
      <c r="E1476" s="26"/>
    </row>
    <row r="1477" spans="1:5" ht="16.5" hidden="1" customHeight="1" x14ac:dyDescent="0.3">
      <c r="A1477" s="6" t="s">
        <v>463</v>
      </c>
      <c r="B1477" s="3" t="s">
        <v>460</v>
      </c>
      <c r="C1477" s="27" t="s">
        <v>464</v>
      </c>
      <c r="D1477" s="27"/>
      <c r="E1477" s="27"/>
    </row>
    <row r="1478" spans="1:5" ht="16.5" hidden="1" customHeight="1" thickBot="1" x14ac:dyDescent="0.35">
      <c r="A1478" s="13" t="s">
        <v>22</v>
      </c>
      <c r="B1478" s="12">
        <v>1</v>
      </c>
      <c r="C1478" s="2">
        <v>0</v>
      </c>
      <c r="D1478" s="2">
        <v>0</v>
      </c>
      <c r="E1478" s="2">
        <v>0</v>
      </c>
    </row>
    <row r="1479" spans="1:5" ht="16.5" hidden="1" customHeight="1" thickBot="1" x14ac:dyDescent="0.35">
      <c r="A1479" s="13"/>
      <c r="B1479" s="12">
        <v>2</v>
      </c>
      <c r="C1479" s="2">
        <v>1</v>
      </c>
      <c r="D1479" s="2">
        <v>0</v>
      </c>
      <c r="E1479" s="2">
        <v>0</v>
      </c>
    </row>
    <row r="1480" spans="1:5" ht="16.5" hidden="1" customHeight="1" thickBot="1" x14ac:dyDescent="0.35">
      <c r="A1480" s="13"/>
      <c r="B1480" s="12">
        <v>3</v>
      </c>
      <c r="C1480" s="2">
        <v>0</v>
      </c>
      <c r="D1480" s="2">
        <v>1</v>
      </c>
      <c r="E1480" s="2">
        <v>0</v>
      </c>
    </row>
    <row r="1481" spans="1:5" ht="16.5" hidden="1" customHeight="1" x14ac:dyDescent="0.3">
      <c r="A1481" s="14"/>
      <c r="B1481" s="15">
        <v>4</v>
      </c>
      <c r="C1481" s="2">
        <v>0</v>
      </c>
      <c r="D1481" s="2">
        <v>0</v>
      </c>
      <c r="E1481" s="2">
        <v>1</v>
      </c>
    </row>
    <row r="1482" spans="1:5" ht="17.25" hidden="1" customHeight="1" thickBot="1" x14ac:dyDescent="0.3"/>
    <row r="1483" spans="1:5" ht="17.25" hidden="1" customHeight="1" x14ac:dyDescent="0.3">
      <c r="A1483" s="4" t="s">
        <v>465</v>
      </c>
    </row>
    <row r="1484" spans="1:5" ht="17.25" hidden="1" customHeight="1" x14ac:dyDescent="0.3">
      <c r="A1484" s="23" t="s">
        <v>466</v>
      </c>
    </row>
    <row r="1485" spans="1:5" ht="16.5" hidden="1" customHeight="1" thickBot="1" x14ac:dyDescent="0.3"/>
    <row r="1486" spans="1:5" ht="16.5" hidden="1" customHeight="1" x14ac:dyDescent="0.3">
      <c r="A1486" s="24" t="s">
        <v>467</v>
      </c>
      <c r="B1486" s="26"/>
      <c r="C1486" s="26"/>
    </row>
    <row r="1487" spans="1:5" ht="66" hidden="1" customHeight="1" x14ac:dyDescent="0.3">
      <c r="A1487" s="6" t="s">
        <v>468</v>
      </c>
      <c r="B1487" s="3" t="s">
        <v>469</v>
      </c>
      <c r="C1487" s="3" t="s">
        <v>470</v>
      </c>
    </row>
    <row r="1488" spans="1:5" ht="99" hidden="1" customHeight="1" thickBot="1" x14ac:dyDescent="0.35">
      <c r="A1488" s="13" t="s">
        <v>471</v>
      </c>
      <c r="B1488" s="2">
        <v>998044.77</v>
      </c>
      <c r="C1488" s="2">
        <v>996489.28</v>
      </c>
    </row>
    <row r="1489" spans="1:6" ht="16.5" hidden="1" customHeight="1" thickBot="1" x14ac:dyDescent="0.35">
      <c r="A1489" s="13" t="s">
        <v>472</v>
      </c>
      <c r="B1489" s="2">
        <v>998058.53</v>
      </c>
      <c r="C1489" s="2">
        <v>996544.33</v>
      </c>
    </row>
    <row r="1490" spans="1:6" ht="16.5" hidden="1" customHeight="1" x14ac:dyDescent="0.3">
      <c r="A1490" s="14" t="s">
        <v>473</v>
      </c>
      <c r="B1490" s="2" t="s">
        <v>635</v>
      </c>
      <c r="C1490" s="2">
        <v>996481.28</v>
      </c>
    </row>
    <row r="1491" spans="1:6" ht="66" hidden="1" customHeight="1" thickBot="1" x14ac:dyDescent="0.3"/>
    <row r="1492" spans="1:6" ht="17.25" hidden="1" customHeight="1" x14ac:dyDescent="0.3">
      <c r="A1492" s="24" t="s">
        <v>474</v>
      </c>
      <c r="B1492" s="26"/>
      <c r="C1492" s="26"/>
      <c r="D1492" s="26"/>
      <c r="E1492" s="26"/>
    </row>
    <row r="1493" spans="1:6" ht="17.25" hidden="1" customHeight="1" x14ac:dyDescent="0.3">
      <c r="A1493" s="6" t="s">
        <v>475</v>
      </c>
      <c r="B1493" s="3" t="s">
        <v>476</v>
      </c>
      <c r="C1493" s="3" t="s">
        <v>477</v>
      </c>
      <c r="D1493" s="3" t="s">
        <v>478</v>
      </c>
      <c r="E1493" s="3" t="s">
        <v>479</v>
      </c>
    </row>
    <row r="1494" spans="1:6" ht="16.5" hidden="1" customHeight="1" x14ac:dyDescent="0.3">
      <c r="A1494" s="25" t="s">
        <v>607</v>
      </c>
      <c r="B1494" s="27"/>
      <c r="C1494" s="27"/>
      <c r="D1494" s="27"/>
      <c r="E1494" s="27"/>
    </row>
    <row r="1495" spans="1:6" ht="16.5" hidden="1" customHeight="1" thickBot="1" x14ac:dyDescent="0.35">
      <c r="A1495" s="13" t="s">
        <v>481</v>
      </c>
      <c r="B1495" s="2">
        <v>1.21</v>
      </c>
      <c r="C1495" s="2">
        <v>2.9986000000000002</v>
      </c>
      <c r="D1495" s="2">
        <v>8300.23</v>
      </c>
      <c r="E1495" s="2">
        <v>0.3054</v>
      </c>
    </row>
    <row r="1496" spans="1:6" ht="16.5" hidden="1" customHeight="1" thickBot="1" x14ac:dyDescent="0.35">
      <c r="A1496" s="13" t="s">
        <v>483</v>
      </c>
      <c r="B1496" s="2">
        <v>1.28</v>
      </c>
      <c r="C1496" s="2">
        <v>3</v>
      </c>
      <c r="D1496" s="2">
        <v>2766</v>
      </c>
      <c r="E1496" s="2">
        <v>0.28089999999999998</v>
      </c>
    </row>
    <row r="1497" spans="1:6" ht="16.5" hidden="1" customHeight="1" x14ac:dyDescent="0.3">
      <c r="A1497" s="14" t="s">
        <v>484</v>
      </c>
      <c r="B1497" s="2">
        <v>1.05</v>
      </c>
      <c r="C1497" s="2">
        <v>3</v>
      </c>
      <c r="D1497" s="2">
        <v>2766</v>
      </c>
      <c r="E1497" s="2">
        <v>0.37119999999999997</v>
      </c>
    </row>
    <row r="1498" spans="1:6" ht="33" hidden="1" customHeight="1" thickBot="1" x14ac:dyDescent="0.3"/>
    <row r="1499" spans="1:6" ht="26.25" hidden="1" customHeight="1" x14ac:dyDescent="0.3">
      <c r="A1499" s="24" t="s">
        <v>485</v>
      </c>
      <c r="B1499" s="26"/>
      <c r="C1499" s="26"/>
      <c r="D1499" s="26"/>
      <c r="E1499" s="26"/>
    </row>
    <row r="1500" spans="1:6" ht="17.25" hidden="1" customHeight="1" x14ac:dyDescent="0.3">
      <c r="A1500" s="6" t="s">
        <v>486</v>
      </c>
      <c r="B1500" s="3" t="s">
        <v>476</v>
      </c>
      <c r="C1500" s="3" t="s">
        <v>477</v>
      </c>
      <c r="D1500" s="3" t="s">
        <v>478</v>
      </c>
      <c r="E1500" s="3" t="s">
        <v>479</v>
      </c>
    </row>
    <row r="1501" spans="1:6" ht="16.5" hidden="1" customHeight="1" x14ac:dyDescent="0.3">
      <c r="A1501" s="14" t="s">
        <v>22</v>
      </c>
      <c r="B1501" s="2">
        <v>1.05</v>
      </c>
      <c r="C1501" s="2">
        <v>3</v>
      </c>
      <c r="D1501" s="2">
        <v>2766</v>
      </c>
      <c r="E1501" s="2">
        <v>0.37119999999999997</v>
      </c>
    </row>
    <row r="1502" spans="1:6" ht="16.5" hidden="1" customHeight="1" thickBot="1" x14ac:dyDescent="0.3"/>
    <row r="1503" spans="1:6" ht="16.5" hidden="1" customHeight="1" x14ac:dyDescent="0.3">
      <c r="A1503" s="24" t="s">
        <v>487</v>
      </c>
      <c r="B1503" s="26"/>
      <c r="C1503" s="26"/>
      <c r="D1503" s="26"/>
      <c r="E1503" s="26"/>
      <c r="F1503" s="26"/>
    </row>
    <row r="1504" spans="1:6" ht="16.5" hidden="1" customHeight="1" x14ac:dyDescent="0.3">
      <c r="A1504" s="25" t="s">
        <v>488</v>
      </c>
      <c r="B1504" s="27"/>
      <c r="C1504" s="27" t="s">
        <v>489</v>
      </c>
      <c r="D1504" s="3" t="s">
        <v>490</v>
      </c>
      <c r="E1504" s="27" t="s">
        <v>492</v>
      </c>
      <c r="F1504" s="27" t="s">
        <v>493</v>
      </c>
    </row>
    <row r="1505" spans="1:9" ht="16.5" hidden="1" customHeight="1" x14ac:dyDescent="0.3">
      <c r="A1505" s="25"/>
      <c r="B1505" s="27"/>
      <c r="C1505" s="27"/>
      <c r="D1505" s="3" t="s">
        <v>491</v>
      </c>
      <c r="E1505" s="27"/>
      <c r="F1505" s="27"/>
    </row>
    <row r="1506" spans="1:9" ht="16.5" hidden="1" customHeight="1" x14ac:dyDescent="0.3">
      <c r="A1506" s="25" t="s">
        <v>568</v>
      </c>
      <c r="B1506" s="27"/>
      <c r="C1506" s="27"/>
      <c r="D1506" s="27"/>
      <c r="E1506" s="27"/>
      <c r="F1506" s="27"/>
    </row>
    <row r="1507" spans="1:9" ht="16.5" hidden="1" customHeight="1" thickBot="1" x14ac:dyDescent="0.35">
      <c r="A1507" s="13" t="s">
        <v>495</v>
      </c>
      <c r="B1507" s="12"/>
      <c r="C1507" s="16">
        <v>-4.5793999999999997</v>
      </c>
      <c r="D1507" s="2">
        <v>0.18310000000000001</v>
      </c>
      <c r="E1507" s="16">
        <v>-25.01</v>
      </c>
      <c r="F1507" s="2" t="s">
        <v>482</v>
      </c>
    </row>
    <row r="1508" spans="1:9" ht="16.5" hidden="1" customHeight="1" thickBot="1" x14ac:dyDescent="0.35">
      <c r="A1508" s="13" t="s">
        <v>22</v>
      </c>
      <c r="B1508" s="12">
        <v>2</v>
      </c>
      <c r="C1508" s="2">
        <v>0.31690000000000002</v>
      </c>
      <c r="D1508" s="2">
        <v>0.23</v>
      </c>
      <c r="E1508" s="2">
        <v>1.38</v>
      </c>
      <c r="F1508" s="2">
        <v>0.16839999999999999</v>
      </c>
    </row>
    <row r="1509" spans="1:9" ht="16.5" hidden="1" customHeight="1" thickBot="1" x14ac:dyDescent="0.35">
      <c r="A1509" s="13" t="s">
        <v>22</v>
      </c>
      <c r="B1509" s="12">
        <v>3</v>
      </c>
      <c r="C1509" s="2">
        <v>0.3841</v>
      </c>
      <c r="D1509" s="2">
        <v>0.22090000000000001</v>
      </c>
      <c r="E1509" s="2">
        <v>1.74</v>
      </c>
      <c r="F1509" s="2">
        <v>8.2199999999999995E-2</v>
      </c>
    </row>
    <row r="1510" spans="1:9" ht="16.5" hidden="1" customHeight="1" x14ac:dyDescent="0.3">
      <c r="A1510" s="14" t="s">
        <v>22</v>
      </c>
      <c r="B1510" s="15">
        <v>4</v>
      </c>
      <c r="C1510" s="2">
        <v>0.31309999999999999</v>
      </c>
      <c r="D1510" s="2">
        <v>0.22370000000000001</v>
      </c>
      <c r="E1510" s="2">
        <v>1.4</v>
      </c>
      <c r="F1510" s="2">
        <v>0.1618</v>
      </c>
    </row>
    <row r="1511" spans="1:9" ht="17.25" hidden="1" customHeight="1" thickBot="1" x14ac:dyDescent="0.3"/>
    <row r="1512" spans="1:9" ht="17.25" hidden="1" customHeight="1" x14ac:dyDescent="0.3">
      <c r="A1512" s="24" t="s">
        <v>496</v>
      </c>
      <c r="B1512" s="26"/>
      <c r="C1512" s="26"/>
      <c r="D1512" s="26"/>
      <c r="H1512">
        <f>F1512</f>
        <v>0</v>
      </c>
    </row>
    <row r="1513" spans="1:9" ht="17.25" hidden="1" customHeight="1" x14ac:dyDescent="0.3">
      <c r="A1513" s="6" t="s">
        <v>486</v>
      </c>
      <c r="B1513" s="3" t="s">
        <v>497</v>
      </c>
      <c r="C1513" s="27" t="s">
        <v>91</v>
      </c>
      <c r="D1513" s="27"/>
      <c r="H1513">
        <f t="shared" ref="H1513:H1514" si="51">F1513</f>
        <v>0</v>
      </c>
    </row>
    <row r="1514" spans="1:9" ht="16.5" hidden="1" customHeight="1" x14ac:dyDescent="0.3">
      <c r="A1514" s="25" t="s">
        <v>569</v>
      </c>
      <c r="B1514" s="27"/>
      <c r="C1514" s="27"/>
      <c r="D1514" s="27"/>
      <c r="H1514">
        <f t="shared" si="51"/>
        <v>0</v>
      </c>
    </row>
    <row r="1515" spans="1:9" ht="16.5" hidden="1" customHeight="1" thickBot="1" x14ac:dyDescent="0.35">
      <c r="A1515" s="13" t="s">
        <v>499</v>
      </c>
      <c r="B1515" s="2">
        <v>1.373</v>
      </c>
      <c r="C1515" s="2">
        <v>0.874</v>
      </c>
      <c r="D1515" s="2">
        <v>2.1549999999999998</v>
      </c>
    </row>
    <row r="1516" spans="1:9" ht="16.5" hidden="1" customHeight="1" thickBot="1" x14ac:dyDescent="0.35">
      <c r="A1516" s="13" t="s">
        <v>500</v>
      </c>
      <c r="B1516" s="2">
        <v>1.468</v>
      </c>
      <c r="C1516" s="2">
        <v>0.95199999999999996</v>
      </c>
      <c r="D1516" s="2">
        <v>2.2639999999999998</v>
      </c>
    </row>
    <row r="1517" spans="1:9" ht="33" hidden="1" customHeight="1" thickBot="1" x14ac:dyDescent="0.35">
      <c r="A1517" s="14" t="s">
        <v>501</v>
      </c>
      <c r="B1517" s="2">
        <v>1.3680000000000001</v>
      </c>
      <c r="C1517" s="2">
        <v>0.88200000000000001</v>
      </c>
      <c r="D1517" s="2">
        <v>2.121</v>
      </c>
    </row>
    <row r="1518" spans="1:9" ht="49.5" hidden="1" customHeight="1" thickBot="1" x14ac:dyDescent="0.3"/>
    <row r="1519" spans="1:9" ht="33" customHeight="1" x14ac:dyDescent="0.3">
      <c r="A1519" s="24" t="s">
        <v>502</v>
      </c>
      <c r="B1519" s="26"/>
      <c r="C1519" s="26"/>
      <c r="D1519" s="26"/>
      <c r="H1519" s="8" t="str">
        <f t="shared" ref="H1519:H1521" si="52">TEXT(B1519,"0.00")&amp;" ("&amp;TEXT(C1519,"0.00")&amp;" to "&amp;TEXT(D1519,"0.00")&amp;")"</f>
        <v>0.00 (0.00 to 0.00)</v>
      </c>
      <c r="I1519">
        <f t="shared" ref="I1519:I1521" si="53">F1512</f>
        <v>0</v>
      </c>
    </row>
    <row r="1520" spans="1:9" ht="26.25" customHeight="1" thickBot="1" x14ac:dyDescent="0.35">
      <c r="A1520" s="13" t="s">
        <v>503</v>
      </c>
      <c r="B1520" s="2">
        <v>32.200000000000003</v>
      </c>
      <c r="C1520" s="12" t="s">
        <v>504</v>
      </c>
      <c r="D1520" s="2">
        <v>4.5999999999999999E-2</v>
      </c>
      <c r="H1520" s="8" t="str">
        <f t="shared" si="52"/>
        <v>32.20 (Somers' D to 0.05)</v>
      </c>
      <c r="I1520">
        <f t="shared" si="53"/>
        <v>0</v>
      </c>
    </row>
    <row r="1521" spans="1:9" ht="25.5" customHeight="1" thickBot="1" x14ac:dyDescent="0.35">
      <c r="A1521" s="13" t="s">
        <v>505</v>
      </c>
      <c r="B1521" s="2">
        <v>27.6</v>
      </c>
      <c r="C1521" s="12" t="s">
        <v>506</v>
      </c>
      <c r="D1521" s="2">
        <v>7.6999999999999999E-2</v>
      </c>
      <c r="H1521" s="8" t="str">
        <f t="shared" si="52"/>
        <v>27.60 (Gamma to 0.08)</v>
      </c>
      <c r="I1521">
        <f t="shared" si="53"/>
        <v>0</v>
      </c>
    </row>
    <row r="1522" spans="1:9" ht="16.5" hidden="1" customHeight="1" thickBot="1" x14ac:dyDescent="0.35">
      <c r="A1522" s="13" t="s">
        <v>507</v>
      </c>
      <c r="B1522" s="2">
        <v>40.299999999999997</v>
      </c>
      <c r="C1522" s="12" t="s">
        <v>508</v>
      </c>
      <c r="D1522" s="2">
        <v>2E-3</v>
      </c>
    </row>
    <row r="1523" spans="1:9" ht="33" hidden="1" customHeight="1" x14ac:dyDescent="0.3">
      <c r="A1523" s="14" t="s">
        <v>509</v>
      </c>
      <c r="B1523" s="2">
        <v>4758166</v>
      </c>
      <c r="C1523" s="15" t="s">
        <v>510</v>
      </c>
      <c r="D1523" s="2">
        <v>0.52300000000000002</v>
      </c>
    </row>
    <row r="1524" spans="1:9" ht="39" hidden="1" customHeight="1" x14ac:dyDescent="0.3"/>
    <row r="1525" spans="1:9" ht="26.25" hidden="1" customHeight="1" x14ac:dyDescent="0.3"/>
    <row r="1526" spans="1:9" ht="26.25" hidden="1" customHeight="1" x14ac:dyDescent="0.3"/>
    <row r="1527" spans="1:9" ht="16.5" hidden="1" customHeight="1" x14ac:dyDescent="0.3">
      <c r="A1527" s="1" t="s">
        <v>436</v>
      </c>
    </row>
    <row r="1528" spans="1:9" ht="16.5" hidden="1" customHeight="1" x14ac:dyDescent="0.3"/>
    <row r="1529" spans="1:9" ht="16.5" hidden="1" customHeight="1" x14ac:dyDescent="0.3">
      <c r="A1529" s="1" t="s">
        <v>412</v>
      </c>
    </row>
    <row r="1530" spans="1:9" ht="16.5" hidden="1" customHeight="1" thickBot="1" x14ac:dyDescent="0.3"/>
    <row r="1531" spans="1:9" ht="16.5" hidden="1" customHeight="1" x14ac:dyDescent="0.3">
      <c r="A1531" s="24" t="s">
        <v>437</v>
      </c>
      <c r="B1531" s="26"/>
    </row>
    <row r="1532" spans="1:9" ht="16.5" hidden="1" customHeight="1" thickBot="1" x14ac:dyDescent="0.35">
      <c r="A1532" s="13" t="s">
        <v>438</v>
      </c>
      <c r="B1532" s="18" t="s">
        <v>439</v>
      </c>
    </row>
    <row r="1533" spans="1:9" ht="16.5" hidden="1" customHeight="1" thickBot="1" x14ac:dyDescent="0.35">
      <c r="A1533" s="13" t="s">
        <v>440</v>
      </c>
      <c r="B1533" s="18" t="s">
        <v>19</v>
      </c>
    </row>
    <row r="1534" spans="1:9" ht="16.5" hidden="1" customHeight="1" thickBot="1" x14ac:dyDescent="0.35">
      <c r="A1534" s="13" t="s">
        <v>441</v>
      </c>
      <c r="B1534" s="18">
        <v>2</v>
      </c>
    </row>
    <row r="1535" spans="1:9" ht="16.5" hidden="1" customHeight="1" thickBot="1" x14ac:dyDescent="0.35">
      <c r="A1535" s="13" t="s">
        <v>442</v>
      </c>
      <c r="B1535" s="18" t="s">
        <v>443</v>
      </c>
    </row>
    <row r="1536" spans="1:9" ht="26.25" hidden="1" customHeight="1" thickBot="1" x14ac:dyDescent="0.35">
      <c r="A1536" s="13" t="s">
        <v>76</v>
      </c>
      <c r="B1536" s="18">
        <v>183</v>
      </c>
    </row>
    <row r="1537" spans="1:2" ht="26.25" hidden="1" customHeight="1" thickBot="1" x14ac:dyDescent="0.35">
      <c r="A1537" s="13" t="s">
        <v>444</v>
      </c>
      <c r="B1537" s="18" t="s">
        <v>445</v>
      </c>
    </row>
    <row r="1538" spans="1:2" ht="39" hidden="1" customHeight="1" thickBot="1" x14ac:dyDescent="0.35">
      <c r="A1538" s="13" t="s">
        <v>77</v>
      </c>
      <c r="B1538" s="18">
        <v>2974</v>
      </c>
    </row>
    <row r="1539" spans="1:2" ht="26.25" hidden="1" customHeight="1" thickBot="1" x14ac:dyDescent="0.35">
      <c r="A1539" s="13" t="s">
        <v>446</v>
      </c>
      <c r="B1539" s="18" t="s">
        <v>447</v>
      </c>
    </row>
    <row r="1540" spans="1:2" ht="26.25" hidden="1" customHeight="1" thickBot="1" x14ac:dyDescent="0.35">
      <c r="A1540" s="13" t="s">
        <v>448</v>
      </c>
      <c r="B1540" s="18" t="s">
        <v>449</v>
      </c>
    </row>
    <row r="1541" spans="1:2" ht="26.25" hidden="1" customHeight="1" thickBot="1" x14ac:dyDescent="0.35">
      <c r="A1541" s="13" t="s">
        <v>450</v>
      </c>
      <c r="B1541" s="18" t="s">
        <v>451</v>
      </c>
    </row>
    <row r="1542" spans="1:2" ht="26.25" hidden="1" customHeight="1" x14ac:dyDescent="0.3">
      <c r="A1542" s="14" t="s">
        <v>452</v>
      </c>
      <c r="B1542" s="19" t="s">
        <v>453</v>
      </c>
    </row>
    <row r="1543" spans="1:2" ht="26.25" hidden="1" customHeight="1" thickBot="1" x14ac:dyDescent="0.3"/>
    <row r="1544" spans="1:2" ht="26.25" hidden="1" customHeight="1" x14ac:dyDescent="0.3">
      <c r="A1544" s="24" t="s">
        <v>80</v>
      </c>
      <c r="B1544" s="26"/>
    </row>
    <row r="1545" spans="1:2" ht="39" hidden="1" customHeight="1" thickBot="1" x14ac:dyDescent="0.35">
      <c r="A1545" s="13" t="s">
        <v>81</v>
      </c>
      <c r="B1545" s="2" t="s">
        <v>82</v>
      </c>
    </row>
    <row r="1546" spans="1:2" ht="38.25" hidden="1" customHeight="1" x14ac:dyDescent="0.3">
      <c r="A1546" s="14" t="s">
        <v>452</v>
      </c>
      <c r="B1546" s="2" t="s">
        <v>453</v>
      </c>
    </row>
    <row r="1547" spans="1:2" ht="16.5" hidden="1" customHeight="1" thickBot="1" x14ac:dyDescent="0.3"/>
    <row r="1548" spans="1:2" ht="33" hidden="1" customHeight="1" thickBot="1" x14ac:dyDescent="0.35">
      <c r="A1548" s="20" t="s">
        <v>454</v>
      </c>
      <c r="B1548" s="21">
        <v>23158</v>
      </c>
    </row>
    <row r="1549" spans="1:2" ht="33.75" hidden="1" customHeight="1" thickBot="1" x14ac:dyDescent="0.35">
      <c r="A1549" s="13" t="s">
        <v>455</v>
      </c>
      <c r="B1549" s="2">
        <v>23158</v>
      </c>
    </row>
    <row r="1550" spans="1:2" ht="66" hidden="1" customHeight="1" thickBot="1" x14ac:dyDescent="0.35">
      <c r="A1550" s="13" t="s">
        <v>456</v>
      </c>
      <c r="B1550" s="2">
        <v>10353266</v>
      </c>
    </row>
    <row r="1551" spans="1:2" ht="16.5" hidden="1" customHeight="1" x14ac:dyDescent="0.3">
      <c r="A1551" s="14" t="s">
        <v>457</v>
      </c>
      <c r="B1551" s="2">
        <v>10353266</v>
      </c>
    </row>
    <row r="1552" spans="1:2" ht="39" hidden="1" customHeight="1" thickBot="1" x14ac:dyDescent="0.3"/>
    <row r="1553" spans="1:5" ht="39" hidden="1" customHeight="1" x14ac:dyDescent="0.3">
      <c r="A1553" s="24" t="s">
        <v>458</v>
      </c>
      <c r="B1553" s="26"/>
      <c r="C1553" s="26"/>
      <c r="D1553" s="26"/>
    </row>
    <row r="1554" spans="1:5" ht="39" hidden="1" customHeight="1" x14ac:dyDescent="0.3">
      <c r="A1554" s="6" t="s">
        <v>459</v>
      </c>
      <c r="B1554" s="27" t="s">
        <v>19</v>
      </c>
      <c r="C1554" s="3" t="s">
        <v>93</v>
      </c>
      <c r="D1554" s="3" t="s">
        <v>93</v>
      </c>
    </row>
    <row r="1555" spans="1:5" ht="38.25" hidden="1" customHeight="1" x14ac:dyDescent="0.3">
      <c r="A1555" s="6" t="s">
        <v>460</v>
      </c>
      <c r="B1555" s="27"/>
      <c r="C1555" s="3" t="s">
        <v>86</v>
      </c>
      <c r="D1555" s="3" t="s">
        <v>461</v>
      </c>
    </row>
    <row r="1556" spans="1:5" ht="16.5" hidden="1" customHeight="1" thickBot="1" x14ac:dyDescent="0.35">
      <c r="A1556" s="6">
        <v>1</v>
      </c>
      <c r="B1556" s="17">
        <v>0</v>
      </c>
      <c r="C1556" s="2">
        <v>22610</v>
      </c>
      <c r="D1556" s="2">
        <v>10182391</v>
      </c>
    </row>
    <row r="1557" spans="1:5" ht="16.5" hidden="1" customHeight="1" x14ac:dyDescent="0.3">
      <c r="A1557" s="6">
        <v>2</v>
      </c>
      <c r="B1557" s="22">
        <v>1</v>
      </c>
      <c r="C1557" s="2">
        <v>548</v>
      </c>
      <c r="D1557" s="2">
        <v>170875</v>
      </c>
    </row>
    <row r="1558" spans="1:5" ht="16.5" hidden="1" customHeight="1" x14ac:dyDescent="0.3"/>
    <row r="1559" spans="1:5" ht="33" hidden="1" customHeight="1" x14ac:dyDescent="0.3">
      <c r="A1559" s="1" t="s">
        <v>513</v>
      </c>
    </row>
    <row r="1560" spans="1:5" ht="17.25" hidden="1" customHeight="1" thickBot="1" x14ac:dyDescent="0.3"/>
    <row r="1561" spans="1:5" ht="16.5" hidden="1" customHeight="1" x14ac:dyDescent="0.3">
      <c r="A1561" s="24" t="s">
        <v>462</v>
      </c>
      <c r="B1561" s="26"/>
      <c r="C1561" s="26"/>
      <c r="D1561" s="26"/>
      <c r="E1561" s="26"/>
    </row>
    <row r="1562" spans="1:5" ht="16.5" hidden="1" customHeight="1" x14ac:dyDescent="0.3">
      <c r="A1562" s="6" t="s">
        <v>463</v>
      </c>
      <c r="B1562" s="3" t="s">
        <v>460</v>
      </c>
      <c r="C1562" s="27" t="s">
        <v>464</v>
      </c>
      <c r="D1562" s="27"/>
      <c r="E1562" s="27"/>
    </row>
    <row r="1563" spans="1:5" ht="16.5" hidden="1" customHeight="1" thickBot="1" x14ac:dyDescent="0.35">
      <c r="A1563" s="13" t="s">
        <v>22</v>
      </c>
      <c r="B1563" s="12">
        <v>1</v>
      </c>
      <c r="C1563" s="2">
        <v>0</v>
      </c>
      <c r="D1563" s="2">
        <v>0</v>
      </c>
      <c r="E1563" s="2">
        <v>0</v>
      </c>
    </row>
    <row r="1564" spans="1:5" ht="16.5" hidden="1" customHeight="1" thickBot="1" x14ac:dyDescent="0.35">
      <c r="A1564" s="13"/>
      <c r="B1564" s="12">
        <v>2</v>
      </c>
      <c r="C1564" s="2">
        <v>1</v>
      </c>
      <c r="D1564" s="2">
        <v>0</v>
      </c>
      <c r="E1564" s="2">
        <v>0</v>
      </c>
    </row>
    <row r="1565" spans="1:5" ht="16.5" hidden="1" customHeight="1" thickBot="1" x14ac:dyDescent="0.35">
      <c r="A1565" s="13"/>
      <c r="B1565" s="12">
        <v>3</v>
      </c>
      <c r="C1565" s="2">
        <v>0</v>
      </c>
      <c r="D1565" s="2">
        <v>1</v>
      </c>
      <c r="E1565" s="2">
        <v>0</v>
      </c>
    </row>
    <row r="1566" spans="1:5" ht="16.5" hidden="1" customHeight="1" x14ac:dyDescent="0.3">
      <c r="A1566" s="14"/>
      <c r="B1566" s="15">
        <v>4</v>
      </c>
      <c r="C1566" s="2">
        <v>0</v>
      </c>
      <c r="D1566" s="2">
        <v>0</v>
      </c>
      <c r="E1566" s="2">
        <v>1</v>
      </c>
    </row>
    <row r="1567" spans="1:5" ht="17.25" hidden="1" customHeight="1" thickBot="1" x14ac:dyDescent="0.3"/>
    <row r="1568" spans="1:5" ht="17.25" hidden="1" customHeight="1" x14ac:dyDescent="0.3">
      <c r="A1568" s="4" t="s">
        <v>465</v>
      </c>
    </row>
    <row r="1569" spans="1:5" ht="17.25" hidden="1" customHeight="1" x14ac:dyDescent="0.3">
      <c r="A1569" s="23" t="s">
        <v>466</v>
      </c>
    </row>
    <row r="1570" spans="1:5" ht="16.5" hidden="1" customHeight="1" thickBot="1" x14ac:dyDescent="0.3"/>
    <row r="1571" spans="1:5" ht="16.5" hidden="1" customHeight="1" x14ac:dyDescent="0.3">
      <c r="A1571" s="24" t="s">
        <v>467</v>
      </c>
      <c r="B1571" s="26"/>
      <c r="C1571" s="26"/>
    </row>
    <row r="1572" spans="1:5" ht="66" hidden="1" customHeight="1" x14ac:dyDescent="0.3">
      <c r="A1572" s="6" t="s">
        <v>468</v>
      </c>
      <c r="B1572" s="3" t="s">
        <v>469</v>
      </c>
      <c r="C1572" s="3" t="s">
        <v>470</v>
      </c>
    </row>
    <row r="1573" spans="1:5" ht="99" hidden="1" customHeight="1" thickBot="1" x14ac:dyDescent="0.35">
      <c r="A1573" s="13" t="s">
        <v>471</v>
      </c>
      <c r="B1573" s="2">
        <v>1741504.9</v>
      </c>
      <c r="C1573" s="2">
        <v>1739567</v>
      </c>
    </row>
    <row r="1574" spans="1:5" ht="16.5" hidden="1" customHeight="1" thickBot="1" x14ac:dyDescent="0.35">
      <c r="A1574" s="13" t="s">
        <v>472</v>
      </c>
      <c r="B1574" s="2">
        <v>1741519</v>
      </c>
      <c r="C1574" s="2">
        <v>1739623.6</v>
      </c>
    </row>
    <row r="1575" spans="1:5" ht="16.5" hidden="1" customHeight="1" x14ac:dyDescent="0.3">
      <c r="A1575" s="14" t="s">
        <v>473</v>
      </c>
      <c r="B1575" s="2" t="s">
        <v>636</v>
      </c>
      <c r="C1575" s="2">
        <v>1739559</v>
      </c>
    </row>
    <row r="1576" spans="1:5" ht="66" hidden="1" customHeight="1" thickBot="1" x14ac:dyDescent="0.3"/>
    <row r="1577" spans="1:5" ht="17.25" hidden="1" customHeight="1" x14ac:dyDescent="0.3">
      <c r="A1577" s="24" t="s">
        <v>474</v>
      </c>
      <c r="B1577" s="26"/>
      <c r="C1577" s="26"/>
      <c r="D1577" s="26"/>
      <c r="E1577" s="26"/>
    </row>
    <row r="1578" spans="1:5" ht="17.25" hidden="1" customHeight="1" x14ac:dyDescent="0.3">
      <c r="A1578" s="6" t="s">
        <v>475</v>
      </c>
      <c r="B1578" s="3" t="s">
        <v>476</v>
      </c>
      <c r="C1578" s="3" t="s">
        <v>477</v>
      </c>
      <c r="D1578" s="3" t="s">
        <v>478</v>
      </c>
      <c r="E1578" s="3" t="s">
        <v>479</v>
      </c>
    </row>
    <row r="1579" spans="1:5" ht="16.5" hidden="1" customHeight="1" x14ac:dyDescent="0.3">
      <c r="A1579" s="25" t="s">
        <v>609</v>
      </c>
      <c r="B1579" s="27"/>
      <c r="C1579" s="27"/>
      <c r="D1579" s="27"/>
      <c r="E1579" s="27"/>
    </row>
    <row r="1580" spans="1:5" ht="16.5" hidden="1" customHeight="1" thickBot="1" x14ac:dyDescent="0.35">
      <c r="A1580" s="13" t="s">
        <v>481</v>
      </c>
      <c r="B1580" s="2">
        <v>1.46</v>
      </c>
      <c r="C1580" s="2">
        <v>2.9903</v>
      </c>
      <c r="D1580" s="2">
        <v>8346.02</v>
      </c>
      <c r="E1580" s="2">
        <v>0.2235</v>
      </c>
    </row>
    <row r="1581" spans="1:5" ht="16.5" hidden="1" customHeight="1" thickBot="1" x14ac:dyDescent="0.35">
      <c r="A1581" s="13" t="s">
        <v>483</v>
      </c>
      <c r="B1581" s="2">
        <v>1.78</v>
      </c>
      <c r="C1581" s="2">
        <v>3</v>
      </c>
      <c r="D1581" s="2">
        <v>2789</v>
      </c>
      <c r="E1581" s="2">
        <v>0.1487</v>
      </c>
    </row>
    <row r="1582" spans="1:5" ht="16.5" hidden="1" customHeight="1" x14ac:dyDescent="0.3">
      <c r="A1582" s="14" t="s">
        <v>484</v>
      </c>
      <c r="B1582" s="2">
        <v>1.42</v>
      </c>
      <c r="C1582" s="2">
        <v>3</v>
      </c>
      <c r="D1582" s="2">
        <v>2789</v>
      </c>
      <c r="E1582" s="2">
        <v>0.2341</v>
      </c>
    </row>
    <row r="1583" spans="1:5" ht="33" hidden="1" customHeight="1" thickBot="1" x14ac:dyDescent="0.3"/>
    <row r="1584" spans="1:5" ht="26.25" hidden="1" customHeight="1" x14ac:dyDescent="0.3">
      <c r="A1584" s="24" t="s">
        <v>485</v>
      </c>
      <c r="B1584" s="26"/>
      <c r="C1584" s="26"/>
      <c r="D1584" s="26"/>
      <c r="E1584" s="26"/>
    </row>
    <row r="1585" spans="1:8" ht="17.25" hidden="1" customHeight="1" x14ac:dyDescent="0.3">
      <c r="A1585" s="6" t="s">
        <v>486</v>
      </c>
      <c r="B1585" s="3" t="s">
        <v>476</v>
      </c>
      <c r="C1585" s="3" t="s">
        <v>477</v>
      </c>
      <c r="D1585" s="3" t="s">
        <v>478</v>
      </c>
      <c r="E1585" s="3" t="s">
        <v>479</v>
      </c>
    </row>
    <row r="1586" spans="1:8" ht="16.5" hidden="1" customHeight="1" x14ac:dyDescent="0.3">
      <c r="A1586" s="14" t="s">
        <v>22</v>
      </c>
      <c r="B1586" s="2">
        <v>1.42</v>
      </c>
      <c r="C1586" s="2">
        <v>3</v>
      </c>
      <c r="D1586" s="2">
        <v>2789</v>
      </c>
      <c r="E1586" s="2">
        <v>0.2341</v>
      </c>
    </row>
    <row r="1587" spans="1:8" ht="16.5" hidden="1" customHeight="1" thickBot="1" x14ac:dyDescent="0.3"/>
    <row r="1588" spans="1:8" ht="16.5" hidden="1" customHeight="1" x14ac:dyDescent="0.3">
      <c r="A1588" s="24" t="s">
        <v>487</v>
      </c>
      <c r="B1588" s="26"/>
      <c r="C1588" s="26"/>
      <c r="D1588" s="26"/>
      <c r="E1588" s="26"/>
      <c r="F1588" s="26"/>
    </row>
    <row r="1589" spans="1:8" ht="16.5" hidden="1" customHeight="1" x14ac:dyDescent="0.3">
      <c r="A1589" s="25" t="s">
        <v>488</v>
      </c>
      <c r="B1589" s="27"/>
      <c r="C1589" s="27" t="s">
        <v>489</v>
      </c>
      <c r="D1589" s="3" t="s">
        <v>490</v>
      </c>
      <c r="E1589" s="27" t="s">
        <v>492</v>
      </c>
      <c r="F1589" s="27" t="s">
        <v>493</v>
      </c>
    </row>
    <row r="1590" spans="1:8" ht="16.5" hidden="1" customHeight="1" x14ac:dyDescent="0.3">
      <c r="A1590" s="25"/>
      <c r="B1590" s="27"/>
      <c r="C1590" s="27"/>
      <c r="D1590" s="3" t="s">
        <v>491</v>
      </c>
      <c r="E1590" s="27"/>
      <c r="F1590" s="27"/>
    </row>
    <row r="1591" spans="1:8" ht="16.5" hidden="1" customHeight="1" x14ac:dyDescent="0.3">
      <c r="A1591" s="25" t="s">
        <v>570</v>
      </c>
      <c r="B1591" s="27"/>
      <c r="C1591" s="27"/>
      <c r="D1591" s="27"/>
      <c r="E1591" s="27"/>
      <c r="F1591" s="27"/>
    </row>
    <row r="1592" spans="1:8" ht="16.5" hidden="1" customHeight="1" thickBot="1" x14ac:dyDescent="0.35">
      <c r="A1592" s="13" t="s">
        <v>495</v>
      </c>
      <c r="B1592" s="12"/>
      <c r="C1592" s="16">
        <v>-4.4090999999999996</v>
      </c>
      <c r="D1592" s="2">
        <v>0.18579999999999999</v>
      </c>
      <c r="E1592" s="16">
        <v>-23.73</v>
      </c>
      <c r="F1592" s="2" t="s">
        <v>482</v>
      </c>
    </row>
    <row r="1593" spans="1:8" ht="16.5" hidden="1" customHeight="1" thickBot="1" x14ac:dyDescent="0.35">
      <c r="A1593" s="13" t="s">
        <v>22</v>
      </c>
      <c r="B1593" s="12">
        <v>2</v>
      </c>
      <c r="C1593" s="2">
        <v>0.25790000000000002</v>
      </c>
      <c r="D1593" s="2">
        <v>0.215</v>
      </c>
      <c r="E1593" s="2">
        <v>1.2</v>
      </c>
      <c r="F1593" s="2">
        <v>0.2303</v>
      </c>
    </row>
    <row r="1594" spans="1:8" ht="16.5" hidden="1" customHeight="1" thickBot="1" x14ac:dyDescent="0.35">
      <c r="A1594" s="13" t="s">
        <v>22</v>
      </c>
      <c r="B1594" s="12">
        <v>3</v>
      </c>
      <c r="C1594" s="2">
        <v>0.3871</v>
      </c>
      <c r="D1594" s="2">
        <v>0.20599999999999999</v>
      </c>
      <c r="E1594" s="2">
        <v>1.88</v>
      </c>
      <c r="F1594" s="2">
        <v>6.0299999999999999E-2</v>
      </c>
    </row>
    <row r="1595" spans="1:8" ht="16.5" hidden="1" customHeight="1" x14ac:dyDescent="0.3">
      <c r="A1595" s="14" t="s">
        <v>22</v>
      </c>
      <c r="B1595" s="15">
        <v>4</v>
      </c>
      <c r="C1595" s="2">
        <v>0.36859999999999998</v>
      </c>
      <c r="D1595" s="2">
        <v>0.20399999999999999</v>
      </c>
      <c r="E1595" s="2">
        <v>1.81</v>
      </c>
      <c r="F1595" s="2">
        <v>7.0900000000000005E-2</v>
      </c>
    </row>
    <row r="1596" spans="1:8" ht="17.25" hidden="1" customHeight="1" thickBot="1" x14ac:dyDescent="0.3"/>
    <row r="1597" spans="1:8" ht="17.25" hidden="1" customHeight="1" x14ac:dyDescent="0.3">
      <c r="A1597" s="24" t="s">
        <v>496</v>
      </c>
      <c r="B1597" s="26"/>
      <c r="C1597" s="26"/>
      <c r="D1597" s="26"/>
      <c r="H1597">
        <f>F1597</f>
        <v>0</v>
      </c>
    </row>
    <row r="1598" spans="1:8" ht="17.25" hidden="1" customHeight="1" x14ac:dyDescent="0.3">
      <c r="A1598" s="6" t="s">
        <v>486</v>
      </c>
      <c r="B1598" s="3" t="s">
        <v>497</v>
      </c>
      <c r="C1598" s="27" t="s">
        <v>91</v>
      </c>
      <c r="D1598" s="27"/>
      <c r="H1598">
        <f t="shared" ref="H1598:H1599" si="54">F1598</f>
        <v>0</v>
      </c>
    </row>
    <row r="1599" spans="1:8" ht="16.5" hidden="1" customHeight="1" x14ac:dyDescent="0.3">
      <c r="A1599" s="25" t="s">
        <v>571</v>
      </c>
      <c r="B1599" s="27"/>
      <c r="C1599" s="27"/>
      <c r="D1599" s="27"/>
      <c r="H1599">
        <f t="shared" si="54"/>
        <v>0</v>
      </c>
    </row>
    <row r="1600" spans="1:8" ht="16.5" hidden="1" customHeight="1" thickBot="1" x14ac:dyDescent="0.35">
      <c r="A1600" s="13" t="s">
        <v>499</v>
      </c>
      <c r="B1600" s="2">
        <v>1.294</v>
      </c>
      <c r="C1600" s="2">
        <v>0.84899999999999998</v>
      </c>
      <c r="D1600" s="2">
        <v>1.9730000000000001</v>
      </c>
    </row>
    <row r="1601" spans="1:9" ht="16.5" hidden="1" customHeight="1" thickBot="1" x14ac:dyDescent="0.35">
      <c r="A1601" s="13" t="s">
        <v>500</v>
      </c>
      <c r="B1601" s="2">
        <v>1.4730000000000001</v>
      </c>
      <c r="C1601" s="2">
        <v>0.98299999999999998</v>
      </c>
      <c r="D1601" s="2">
        <v>2.206</v>
      </c>
    </row>
    <row r="1602" spans="1:9" ht="33" hidden="1" customHeight="1" thickBot="1" x14ac:dyDescent="0.35">
      <c r="A1602" s="14" t="s">
        <v>501</v>
      </c>
      <c r="B1602" s="2">
        <v>1.446</v>
      </c>
      <c r="C1602" s="2">
        <v>0.96899999999999997</v>
      </c>
      <c r="D1602" s="2">
        <v>2.157</v>
      </c>
    </row>
    <row r="1603" spans="1:9" ht="49.5" hidden="1" customHeight="1" thickBot="1" x14ac:dyDescent="0.3"/>
    <row r="1604" spans="1:9" ht="33" customHeight="1" x14ac:dyDescent="0.3">
      <c r="A1604" s="24" t="s">
        <v>502</v>
      </c>
      <c r="B1604" s="26"/>
      <c r="C1604" s="26"/>
      <c r="D1604" s="26"/>
      <c r="H1604" s="8" t="str">
        <f t="shared" ref="H1604:H1606" si="55">TEXT(B1604,"0.00")&amp;" ("&amp;TEXT(C1604,"0.00")&amp;" to "&amp;TEXT(D1604,"0.00")&amp;")"</f>
        <v>0.00 (0.00 to 0.00)</v>
      </c>
      <c r="I1604">
        <f t="shared" ref="I1604:I1606" si="56">F1597</f>
        <v>0</v>
      </c>
    </row>
    <row r="1605" spans="1:9" ht="26.25" customHeight="1" thickBot="1" x14ac:dyDescent="0.35">
      <c r="A1605" s="13" t="s">
        <v>503</v>
      </c>
      <c r="B1605" s="2">
        <v>23.1</v>
      </c>
      <c r="C1605" s="12" t="s">
        <v>504</v>
      </c>
      <c r="D1605" s="2">
        <v>8.9999999999999993E-3</v>
      </c>
      <c r="H1605" s="8" t="str">
        <f t="shared" si="55"/>
        <v>23.10 (Somers' D to 0.01)</v>
      </c>
      <c r="I1605">
        <f t="shared" si="56"/>
        <v>0</v>
      </c>
    </row>
    <row r="1606" spans="1:9" ht="25.5" customHeight="1" thickBot="1" x14ac:dyDescent="0.35">
      <c r="A1606" s="13" t="s">
        <v>505</v>
      </c>
      <c r="B1606" s="2">
        <v>22.2</v>
      </c>
      <c r="C1606" s="12" t="s">
        <v>506</v>
      </c>
      <c r="D1606" s="2">
        <v>1.9E-2</v>
      </c>
      <c r="H1606" s="8" t="str">
        <f t="shared" si="55"/>
        <v>22.20 (Gamma to 0.02)</v>
      </c>
      <c r="I1606">
        <f t="shared" si="56"/>
        <v>0</v>
      </c>
    </row>
    <row r="1607" spans="1:9" ht="16.5" hidden="1" customHeight="1" thickBot="1" x14ac:dyDescent="0.35">
      <c r="A1607" s="13" t="s">
        <v>507</v>
      </c>
      <c r="B1607" s="2">
        <v>54.7</v>
      </c>
      <c r="C1607" s="12" t="s">
        <v>508</v>
      </c>
      <c r="D1607" s="2">
        <v>0</v>
      </c>
    </row>
    <row r="1608" spans="1:9" ht="33" hidden="1" customHeight="1" x14ac:dyDescent="0.3">
      <c r="A1608" s="14" t="s">
        <v>509</v>
      </c>
      <c r="B1608" s="2">
        <v>12390280</v>
      </c>
      <c r="C1608" s="15" t="s">
        <v>510</v>
      </c>
      <c r="D1608" s="2">
        <v>0.504</v>
      </c>
    </row>
    <row r="1609" spans="1:9" ht="39" hidden="1" customHeight="1" x14ac:dyDescent="0.3"/>
    <row r="1610" spans="1:9" ht="26.25" hidden="1" customHeight="1" x14ac:dyDescent="0.3"/>
    <row r="1611" spans="1:9" ht="26.25" hidden="1" customHeight="1" x14ac:dyDescent="0.3"/>
    <row r="1612" spans="1:9" ht="16.5" hidden="1" customHeight="1" x14ac:dyDescent="0.3">
      <c r="A1612" s="1" t="s">
        <v>436</v>
      </c>
    </row>
    <row r="1613" spans="1:9" ht="16.5" hidden="1" customHeight="1" x14ac:dyDescent="0.3"/>
    <row r="1614" spans="1:9" ht="16.5" hidden="1" customHeight="1" x14ac:dyDescent="0.3">
      <c r="A1614" s="1" t="s">
        <v>413</v>
      </c>
    </row>
    <row r="1615" spans="1:9" ht="16.5" hidden="1" customHeight="1" thickBot="1" x14ac:dyDescent="0.3"/>
    <row r="1616" spans="1:9" ht="16.5" hidden="1" customHeight="1" x14ac:dyDescent="0.3">
      <c r="A1616" s="24" t="s">
        <v>437</v>
      </c>
      <c r="B1616" s="26"/>
    </row>
    <row r="1617" spans="1:2" ht="16.5" hidden="1" customHeight="1" thickBot="1" x14ac:dyDescent="0.35">
      <c r="A1617" s="13" t="s">
        <v>438</v>
      </c>
      <c r="B1617" s="18" t="s">
        <v>439</v>
      </c>
    </row>
    <row r="1618" spans="1:2" ht="16.5" hidden="1" customHeight="1" thickBot="1" x14ac:dyDescent="0.35">
      <c r="A1618" s="13" t="s">
        <v>440</v>
      </c>
      <c r="B1618" s="18" t="s">
        <v>19</v>
      </c>
    </row>
    <row r="1619" spans="1:2" ht="16.5" hidden="1" customHeight="1" thickBot="1" x14ac:dyDescent="0.35">
      <c r="A1619" s="13" t="s">
        <v>441</v>
      </c>
      <c r="B1619" s="18">
        <v>2</v>
      </c>
    </row>
    <row r="1620" spans="1:2" ht="16.5" hidden="1" customHeight="1" thickBot="1" x14ac:dyDescent="0.35">
      <c r="A1620" s="13" t="s">
        <v>442</v>
      </c>
      <c r="B1620" s="18" t="s">
        <v>443</v>
      </c>
    </row>
    <row r="1621" spans="1:2" ht="26.25" hidden="1" customHeight="1" thickBot="1" x14ac:dyDescent="0.35">
      <c r="A1621" s="13" t="s">
        <v>76</v>
      </c>
      <c r="B1621" s="18">
        <v>183</v>
      </c>
    </row>
    <row r="1622" spans="1:2" ht="26.25" hidden="1" customHeight="1" thickBot="1" x14ac:dyDescent="0.35">
      <c r="A1622" s="13" t="s">
        <v>444</v>
      </c>
      <c r="B1622" s="18" t="s">
        <v>445</v>
      </c>
    </row>
    <row r="1623" spans="1:2" ht="39" hidden="1" customHeight="1" thickBot="1" x14ac:dyDescent="0.35">
      <c r="A1623" s="13" t="s">
        <v>77</v>
      </c>
      <c r="B1623" s="18">
        <v>2979</v>
      </c>
    </row>
    <row r="1624" spans="1:2" ht="26.25" hidden="1" customHeight="1" thickBot="1" x14ac:dyDescent="0.35">
      <c r="A1624" s="13" t="s">
        <v>446</v>
      </c>
      <c r="B1624" s="18" t="s">
        <v>447</v>
      </c>
    </row>
    <row r="1625" spans="1:2" ht="26.25" hidden="1" customHeight="1" thickBot="1" x14ac:dyDescent="0.35">
      <c r="A1625" s="13" t="s">
        <v>448</v>
      </c>
      <c r="B1625" s="18" t="s">
        <v>449</v>
      </c>
    </row>
    <row r="1626" spans="1:2" ht="26.25" hidden="1" customHeight="1" thickBot="1" x14ac:dyDescent="0.35">
      <c r="A1626" s="13" t="s">
        <v>450</v>
      </c>
      <c r="B1626" s="18" t="s">
        <v>451</v>
      </c>
    </row>
    <row r="1627" spans="1:2" ht="26.25" hidden="1" customHeight="1" x14ac:dyDescent="0.3">
      <c r="A1627" s="14" t="s">
        <v>452</v>
      </c>
      <c r="B1627" s="19" t="s">
        <v>453</v>
      </c>
    </row>
    <row r="1628" spans="1:2" ht="26.25" hidden="1" customHeight="1" thickBot="1" x14ac:dyDescent="0.3"/>
    <row r="1629" spans="1:2" ht="26.25" hidden="1" customHeight="1" x14ac:dyDescent="0.3">
      <c r="A1629" s="24" t="s">
        <v>80</v>
      </c>
      <c r="B1629" s="26"/>
    </row>
    <row r="1630" spans="1:2" ht="39" hidden="1" customHeight="1" thickBot="1" x14ac:dyDescent="0.35">
      <c r="A1630" s="13" t="s">
        <v>81</v>
      </c>
      <c r="B1630" s="2" t="s">
        <v>82</v>
      </c>
    </row>
    <row r="1631" spans="1:2" ht="38.25" hidden="1" customHeight="1" x14ac:dyDescent="0.3">
      <c r="A1631" s="14" t="s">
        <v>452</v>
      </c>
      <c r="B1631" s="2" t="s">
        <v>453</v>
      </c>
    </row>
    <row r="1632" spans="1:2" ht="16.5" hidden="1" customHeight="1" thickBot="1" x14ac:dyDescent="0.3"/>
    <row r="1633" spans="1:5" ht="33" hidden="1" customHeight="1" thickBot="1" x14ac:dyDescent="0.35">
      <c r="A1633" s="20" t="s">
        <v>454</v>
      </c>
      <c r="B1633" s="21">
        <v>56814</v>
      </c>
    </row>
    <row r="1634" spans="1:5" ht="33.75" hidden="1" customHeight="1" thickBot="1" x14ac:dyDescent="0.35">
      <c r="A1634" s="13" t="s">
        <v>455</v>
      </c>
      <c r="B1634" s="2">
        <v>56814</v>
      </c>
    </row>
    <row r="1635" spans="1:5" ht="66" hidden="1" customHeight="1" thickBot="1" x14ac:dyDescent="0.35">
      <c r="A1635" s="13" t="s">
        <v>456</v>
      </c>
      <c r="B1635" s="2">
        <v>22898766</v>
      </c>
    </row>
    <row r="1636" spans="1:5" ht="16.5" hidden="1" customHeight="1" x14ac:dyDescent="0.3">
      <c r="A1636" s="14" t="s">
        <v>457</v>
      </c>
      <c r="B1636" s="2">
        <v>22898766</v>
      </c>
    </row>
    <row r="1637" spans="1:5" ht="39" hidden="1" customHeight="1" thickBot="1" x14ac:dyDescent="0.3"/>
    <row r="1638" spans="1:5" ht="39" hidden="1" customHeight="1" x14ac:dyDescent="0.3">
      <c r="A1638" s="24" t="s">
        <v>458</v>
      </c>
      <c r="B1638" s="26"/>
      <c r="C1638" s="26"/>
      <c r="D1638" s="26"/>
    </row>
    <row r="1639" spans="1:5" ht="39" hidden="1" customHeight="1" x14ac:dyDescent="0.3">
      <c r="A1639" s="6" t="s">
        <v>459</v>
      </c>
      <c r="B1639" s="27" t="s">
        <v>19</v>
      </c>
      <c r="C1639" s="3" t="s">
        <v>93</v>
      </c>
      <c r="D1639" s="3" t="s">
        <v>93</v>
      </c>
    </row>
    <row r="1640" spans="1:5" ht="38.25" hidden="1" customHeight="1" x14ac:dyDescent="0.3">
      <c r="A1640" s="6" t="s">
        <v>460</v>
      </c>
      <c r="B1640" s="27"/>
      <c r="C1640" s="3" t="s">
        <v>86</v>
      </c>
      <c r="D1640" s="3" t="s">
        <v>461</v>
      </c>
    </row>
    <row r="1641" spans="1:5" ht="16.5" hidden="1" customHeight="1" thickBot="1" x14ac:dyDescent="0.35">
      <c r="A1641" s="6">
        <v>1</v>
      </c>
      <c r="B1641" s="17">
        <v>0</v>
      </c>
      <c r="C1641" s="2">
        <v>55634</v>
      </c>
      <c r="D1641" s="2">
        <v>22530074</v>
      </c>
    </row>
    <row r="1642" spans="1:5" ht="16.5" hidden="1" customHeight="1" x14ac:dyDescent="0.3">
      <c r="A1642" s="6">
        <v>2</v>
      </c>
      <c r="B1642" s="22">
        <v>1</v>
      </c>
      <c r="C1642" s="2">
        <v>1180</v>
      </c>
      <c r="D1642" s="2">
        <v>368692</v>
      </c>
    </row>
    <row r="1643" spans="1:5" ht="16.5" hidden="1" customHeight="1" x14ac:dyDescent="0.3"/>
    <row r="1644" spans="1:5" ht="33" hidden="1" customHeight="1" x14ac:dyDescent="0.3">
      <c r="A1644" s="1" t="s">
        <v>513</v>
      </c>
    </row>
    <row r="1645" spans="1:5" ht="17.25" hidden="1" customHeight="1" thickBot="1" x14ac:dyDescent="0.3"/>
    <row r="1646" spans="1:5" ht="16.5" hidden="1" customHeight="1" x14ac:dyDescent="0.3">
      <c r="A1646" s="24" t="s">
        <v>462</v>
      </c>
      <c r="B1646" s="26"/>
      <c r="C1646" s="26"/>
      <c r="D1646" s="26"/>
      <c r="E1646" s="26"/>
    </row>
    <row r="1647" spans="1:5" ht="16.5" hidden="1" customHeight="1" x14ac:dyDescent="0.3">
      <c r="A1647" s="6" t="s">
        <v>463</v>
      </c>
      <c r="B1647" s="3" t="s">
        <v>460</v>
      </c>
      <c r="C1647" s="27" t="s">
        <v>464</v>
      </c>
      <c r="D1647" s="27"/>
      <c r="E1647" s="27"/>
    </row>
    <row r="1648" spans="1:5" ht="16.5" hidden="1" customHeight="1" thickBot="1" x14ac:dyDescent="0.35">
      <c r="A1648" s="13" t="s">
        <v>22</v>
      </c>
      <c r="B1648" s="12">
        <v>1</v>
      </c>
      <c r="C1648" s="2">
        <v>0</v>
      </c>
      <c r="D1648" s="2">
        <v>0</v>
      </c>
      <c r="E1648" s="2">
        <v>0</v>
      </c>
    </row>
    <row r="1649" spans="1:5" ht="16.5" hidden="1" customHeight="1" thickBot="1" x14ac:dyDescent="0.35">
      <c r="A1649" s="13"/>
      <c r="B1649" s="12">
        <v>2</v>
      </c>
      <c r="C1649" s="2">
        <v>1</v>
      </c>
      <c r="D1649" s="2">
        <v>0</v>
      </c>
      <c r="E1649" s="2">
        <v>0</v>
      </c>
    </row>
    <row r="1650" spans="1:5" ht="16.5" hidden="1" customHeight="1" thickBot="1" x14ac:dyDescent="0.35">
      <c r="A1650" s="13"/>
      <c r="B1650" s="12">
        <v>3</v>
      </c>
      <c r="C1650" s="2">
        <v>0</v>
      </c>
      <c r="D1650" s="2">
        <v>1</v>
      </c>
      <c r="E1650" s="2">
        <v>0</v>
      </c>
    </row>
    <row r="1651" spans="1:5" ht="16.5" hidden="1" customHeight="1" x14ac:dyDescent="0.3">
      <c r="A1651" s="14"/>
      <c r="B1651" s="15">
        <v>4</v>
      </c>
      <c r="C1651" s="2">
        <v>0</v>
      </c>
      <c r="D1651" s="2">
        <v>0</v>
      </c>
      <c r="E1651" s="2">
        <v>1</v>
      </c>
    </row>
    <row r="1652" spans="1:5" ht="17.25" hidden="1" customHeight="1" thickBot="1" x14ac:dyDescent="0.3"/>
    <row r="1653" spans="1:5" ht="17.25" hidden="1" customHeight="1" x14ac:dyDescent="0.3">
      <c r="A1653" s="4" t="s">
        <v>465</v>
      </c>
    </row>
    <row r="1654" spans="1:5" ht="17.25" hidden="1" customHeight="1" x14ac:dyDescent="0.3">
      <c r="A1654" s="23" t="s">
        <v>466</v>
      </c>
    </row>
    <row r="1655" spans="1:5" ht="16.5" hidden="1" customHeight="1" thickBot="1" x14ac:dyDescent="0.3"/>
    <row r="1656" spans="1:5" ht="16.5" hidden="1" customHeight="1" x14ac:dyDescent="0.3">
      <c r="A1656" s="24" t="s">
        <v>467</v>
      </c>
      <c r="B1656" s="26"/>
      <c r="C1656" s="26"/>
    </row>
    <row r="1657" spans="1:5" ht="66" hidden="1" customHeight="1" x14ac:dyDescent="0.3">
      <c r="A1657" s="6" t="s">
        <v>468</v>
      </c>
      <c r="B1657" s="3" t="s">
        <v>469</v>
      </c>
      <c r="C1657" s="3" t="s">
        <v>470</v>
      </c>
    </row>
    <row r="1658" spans="1:5" ht="99" hidden="1" customHeight="1" thickBot="1" x14ac:dyDescent="0.35">
      <c r="A1658" s="13" t="s">
        <v>471</v>
      </c>
      <c r="B1658" s="2">
        <v>3775985.3</v>
      </c>
      <c r="C1658" s="2">
        <v>3763163.7</v>
      </c>
    </row>
    <row r="1659" spans="1:5" ht="16.5" hidden="1" customHeight="1" thickBot="1" x14ac:dyDescent="0.35">
      <c r="A1659" s="13" t="s">
        <v>472</v>
      </c>
      <c r="B1659" s="2">
        <v>3776000.3</v>
      </c>
      <c r="C1659" s="2">
        <v>3763223.5</v>
      </c>
    </row>
    <row r="1660" spans="1:5" ht="16.5" hidden="1" customHeight="1" x14ac:dyDescent="0.3">
      <c r="A1660" s="14" t="s">
        <v>473</v>
      </c>
      <c r="B1660" s="2" t="s">
        <v>637</v>
      </c>
      <c r="C1660" s="2">
        <v>3763155.7</v>
      </c>
    </row>
    <row r="1661" spans="1:5" ht="66" hidden="1" customHeight="1" thickBot="1" x14ac:dyDescent="0.3"/>
    <row r="1662" spans="1:5" ht="17.25" hidden="1" customHeight="1" x14ac:dyDescent="0.3">
      <c r="A1662" s="24" t="s">
        <v>474</v>
      </c>
      <c r="B1662" s="26"/>
      <c r="C1662" s="26"/>
      <c r="D1662" s="26"/>
      <c r="E1662" s="26"/>
    </row>
    <row r="1663" spans="1:5" ht="17.25" hidden="1" customHeight="1" x14ac:dyDescent="0.3">
      <c r="A1663" s="6" t="s">
        <v>475</v>
      </c>
      <c r="B1663" s="3" t="s">
        <v>476</v>
      </c>
      <c r="C1663" s="3" t="s">
        <v>477</v>
      </c>
      <c r="D1663" s="3" t="s">
        <v>478</v>
      </c>
      <c r="E1663" s="3" t="s">
        <v>479</v>
      </c>
    </row>
    <row r="1664" spans="1:5" ht="16.5" hidden="1" customHeight="1" x14ac:dyDescent="0.3">
      <c r="A1664" s="25" t="s">
        <v>607</v>
      </c>
      <c r="B1664" s="27"/>
      <c r="C1664" s="27"/>
      <c r="D1664" s="27"/>
      <c r="E1664" s="27"/>
    </row>
    <row r="1665" spans="1:6" ht="16.5" hidden="1" customHeight="1" thickBot="1" x14ac:dyDescent="0.35">
      <c r="A1665" s="13" t="s">
        <v>481</v>
      </c>
      <c r="B1665" s="2">
        <v>10.69</v>
      </c>
      <c r="C1665" s="2">
        <v>2.9984999999999999</v>
      </c>
      <c r="D1665" s="2">
        <v>8383.75</v>
      </c>
      <c r="E1665" s="2" t="s">
        <v>482</v>
      </c>
    </row>
    <row r="1666" spans="1:6" ht="16.5" hidden="1" customHeight="1" thickBot="1" x14ac:dyDescent="0.35">
      <c r="A1666" s="13" t="s">
        <v>483</v>
      </c>
      <c r="B1666" s="2">
        <v>11.05</v>
      </c>
      <c r="C1666" s="2">
        <v>3</v>
      </c>
      <c r="D1666" s="2">
        <v>2794</v>
      </c>
      <c r="E1666" s="2" t="s">
        <v>482</v>
      </c>
    </row>
    <row r="1667" spans="1:6" ht="16.5" hidden="1" customHeight="1" x14ac:dyDescent="0.3">
      <c r="A1667" s="14" t="s">
        <v>484</v>
      </c>
      <c r="B1667" s="2">
        <v>8.7899999999999991</v>
      </c>
      <c r="C1667" s="2">
        <v>3</v>
      </c>
      <c r="D1667" s="2">
        <v>2794</v>
      </c>
      <c r="E1667" s="2" t="s">
        <v>482</v>
      </c>
    </row>
    <row r="1668" spans="1:6" ht="33" hidden="1" customHeight="1" thickBot="1" x14ac:dyDescent="0.3"/>
    <row r="1669" spans="1:6" ht="26.25" hidden="1" customHeight="1" x14ac:dyDescent="0.3">
      <c r="A1669" s="24" t="s">
        <v>485</v>
      </c>
      <c r="B1669" s="26"/>
      <c r="C1669" s="26"/>
      <c r="D1669" s="26"/>
      <c r="E1669" s="26"/>
    </row>
    <row r="1670" spans="1:6" ht="17.25" hidden="1" customHeight="1" x14ac:dyDescent="0.3">
      <c r="A1670" s="6" t="s">
        <v>486</v>
      </c>
      <c r="B1670" s="3" t="s">
        <v>476</v>
      </c>
      <c r="C1670" s="3" t="s">
        <v>477</v>
      </c>
      <c r="D1670" s="3" t="s">
        <v>478</v>
      </c>
      <c r="E1670" s="3" t="s">
        <v>479</v>
      </c>
    </row>
    <row r="1671" spans="1:6" ht="16.5" hidden="1" customHeight="1" x14ac:dyDescent="0.3">
      <c r="A1671" s="14" t="s">
        <v>22</v>
      </c>
      <c r="B1671" s="2">
        <v>8.7899999999999991</v>
      </c>
      <c r="C1671" s="2">
        <v>3</v>
      </c>
      <c r="D1671" s="2">
        <v>2794</v>
      </c>
      <c r="E1671" s="2" t="s">
        <v>482</v>
      </c>
    </row>
    <row r="1672" spans="1:6" ht="16.5" hidden="1" customHeight="1" thickBot="1" x14ac:dyDescent="0.3"/>
    <row r="1673" spans="1:6" ht="16.5" hidden="1" customHeight="1" x14ac:dyDescent="0.3">
      <c r="A1673" s="24" t="s">
        <v>487</v>
      </c>
      <c r="B1673" s="26"/>
      <c r="C1673" s="26"/>
      <c r="D1673" s="26"/>
      <c r="E1673" s="26"/>
      <c r="F1673" s="26"/>
    </row>
    <row r="1674" spans="1:6" ht="16.5" hidden="1" customHeight="1" x14ac:dyDescent="0.3">
      <c r="A1674" s="25" t="s">
        <v>488</v>
      </c>
      <c r="B1674" s="27"/>
      <c r="C1674" s="27" t="s">
        <v>489</v>
      </c>
      <c r="D1674" s="3" t="s">
        <v>490</v>
      </c>
      <c r="E1674" s="27" t="s">
        <v>492</v>
      </c>
      <c r="F1674" s="27" t="s">
        <v>493</v>
      </c>
    </row>
    <row r="1675" spans="1:6" ht="16.5" hidden="1" customHeight="1" x14ac:dyDescent="0.3">
      <c r="A1675" s="25"/>
      <c r="B1675" s="27"/>
      <c r="C1675" s="27"/>
      <c r="D1675" s="3" t="s">
        <v>491</v>
      </c>
      <c r="E1675" s="27"/>
      <c r="F1675" s="27"/>
    </row>
    <row r="1676" spans="1:6" ht="16.5" hidden="1" customHeight="1" x14ac:dyDescent="0.3">
      <c r="A1676" s="25" t="s">
        <v>573</v>
      </c>
      <c r="B1676" s="27"/>
      <c r="C1676" s="27"/>
      <c r="D1676" s="27"/>
      <c r="E1676" s="27"/>
      <c r="F1676" s="27"/>
    </row>
    <row r="1677" spans="1:6" ht="16.5" hidden="1" customHeight="1" thickBot="1" x14ac:dyDescent="0.35">
      <c r="A1677" s="13" t="s">
        <v>495</v>
      </c>
      <c r="B1677" s="12"/>
      <c r="C1677" s="16">
        <v>-4.4976000000000003</v>
      </c>
      <c r="D1677" s="2">
        <v>9.2700000000000005E-2</v>
      </c>
      <c r="E1677" s="16">
        <v>-48.54</v>
      </c>
      <c r="F1677" s="2" t="s">
        <v>482</v>
      </c>
    </row>
    <row r="1678" spans="1:6" ht="16.5" hidden="1" customHeight="1" thickBot="1" x14ac:dyDescent="0.35">
      <c r="A1678" s="13" t="s">
        <v>22</v>
      </c>
      <c r="B1678" s="12">
        <v>2</v>
      </c>
      <c r="C1678" s="2">
        <v>0.32550000000000001</v>
      </c>
      <c r="D1678" s="2">
        <v>0.1166</v>
      </c>
      <c r="E1678" s="2">
        <v>2.79</v>
      </c>
      <c r="F1678" s="2">
        <v>5.3E-3</v>
      </c>
    </row>
    <row r="1679" spans="1:6" ht="16.5" hidden="1" customHeight="1" thickBot="1" x14ac:dyDescent="0.35">
      <c r="A1679" s="13" t="s">
        <v>22</v>
      </c>
      <c r="B1679" s="12">
        <v>3</v>
      </c>
      <c r="C1679" s="2">
        <v>0.5252</v>
      </c>
      <c r="D1679" s="2">
        <v>0.1128</v>
      </c>
      <c r="E1679" s="2">
        <v>4.66</v>
      </c>
      <c r="F1679" s="2" t="s">
        <v>482</v>
      </c>
    </row>
    <row r="1680" spans="1:6" ht="16.5" hidden="1" customHeight="1" x14ac:dyDescent="0.3">
      <c r="A1680" s="14" t="s">
        <v>22</v>
      </c>
      <c r="B1680" s="15">
        <v>4</v>
      </c>
      <c r="C1680" s="2">
        <v>0.51229999999999998</v>
      </c>
      <c r="D1680" s="2">
        <v>0.1124</v>
      </c>
      <c r="E1680" s="2">
        <v>4.5599999999999996</v>
      </c>
      <c r="F1680" s="2" t="s">
        <v>482</v>
      </c>
    </row>
    <row r="1681" spans="1:9" ht="17.25" hidden="1" customHeight="1" thickBot="1" x14ac:dyDescent="0.3"/>
    <row r="1682" spans="1:9" ht="17.25" hidden="1" customHeight="1" x14ac:dyDescent="0.3">
      <c r="A1682" s="24" t="s">
        <v>496</v>
      </c>
      <c r="B1682" s="26"/>
      <c r="C1682" s="26"/>
      <c r="D1682" s="26"/>
      <c r="H1682">
        <f>F1682</f>
        <v>0</v>
      </c>
    </row>
    <row r="1683" spans="1:9" ht="17.25" hidden="1" customHeight="1" x14ac:dyDescent="0.3">
      <c r="A1683" s="6" t="s">
        <v>486</v>
      </c>
      <c r="B1683" s="3" t="s">
        <v>497</v>
      </c>
      <c r="C1683" s="27" t="s">
        <v>91</v>
      </c>
      <c r="D1683" s="27"/>
      <c r="H1683">
        <f t="shared" ref="H1683:H1684" si="57">F1683</f>
        <v>0</v>
      </c>
    </row>
    <row r="1684" spans="1:9" ht="16.5" hidden="1" customHeight="1" x14ac:dyDescent="0.3">
      <c r="A1684" s="25" t="s">
        <v>574</v>
      </c>
      <c r="B1684" s="27"/>
      <c r="C1684" s="27"/>
      <c r="D1684" s="27"/>
      <c r="H1684">
        <f t="shared" si="57"/>
        <v>0</v>
      </c>
    </row>
    <row r="1685" spans="1:9" ht="16.5" hidden="1" customHeight="1" thickBot="1" x14ac:dyDescent="0.35">
      <c r="A1685" s="13" t="s">
        <v>499</v>
      </c>
      <c r="B1685" s="2">
        <v>1.385</v>
      </c>
      <c r="C1685" s="2">
        <v>1.1020000000000001</v>
      </c>
      <c r="D1685" s="2">
        <v>1.74</v>
      </c>
    </row>
    <row r="1686" spans="1:9" ht="16.5" hidden="1" customHeight="1" thickBot="1" x14ac:dyDescent="0.35">
      <c r="A1686" s="13" t="s">
        <v>500</v>
      </c>
      <c r="B1686" s="2">
        <v>1.6910000000000001</v>
      </c>
      <c r="C1686" s="2">
        <v>1.355</v>
      </c>
      <c r="D1686" s="2">
        <v>2.109</v>
      </c>
    </row>
    <row r="1687" spans="1:9" ht="33" hidden="1" customHeight="1" thickBot="1" x14ac:dyDescent="0.35">
      <c r="A1687" s="14" t="s">
        <v>501</v>
      </c>
      <c r="B1687" s="2">
        <v>1.669</v>
      </c>
      <c r="C1687" s="2">
        <v>1.339</v>
      </c>
      <c r="D1687" s="2">
        <v>2.081</v>
      </c>
    </row>
    <row r="1688" spans="1:9" ht="49.5" hidden="1" customHeight="1" thickBot="1" x14ac:dyDescent="0.3"/>
    <row r="1689" spans="1:9" ht="33" customHeight="1" x14ac:dyDescent="0.3">
      <c r="A1689" s="24" t="s">
        <v>502</v>
      </c>
      <c r="B1689" s="26"/>
      <c r="C1689" s="26"/>
      <c r="D1689" s="26"/>
      <c r="H1689" s="8" t="str">
        <f t="shared" ref="H1689:H1691" si="58">TEXT(B1689,"0.00")&amp;" ("&amp;TEXT(C1689,"0.00")&amp;" to "&amp;TEXT(D1689,"0.00")&amp;")"</f>
        <v>0.00 (0.00 to 0.00)</v>
      </c>
      <c r="I1689">
        <f t="shared" ref="I1689:I1691" si="59">F1682</f>
        <v>0</v>
      </c>
    </row>
    <row r="1690" spans="1:9" ht="26.25" customHeight="1" thickBot="1" x14ac:dyDescent="0.35">
      <c r="A1690" s="13" t="s">
        <v>503</v>
      </c>
      <c r="B1690" s="2">
        <v>32.799999999999997</v>
      </c>
      <c r="C1690" s="12" t="s">
        <v>504</v>
      </c>
      <c r="D1690" s="2">
        <v>8.3000000000000004E-2</v>
      </c>
      <c r="H1690" s="8" t="str">
        <f t="shared" si="58"/>
        <v>32.80 (Somers' D to 0.08)</v>
      </c>
      <c r="I1690">
        <f t="shared" si="59"/>
        <v>0</v>
      </c>
    </row>
    <row r="1691" spans="1:9" ht="25.5" customHeight="1" thickBot="1" x14ac:dyDescent="0.35">
      <c r="A1691" s="13" t="s">
        <v>505</v>
      </c>
      <c r="B1691" s="2">
        <v>24.5</v>
      </c>
      <c r="C1691" s="12" t="s">
        <v>506</v>
      </c>
      <c r="D1691" s="2">
        <v>0.14399999999999999</v>
      </c>
      <c r="H1691" s="8" t="str">
        <f t="shared" si="58"/>
        <v>24.50 (Gamma to 0.14)</v>
      </c>
      <c r="I1691">
        <f t="shared" si="59"/>
        <v>0</v>
      </c>
    </row>
    <row r="1692" spans="1:9" ht="16.5" hidden="1" customHeight="1" thickBot="1" x14ac:dyDescent="0.35">
      <c r="A1692" s="13" t="s">
        <v>507</v>
      </c>
      <c r="B1692" s="2">
        <v>42.7</v>
      </c>
      <c r="C1692" s="12" t="s">
        <v>508</v>
      </c>
      <c r="D1692" s="2">
        <v>3.0000000000000001E-3</v>
      </c>
    </row>
    <row r="1693" spans="1:9" ht="33" hidden="1" customHeight="1" x14ac:dyDescent="0.3">
      <c r="A1693" s="14" t="s">
        <v>509</v>
      </c>
      <c r="B1693" s="2">
        <v>65648120</v>
      </c>
      <c r="C1693" s="15" t="s">
        <v>510</v>
      </c>
      <c r="D1693" s="2">
        <v>0.54100000000000004</v>
      </c>
    </row>
    <row r="1694" spans="1:9" ht="39" hidden="1" customHeight="1" x14ac:dyDescent="0.3"/>
    <row r="1695" spans="1:9" ht="26.25" hidden="1" customHeight="1" x14ac:dyDescent="0.3"/>
    <row r="1696" spans="1:9" ht="26.25" hidden="1" customHeight="1" x14ac:dyDescent="0.3"/>
    <row r="1697" spans="1:2" ht="16.5" hidden="1" customHeight="1" x14ac:dyDescent="0.3">
      <c r="A1697" s="1" t="s">
        <v>436</v>
      </c>
    </row>
    <row r="1698" spans="1:2" ht="16.5" hidden="1" customHeight="1" x14ac:dyDescent="0.3"/>
    <row r="1699" spans="1:2" ht="16.5" hidden="1" customHeight="1" x14ac:dyDescent="0.3">
      <c r="A1699" s="1" t="s">
        <v>414</v>
      </c>
    </row>
    <row r="1700" spans="1:2" ht="16.5" hidden="1" customHeight="1" thickBot="1" x14ac:dyDescent="0.3"/>
    <row r="1701" spans="1:2" ht="16.5" hidden="1" customHeight="1" x14ac:dyDescent="0.3">
      <c r="A1701" s="24" t="s">
        <v>437</v>
      </c>
      <c r="B1701" s="26"/>
    </row>
    <row r="1702" spans="1:2" ht="16.5" hidden="1" customHeight="1" thickBot="1" x14ac:dyDescent="0.35">
      <c r="A1702" s="13" t="s">
        <v>438</v>
      </c>
      <c r="B1702" s="18" t="s">
        <v>439</v>
      </c>
    </row>
    <row r="1703" spans="1:2" ht="16.5" hidden="1" customHeight="1" thickBot="1" x14ac:dyDescent="0.35">
      <c r="A1703" s="13" t="s">
        <v>440</v>
      </c>
      <c r="B1703" s="18" t="s">
        <v>19</v>
      </c>
    </row>
    <row r="1704" spans="1:2" ht="16.5" hidden="1" customHeight="1" thickBot="1" x14ac:dyDescent="0.35">
      <c r="A1704" s="13" t="s">
        <v>441</v>
      </c>
      <c r="B1704" s="18">
        <v>2</v>
      </c>
    </row>
    <row r="1705" spans="1:2" ht="16.5" hidden="1" customHeight="1" thickBot="1" x14ac:dyDescent="0.35">
      <c r="A1705" s="13" t="s">
        <v>442</v>
      </c>
      <c r="B1705" s="18" t="s">
        <v>443</v>
      </c>
    </row>
    <row r="1706" spans="1:2" ht="26.25" hidden="1" customHeight="1" thickBot="1" x14ac:dyDescent="0.35">
      <c r="A1706" s="13" t="s">
        <v>76</v>
      </c>
      <c r="B1706" s="18">
        <v>183</v>
      </c>
    </row>
    <row r="1707" spans="1:2" ht="26.25" hidden="1" customHeight="1" thickBot="1" x14ac:dyDescent="0.35">
      <c r="A1707" s="13" t="s">
        <v>444</v>
      </c>
      <c r="B1707" s="18" t="s">
        <v>445</v>
      </c>
    </row>
    <row r="1708" spans="1:2" ht="39" hidden="1" customHeight="1" thickBot="1" x14ac:dyDescent="0.35">
      <c r="A1708" s="13" t="s">
        <v>77</v>
      </c>
      <c r="B1708" s="18">
        <v>2750</v>
      </c>
    </row>
    <row r="1709" spans="1:2" ht="26.25" hidden="1" customHeight="1" thickBot="1" x14ac:dyDescent="0.35">
      <c r="A1709" s="13" t="s">
        <v>446</v>
      </c>
      <c r="B1709" s="18" t="s">
        <v>447</v>
      </c>
    </row>
    <row r="1710" spans="1:2" ht="26.25" hidden="1" customHeight="1" thickBot="1" x14ac:dyDescent="0.35">
      <c r="A1710" s="13" t="s">
        <v>448</v>
      </c>
      <c r="B1710" s="18" t="s">
        <v>449</v>
      </c>
    </row>
    <row r="1711" spans="1:2" ht="26.25" hidden="1" customHeight="1" thickBot="1" x14ac:dyDescent="0.35">
      <c r="A1711" s="13" t="s">
        <v>450</v>
      </c>
      <c r="B1711" s="18" t="s">
        <v>451</v>
      </c>
    </row>
    <row r="1712" spans="1:2" ht="26.25" hidden="1" customHeight="1" x14ac:dyDescent="0.3">
      <c r="A1712" s="14" t="s">
        <v>452</v>
      </c>
      <c r="B1712" s="19" t="s">
        <v>453</v>
      </c>
    </row>
    <row r="1713" spans="1:4" ht="26.25" hidden="1" customHeight="1" thickBot="1" x14ac:dyDescent="0.3"/>
    <row r="1714" spans="1:4" ht="26.25" hidden="1" customHeight="1" x14ac:dyDescent="0.3">
      <c r="A1714" s="24" t="s">
        <v>80</v>
      </c>
      <c r="B1714" s="26"/>
    </row>
    <row r="1715" spans="1:4" ht="39" hidden="1" customHeight="1" thickBot="1" x14ac:dyDescent="0.35">
      <c r="A1715" s="13" t="s">
        <v>81</v>
      </c>
      <c r="B1715" s="2" t="s">
        <v>82</v>
      </c>
    </row>
    <row r="1716" spans="1:4" ht="38.25" hidden="1" customHeight="1" x14ac:dyDescent="0.3">
      <c r="A1716" s="14" t="s">
        <v>452</v>
      </c>
      <c r="B1716" s="2" t="s">
        <v>453</v>
      </c>
    </row>
    <row r="1717" spans="1:4" ht="16.5" hidden="1" customHeight="1" thickBot="1" x14ac:dyDescent="0.3"/>
    <row r="1718" spans="1:4" ht="33" hidden="1" customHeight="1" thickBot="1" x14ac:dyDescent="0.35">
      <c r="A1718" s="20" t="s">
        <v>454</v>
      </c>
      <c r="B1718" s="21">
        <v>11821</v>
      </c>
    </row>
    <row r="1719" spans="1:4" ht="33.75" hidden="1" customHeight="1" thickBot="1" x14ac:dyDescent="0.35">
      <c r="A1719" s="13" t="s">
        <v>455</v>
      </c>
      <c r="B1719" s="2">
        <v>11821</v>
      </c>
    </row>
    <row r="1720" spans="1:4" ht="66" hidden="1" customHeight="1" thickBot="1" x14ac:dyDescent="0.35">
      <c r="A1720" s="13" t="s">
        <v>456</v>
      </c>
      <c r="B1720" s="2">
        <v>7353170</v>
      </c>
    </row>
    <row r="1721" spans="1:4" ht="16.5" hidden="1" customHeight="1" x14ac:dyDescent="0.3">
      <c r="A1721" s="14" t="s">
        <v>457</v>
      </c>
      <c r="B1721" s="2">
        <v>7353170</v>
      </c>
    </row>
    <row r="1722" spans="1:4" ht="39" hidden="1" customHeight="1" thickBot="1" x14ac:dyDescent="0.3"/>
    <row r="1723" spans="1:4" ht="39" hidden="1" customHeight="1" x14ac:dyDescent="0.3">
      <c r="A1723" s="24" t="s">
        <v>458</v>
      </c>
      <c r="B1723" s="26"/>
      <c r="C1723" s="26"/>
      <c r="D1723" s="26"/>
    </row>
    <row r="1724" spans="1:4" ht="39" hidden="1" customHeight="1" x14ac:dyDescent="0.3">
      <c r="A1724" s="6" t="s">
        <v>459</v>
      </c>
      <c r="B1724" s="27" t="s">
        <v>19</v>
      </c>
      <c r="C1724" s="3" t="s">
        <v>93</v>
      </c>
      <c r="D1724" s="3" t="s">
        <v>93</v>
      </c>
    </row>
    <row r="1725" spans="1:4" ht="38.25" hidden="1" customHeight="1" x14ac:dyDescent="0.3">
      <c r="A1725" s="6" t="s">
        <v>460</v>
      </c>
      <c r="B1725" s="27"/>
      <c r="C1725" s="3" t="s">
        <v>86</v>
      </c>
      <c r="D1725" s="3" t="s">
        <v>461</v>
      </c>
    </row>
    <row r="1726" spans="1:4" ht="16.5" hidden="1" customHeight="1" thickBot="1" x14ac:dyDescent="0.35">
      <c r="A1726" s="6">
        <v>1</v>
      </c>
      <c r="B1726" s="17">
        <v>0</v>
      </c>
      <c r="C1726" s="2">
        <v>11800</v>
      </c>
      <c r="D1726" s="2">
        <v>7344116.7000000002</v>
      </c>
    </row>
    <row r="1727" spans="1:4" ht="16.5" hidden="1" customHeight="1" x14ac:dyDescent="0.3">
      <c r="A1727" s="6">
        <v>2</v>
      </c>
      <c r="B1727" s="22">
        <v>1</v>
      </c>
      <c r="C1727" s="2">
        <v>21</v>
      </c>
      <c r="D1727" s="2">
        <v>9052.7999999999993</v>
      </c>
    </row>
    <row r="1728" spans="1:4" ht="16.5" hidden="1" customHeight="1" x14ac:dyDescent="0.3"/>
    <row r="1729" spans="1:5" ht="33" hidden="1" customHeight="1" x14ac:dyDescent="0.3">
      <c r="A1729" s="1" t="s">
        <v>513</v>
      </c>
    </row>
    <row r="1730" spans="1:5" ht="17.25" hidden="1" customHeight="1" thickBot="1" x14ac:dyDescent="0.3"/>
    <row r="1731" spans="1:5" ht="16.5" hidden="1" customHeight="1" x14ac:dyDescent="0.3">
      <c r="A1731" s="24" t="s">
        <v>462</v>
      </c>
      <c r="B1731" s="26"/>
      <c r="C1731" s="26"/>
      <c r="D1731" s="26"/>
      <c r="E1731" s="26"/>
    </row>
    <row r="1732" spans="1:5" ht="16.5" hidden="1" customHeight="1" x14ac:dyDescent="0.3">
      <c r="A1732" s="6" t="s">
        <v>463</v>
      </c>
      <c r="B1732" s="3" t="s">
        <v>460</v>
      </c>
      <c r="C1732" s="27" t="s">
        <v>464</v>
      </c>
      <c r="D1732" s="27"/>
      <c r="E1732" s="27"/>
    </row>
    <row r="1733" spans="1:5" ht="16.5" hidden="1" customHeight="1" thickBot="1" x14ac:dyDescent="0.35">
      <c r="A1733" s="13" t="s">
        <v>22</v>
      </c>
      <c r="B1733" s="12">
        <v>1</v>
      </c>
      <c r="C1733" s="2">
        <v>0</v>
      </c>
      <c r="D1733" s="2">
        <v>0</v>
      </c>
      <c r="E1733" s="2">
        <v>0</v>
      </c>
    </row>
    <row r="1734" spans="1:5" ht="16.5" hidden="1" customHeight="1" thickBot="1" x14ac:dyDescent="0.35">
      <c r="A1734" s="13"/>
      <c r="B1734" s="12">
        <v>2</v>
      </c>
      <c r="C1734" s="2">
        <v>1</v>
      </c>
      <c r="D1734" s="2">
        <v>0</v>
      </c>
      <c r="E1734" s="2">
        <v>0</v>
      </c>
    </row>
    <row r="1735" spans="1:5" ht="16.5" hidden="1" customHeight="1" thickBot="1" x14ac:dyDescent="0.35">
      <c r="A1735" s="13"/>
      <c r="B1735" s="12">
        <v>3</v>
      </c>
      <c r="C1735" s="2">
        <v>0</v>
      </c>
      <c r="D1735" s="2">
        <v>1</v>
      </c>
      <c r="E1735" s="2">
        <v>0</v>
      </c>
    </row>
    <row r="1736" spans="1:5" ht="16.5" hidden="1" customHeight="1" x14ac:dyDescent="0.3">
      <c r="A1736" s="14"/>
      <c r="B1736" s="15">
        <v>4</v>
      </c>
      <c r="C1736" s="2">
        <v>0</v>
      </c>
      <c r="D1736" s="2">
        <v>0</v>
      </c>
      <c r="E1736" s="2">
        <v>1</v>
      </c>
    </row>
    <row r="1737" spans="1:5" ht="17.25" hidden="1" customHeight="1" thickBot="1" x14ac:dyDescent="0.3"/>
    <row r="1738" spans="1:5" ht="17.25" hidden="1" customHeight="1" x14ac:dyDescent="0.3">
      <c r="A1738" s="4" t="s">
        <v>465</v>
      </c>
    </row>
    <row r="1739" spans="1:5" ht="17.25" hidden="1" customHeight="1" x14ac:dyDescent="0.3">
      <c r="A1739" s="23" t="s">
        <v>466</v>
      </c>
    </row>
    <row r="1740" spans="1:5" ht="16.5" hidden="1" customHeight="1" thickBot="1" x14ac:dyDescent="0.3"/>
    <row r="1741" spans="1:5" ht="16.5" hidden="1" customHeight="1" x14ac:dyDescent="0.3">
      <c r="A1741" s="24" t="s">
        <v>467</v>
      </c>
      <c r="B1741" s="26"/>
      <c r="C1741" s="26"/>
    </row>
    <row r="1742" spans="1:5" ht="66" hidden="1" customHeight="1" x14ac:dyDescent="0.3">
      <c r="A1742" s="6" t="s">
        <v>468</v>
      </c>
      <c r="B1742" s="3" t="s">
        <v>469</v>
      </c>
      <c r="C1742" s="3" t="s">
        <v>470</v>
      </c>
    </row>
    <row r="1743" spans="1:5" ht="99" hidden="1" customHeight="1" thickBot="1" x14ac:dyDescent="0.35">
      <c r="A1743" s="13" t="s">
        <v>471</v>
      </c>
      <c r="B1743" s="2">
        <v>139401.16</v>
      </c>
      <c r="C1743" s="2">
        <v>135721.07999999999</v>
      </c>
    </row>
    <row r="1744" spans="1:5" ht="16.5" hidden="1" customHeight="1" thickBot="1" x14ac:dyDescent="0.35">
      <c r="A1744" s="13" t="s">
        <v>472</v>
      </c>
      <c r="B1744" s="2">
        <v>139414.97</v>
      </c>
      <c r="C1744" s="2">
        <v>135776.32000000001</v>
      </c>
    </row>
    <row r="1745" spans="1:6" ht="16.5" hidden="1" customHeight="1" x14ac:dyDescent="0.3">
      <c r="A1745" s="14" t="s">
        <v>473</v>
      </c>
      <c r="B1745" s="2" t="s">
        <v>638</v>
      </c>
      <c r="C1745" s="2">
        <v>135713.07999999999</v>
      </c>
    </row>
    <row r="1746" spans="1:6" ht="66" hidden="1" customHeight="1" thickBot="1" x14ac:dyDescent="0.3"/>
    <row r="1747" spans="1:6" ht="17.25" hidden="1" customHeight="1" x14ac:dyDescent="0.3">
      <c r="A1747" s="24" t="s">
        <v>474</v>
      </c>
      <c r="B1747" s="26"/>
      <c r="C1747" s="26"/>
      <c r="D1747" s="26"/>
      <c r="E1747" s="26"/>
    </row>
    <row r="1748" spans="1:6" ht="17.25" hidden="1" customHeight="1" x14ac:dyDescent="0.3">
      <c r="A1748" s="6" t="s">
        <v>475</v>
      </c>
      <c r="B1748" s="3" t="s">
        <v>476</v>
      </c>
      <c r="C1748" s="3" t="s">
        <v>477</v>
      </c>
      <c r="D1748" s="3" t="s">
        <v>478</v>
      </c>
      <c r="E1748" s="3" t="s">
        <v>479</v>
      </c>
    </row>
    <row r="1749" spans="1:6" ht="16.5" hidden="1" customHeight="1" x14ac:dyDescent="0.3">
      <c r="A1749" s="25" t="s">
        <v>601</v>
      </c>
      <c r="B1749" s="27"/>
      <c r="C1749" s="27"/>
      <c r="D1749" s="27"/>
      <c r="E1749" s="27"/>
    </row>
    <row r="1750" spans="1:6" ht="16.5" hidden="1" customHeight="1" thickBot="1" x14ac:dyDescent="0.35">
      <c r="A1750" s="13" t="s">
        <v>481</v>
      </c>
      <c r="B1750" s="2">
        <v>1.98</v>
      </c>
      <c r="C1750" s="2">
        <v>2.9994999999999998</v>
      </c>
      <c r="D1750" s="2">
        <v>7699.82</v>
      </c>
      <c r="E1750" s="2">
        <v>0.1152</v>
      </c>
    </row>
    <row r="1751" spans="1:6" ht="16.5" hidden="1" customHeight="1" thickBot="1" x14ac:dyDescent="0.35">
      <c r="A1751" s="13" t="s">
        <v>483</v>
      </c>
      <c r="B1751" s="2">
        <v>2.17</v>
      </c>
      <c r="C1751" s="2">
        <v>3</v>
      </c>
      <c r="D1751" s="2">
        <v>2565</v>
      </c>
      <c r="E1751" s="2">
        <v>8.9099999999999999E-2</v>
      </c>
    </row>
    <row r="1752" spans="1:6" ht="16.5" hidden="1" customHeight="1" x14ac:dyDescent="0.3">
      <c r="A1752" s="14" t="s">
        <v>484</v>
      </c>
      <c r="B1752" s="2">
        <v>1.68</v>
      </c>
      <c r="C1752" s="2">
        <v>3</v>
      </c>
      <c r="D1752" s="2">
        <v>2565</v>
      </c>
      <c r="E1752" s="2">
        <v>0.1686</v>
      </c>
    </row>
    <row r="1753" spans="1:6" ht="33" hidden="1" customHeight="1" thickBot="1" x14ac:dyDescent="0.3"/>
    <row r="1754" spans="1:6" ht="26.25" hidden="1" customHeight="1" x14ac:dyDescent="0.3">
      <c r="A1754" s="24" t="s">
        <v>485</v>
      </c>
      <c r="B1754" s="26"/>
      <c r="C1754" s="26"/>
      <c r="D1754" s="26"/>
      <c r="E1754" s="26"/>
    </row>
    <row r="1755" spans="1:6" ht="17.25" hidden="1" customHeight="1" x14ac:dyDescent="0.3">
      <c r="A1755" s="6" t="s">
        <v>486</v>
      </c>
      <c r="B1755" s="3" t="s">
        <v>476</v>
      </c>
      <c r="C1755" s="3" t="s">
        <v>477</v>
      </c>
      <c r="D1755" s="3" t="s">
        <v>478</v>
      </c>
      <c r="E1755" s="3" t="s">
        <v>479</v>
      </c>
    </row>
    <row r="1756" spans="1:6" ht="16.5" hidden="1" customHeight="1" x14ac:dyDescent="0.3">
      <c r="A1756" s="14" t="s">
        <v>22</v>
      </c>
      <c r="B1756" s="2">
        <v>1.68</v>
      </c>
      <c r="C1756" s="2">
        <v>3</v>
      </c>
      <c r="D1756" s="2">
        <v>2565</v>
      </c>
      <c r="E1756" s="2">
        <v>0.1686</v>
      </c>
    </row>
    <row r="1757" spans="1:6" ht="16.5" hidden="1" customHeight="1" thickBot="1" x14ac:dyDescent="0.3"/>
    <row r="1758" spans="1:6" ht="16.5" hidden="1" customHeight="1" x14ac:dyDescent="0.3">
      <c r="A1758" s="24" t="s">
        <v>487</v>
      </c>
      <c r="B1758" s="26"/>
      <c r="C1758" s="26"/>
      <c r="D1758" s="26"/>
      <c r="E1758" s="26"/>
      <c r="F1758" s="26"/>
    </row>
    <row r="1759" spans="1:6" ht="16.5" hidden="1" customHeight="1" x14ac:dyDescent="0.3">
      <c r="A1759" s="25" t="s">
        <v>488</v>
      </c>
      <c r="B1759" s="27"/>
      <c r="C1759" s="27" t="s">
        <v>489</v>
      </c>
      <c r="D1759" s="3" t="s">
        <v>490</v>
      </c>
      <c r="E1759" s="27" t="s">
        <v>492</v>
      </c>
      <c r="F1759" s="27" t="s">
        <v>493</v>
      </c>
    </row>
    <row r="1760" spans="1:6" ht="16.5" hidden="1" customHeight="1" x14ac:dyDescent="0.3">
      <c r="A1760" s="25"/>
      <c r="B1760" s="27"/>
      <c r="C1760" s="27"/>
      <c r="D1760" s="3" t="s">
        <v>491</v>
      </c>
      <c r="E1760" s="27"/>
      <c r="F1760" s="27"/>
    </row>
    <row r="1761" spans="1:9" ht="16.5" hidden="1" customHeight="1" x14ac:dyDescent="0.3">
      <c r="A1761" s="25" t="s">
        <v>576</v>
      </c>
      <c r="B1761" s="27"/>
      <c r="C1761" s="27"/>
      <c r="D1761" s="27"/>
      <c r="E1761" s="27"/>
      <c r="F1761" s="27"/>
    </row>
    <row r="1762" spans="1:9" ht="16.5" hidden="1" customHeight="1" thickBot="1" x14ac:dyDescent="0.35">
      <c r="A1762" s="13" t="s">
        <v>495</v>
      </c>
      <c r="B1762" s="12"/>
      <c r="C1762" s="16">
        <v>-7.3440000000000003</v>
      </c>
      <c r="D1762" s="2">
        <v>0.72809999999999997</v>
      </c>
      <c r="E1762" s="16">
        <v>-10.09</v>
      </c>
      <c r="F1762" s="2" t="s">
        <v>482</v>
      </c>
    </row>
    <row r="1763" spans="1:9" ht="16.5" hidden="1" customHeight="1" thickBot="1" x14ac:dyDescent="0.35">
      <c r="A1763" s="13" t="s">
        <v>22</v>
      </c>
      <c r="B1763" s="12">
        <v>2</v>
      </c>
      <c r="C1763" s="16">
        <v>-9.7900000000000001E-2</v>
      </c>
      <c r="D1763" s="2">
        <v>1.0165</v>
      </c>
      <c r="E1763" s="16">
        <v>-0.1</v>
      </c>
      <c r="F1763" s="2">
        <v>0.92330000000000001</v>
      </c>
    </row>
    <row r="1764" spans="1:9" ht="16.5" hidden="1" customHeight="1" thickBot="1" x14ac:dyDescent="0.35">
      <c r="A1764" s="13" t="s">
        <v>22</v>
      </c>
      <c r="B1764" s="12">
        <v>3</v>
      </c>
      <c r="C1764" s="2">
        <v>1.2930999999999999</v>
      </c>
      <c r="D1764" s="2">
        <v>0.84199999999999997</v>
      </c>
      <c r="E1764" s="2">
        <v>1.54</v>
      </c>
      <c r="F1764" s="2">
        <v>0.12470000000000001</v>
      </c>
    </row>
    <row r="1765" spans="1:9" ht="16.5" hidden="1" customHeight="1" x14ac:dyDescent="0.3">
      <c r="A1765" s="14" t="s">
        <v>22</v>
      </c>
      <c r="B1765" s="15">
        <v>4</v>
      </c>
      <c r="C1765" s="2">
        <v>1.2329000000000001</v>
      </c>
      <c r="D1765" s="2">
        <v>0.82340000000000002</v>
      </c>
      <c r="E1765" s="2">
        <v>1.5</v>
      </c>
      <c r="F1765" s="2">
        <v>0.13439999999999999</v>
      </c>
    </row>
    <row r="1766" spans="1:9" ht="17.25" hidden="1" customHeight="1" thickBot="1" x14ac:dyDescent="0.3"/>
    <row r="1767" spans="1:9" ht="17.25" hidden="1" customHeight="1" x14ac:dyDescent="0.3">
      <c r="A1767" s="24" t="s">
        <v>496</v>
      </c>
      <c r="B1767" s="26"/>
      <c r="C1767" s="26"/>
      <c r="D1767" s="26"/>
      <c r="H1767">
        <f>F1767</f>
        <v>0</v>
      </c>
    </row>
    <row r="1768" spans="1:9" ht="17.25" hidden="1" customHeight="1" x14ac:dyDescent="0.3">
      <c r="A1768" s="6" t="s">
        <v>486</v>
      </c>
      <c r="B1768" s="3" t="s">
        <v>497</v>
      </c>
      <c r="C1768" s="27" t="s">
        <v>91</v>
      </c>
      <c r="D1768" s="27"/>
      <c r="H1768">
        <f t="shared" ref="H1768:H1769" si="60">F1768</f>
        <v>0</v>
      </c>
    </row>
    <row r="1769" spans="1:9" ht="16.5" hidden="1" customHeight="1" x14ac:dyDescent="0.3">
      <c r="A1769" s="25" t="s">
        <v>577</v>
      </c>
      <c r="B1769" s="27"/>
      <c r="C1769" s="27"/>
      <c r="D1769" s="27"/>
      <c r="H1769">
        <f t="shared" si="60"/>
        <v>0</v>
      </c>
    </row>
    <row r="1770" spans="1:9" ht="16.5" hidden="1" customHeight="1" thickBot="1" x14ac:dyDescent="0.35">
      <c r="A1770" s="13" t="s">
        <v>499</v>
      </c>
      <c r="B1770" s="2">
        <v>0.90700000000000003</v>
      </c>
      <c r="C1770" s="2">
        <v>0.124</v>
      </c>
      <c r="D1770" s="2">
        <v>6.6539999999999999</v>
      </c>
    </row>
    <row r="1771" spans="1:9" ht="16.5" hidden="1" customHeight="1" thickBot="1" x14ac:dyDescent="0.35">
      <c r="A1771" s="13" t="s">
        <v>500</v>
      </c>
      <c r="B1771" s="2">
        <v>3.6440000000000001</v>
      </c>
      <c r="C1771" s="2">
        <v>0.69899999999999995</v>
      </c>
      <c r="D1771" s="2">
        <v>18.992999999999999</v>
      </c>
    </row>
    <row r="1772" spans="1:9" ht="33" hidden="1" customHeight="1" thickBot="1" x14ac:dyDescent="0.35">
      <c r="A1772" s="14" t="s">
        <v>501</v>
      </c>
      <c r="B1772" s="2">
        <v>3.431</v>
      </c>
      <c r="C1772" s="2">
        <v>0.68300000000000005</v>
      </c>
      <c r="D1772" s="2">
        <v>17.244</v>
      </c>
    </row>
    <row r="1773" spans="1:9" ht="49.5" hidden="1" customHeight="1" thickBot="1" x14ac:dyDescent="0.3"/>
    <row r="1774" spans="1:9" ht="33" customHeight="1" x14ac:dyDescent="0.3">
      <c r="A1774" s="24" t="s">
        <v>502</v>
      </c>
      <c r="B1774" s="26"/>
      <c r="C1774" s="26"/>
      <c r="D1774" s="26"/>
      <c r="H1774" s="8" t="str">
        <f t="shared" ref="H1774:H1776" si="61">TEXT(B1774,"0.00")&amp;" ("&amp;TEXT(C1774,"0.00")&amp;" to "&amp;TEXT(D1774,"0.00")&amp;")"</f>
        <v>0.00 (0.00 to 0.00)</v>
      </c>
      <c r="I1774">
        <f t="shared" ref="I1774:I1776" si="62">F1767</f>
        <v>0</v>
      </c>
    </row>
    <row r="1775" spans="1:9" ht="26.25" customHeight="1" thickBot="1" x14ac:dyDescent="0.35">
      <c r="A1775" s="13" t="s">
        <v>503</v>
      </c>
      <c r="B1775" s="2">
        <v>46</v>
      </c>
      <c r="C1775" s="12" t="s">
        <v>504</v>
      </c>
      <c r="D1775" s="2">
        <v>0.35799999999999998</v>
      </c>
      <c r="H1775" s="8" t="str">
        <f t="shared" si="61"/>
        <v>46.00 (Somers' D to 0.36)</v>
      </c>
      <c r="I1775">
        <f t="shared" si="62"/>
        <v>0</v>
      </c>
    </row>
    <row r="1776" spans="1:9" ht="25.5" customHeight="1" thickBot="1" x14ac:dyDescent="0.35">
      <c r="A1776" s="13" t="s">
        <v>505</v>
      </c>
      <c r="B1776" s="2">
        <v>10.199999999999999</v>
      </c>
      <c r="C1776" s="12" t="s">
        <v>506</v>
      </c>
      <c r="D1776" s="2">
        <v>0.63800000000000001</v>
      </c>
      <c r="H1776" s="8" t="str">
        <f t="shared" si="61"/>
        <v>10.20 (Gamma to 0.64)</v>
      </c>
      <c r="I1776">
        <f t="shared" si="62"/>
        <v>0</v>
      </c>
    </row>
    <row r="1777" spans="1:4" ht="16.5" hidden="1" customHeight="1" thickBot="1" x14ac:dyDescent="0.35">
      <c r="A1777" s="13" t="s">
        <v>507</v>
      </c>
      <c r="B1777" s="2">
        <v>43.8</v>
      </c>
      <c r="C1777" s="12" t="s">
        <v>508</v>
      </c>
      <c r="D1777" s="2">
        <v>1E-3</v>
      </c>
    </row>
    <row r="1778" spans="1:4" ht="33" hidden="1" customHeight="1" x14ac:dyDescent="0.3">
      <c r="A1778" s="14" t="s">
        <v>509</v>
      </c>
      <c r="B1778" s="2">
        <v>247800</v>
      </c>
      <c r="C1778" s="15" t="s">
        <v>510</v>
      </c>
      <c r="D1778" s="2">
        <v>0.67900000000000005</v>
      </c>
    </row>
    <row r="1779" spans="1:4" ht="39" hidden="1" customHeight="1" x14ac:dyDescent="0.3"/>
    <row r="1780" spans="1:4" ht="26.25" hidden="1" customHeight="1" x14ac:dyDescent="0.3"/>
    <row r="1781" spans="1:4" ht="26.25" hidden="1" customHeight="1" x14ac:dyDescent="0.3"/>
    <row r="1782" spans="1:4" ht="16.5" hidden="1" customHeight="1" x14ac:dyDescent="0.3">
      <c r="A1782" s="1" t="s">
        <v>436</v>
      </c>
    </row>
    <row r="1783" spans="1:4" ht="16.5" hidden="1" customHeight="1" x14ac:dyDescent="0.3"/>
    <row r="1784" spans="1:4" ht="16.5" hidden="1" customHeight="1" x14ac:dyDescent="0.3">
      <c r="A1784" s="1" t="s">
        <v>415</v>
      </c>
    </row>
    <row r="1785" spans="1:4" ht="16.5" hidden="1" customHeight="1" thickBot="1" x14ac:dyDescent="0.3"/>
    <row r="1786" spans="1:4" ht="16.5" hidden="1" customHeight="1" x14ac:dyDescent="0.3">
      <c r="A1786" s="24" t="s">
        <v>437</v>
      </c>
      <c r="B1786" s="26"/>
    </row>
    <row r="1787" spans="1:4" ht="16.5" hidden="1" customHeight="1" thickBot="1" x14ac:dyDescent="0.35">
      <c r="A1787" s="13" t="s">
        <v>438</v>
      </c>
      <c r="B1787" s="18" t="s">
        <v>439</v>
      </c>
    </row>
    <row r="1788" spans="1:4" ht="16.5" hidden="1" customHeight="1" thickBot="1" x14ac:dyDescent="0.35">
      <c r="A1788" s="13" t="s">
        <v>440</v>
      </c>
      <c r="B1788" s="18" t="s">
        <v>19</v>
      </c>
    </row>
    <row r="1789" spans="1:4" ht="16.5" hidden="1" customHeight="1" thickBot="1" x14ac:dyDescent="0.35">
      <c r="A1789" s="13" t="s">
        <v>441</v>
      </c>
      <c r="B1789" s="18">
        <v>2</v>
      </c>
    </row>
    <row r="1790" spans="1:4" ht="16.5" hidden="1" customHeight="1" thickBot="1" x14ac:dyDescent="0.35">
      <c r="A1790" s="13" t="s">
        <v>442</v>
      </c>
      <c r="B1790" s="18" t="s">
        <v>443</v>
      </c>
    </row>
    <row r="1791" spans="1:4" ht="26.25" hidden="1" customHeight="1" thickBot="1" x14ac:dyDescent="0.35">
      <c r="A1791" s="13" t="s">
        <v>76</v>
      </c>
      <c r="B1791" s="18">
        <v>183</v>
      </c>
    </row>
    <row r="1792" spans="1:4" ht="26.25" hidden="1" customHeight="1" thickBot="1" x14ac:dyDescent="0.35">
      <c r="A1792" s="13" t="s">
        <v>444</v>
      </c>
      <c r="B1792" s="18" t="s">
        <v>445</v>
      </c>
    </row>
    <row r="1793" spans="1:4" ht="39" hidden="1" customHeight="1" thickBot="1" x14ac:dyDescent="0.35">
      <c r="A1793" s="13" t="s">
        <v>77</v>
      </c>
      <c r="B1793" s="18">
        <v>2960</v>
      </c>
    </row>
    <row r="1794" spans="1:4" ht="26.25" hidden="1" customHeight="1" thickBot="1" x14ac:dyDescent="0.35">
      <c r="A1794" s="13" t="s">
        <v>446</v>
      </c>
      <c r="B1794" s="18" t="s">
        <v>447</v>
      </c>
    </row>
    <row r="1795" spans="1:4" ht="26.25" hidden="1" customHeight="1" thickBot="1" x14ac:dyDescent="0.35">
      <c r="A1795" s="13" t="s">
        <v>448</v>
      </c>
      <c r="B1795" s="18" t="s">
        <v>449</v>
      </c>
    </row>
    <row r="1796" spans="1:4" ht="26.25" hidden="1" customHeight="1" thickBot="1" x14ac:dyDescent="0.35">
      <c r="A1796" s="13" t="s">
        <v>450</v>
      </c>
      <c r="B1796" s="18" t="s">
        <v>451</v>
      </c>
    </row>
    <row r="1797" spans="1:4" ht="26.25" hidden="1" customHeight="1" x14ac:dyDescent="0.3">
      <c r="A1797" s="14" t="s">
        <v>452</v>
      </c>
      <c r="B1797" s="19" t="s">
        <v>453</v>
      </c>
    </row>
    <row r="1798" spans="1:4" ht="26.25" hidden="1" customHeight="1" thickBot="1" x14ac:dyDescent="0.3"/>
    <row r="1799" spans="1:4" ht="26.25" hidden="1" customHeight="1" x14ac:dyDescent="0.3">
      <c r="A1799" s="24" t="s">
        <v>80</v>
      </c>
      <c r="B1799" s="26"/>
    </row>
    <row r="1800" spans="1:4" ht="39" hidden="1" customHeight="1" thickBot="1" x14ac:dyDescent="0.35">
      <c r="A1800" s="13" t="s">
        <v>81</v>
      </c>
      <c r="B1800" s="2" t="s">
        <v>82</v>
      </c>
    </row>
    <row r="1801" spans="1:4" ht="38.25" hidden="1" customHeight="1" x14ac:dyDescent="0.3">
      <c r="A1801" s="14" t="s">
        <v>452</v>
      </c>
      <c r="B1801" s="2" t="s">
        <v>453</v>
      </c>
    </row>
    <row r="1802" spans="1:4" ht="16.5" hidden="1" customHeight="1" thickBot="1" x14ac:dyDescent="0.3"/>
    <row r="1803" spans="1:4" ht="33" hidden="1" customHeight="1" thickBot="1" x14ac:dyDescent="0.35">
      <c r="A1803" s="20" t="s">
        <v>454</v>
      </c>
      <c r="B1803" s="21">
        <v>22876</v>
      </c>
    </row>
    <row r="1804" spans="1:4" ht="33.75" hidden="1" customHeight="1" thickBot="1" x14ac:dyDescent="0.35">
      <c r="A1804" s="13" t="s">
        <v>455</v>
      </c>
      <c r="B1804" s="2">
        <v>22876</v>
      </c>
    </row>
    <row r="1805" spans="1:4" ht="66" hidden="1" customHeight="1" thickBot="1" x14ac:dyDescent="0.35">
      <c r="A1805" s="13" t="s">
        <v>456</v>
      </c>
      <c r="B1805" s="2">
        <v>10423023</v>
      </c>
    </row>
    <row r="1806" spans="1:4" ht="16.5" hidden="1" customHeight="1" x14ac:dyDescent="0.3">
      <c r="A1806" s="14" t="s">
        <v>457</v>
      </c>
      <c r="B1806" s="2">
        <v>10423023</v>
      </c>
    </row>
    <row r="1807" spans="1:4" ht="39" hidden="1" customHeight="1" thickBot="1" x14ac:dyDescent="0.3"/>
    <row r="1808" spans="1:4" ht="39" hidden="1" customHeight="1" x14ac:dyDescent="0.3">
      <c r="A1808" s="24" t="s">
        <v>458</v>
      </c>
      <c r="B1808" s="26"/>
      <c r="C1808" s="26"/>
      <c r="D1808" s="26"/>
    </row>
    <row r="1809" spans="1:5" ht="39" hidden="1" customHeight="1" x14ac:dyDescent="0.3">
      <c r="A1809" s="6" t="s">
        <v>459</v>
      </c>
      <c r="B1809" s="27" t="s">
        <v>19</v>
      </c>
      <c r="C1809" s="3" t="s">
        <v>93</v>
      </c>
      <c r="D1809" s="3" t="s">
        <v>93</v>
      </c>
    </row>
    <row r="1810" spans="1:5" ht="38.25" hidden="1" customHeight="1" x14ac:dyDescent="0.3">
      <c r="A1810" s="6" t="s">
        <v>460</v>
      </c>
      <c r="B1810" s="27"/>
      <c r="C1810" s="3" t="s">
        <v>86</v>
      </c>
      <c r="D1810" s="3" t="s">
        <v>461</v>
      </c>
    </row>
    <row r="1811" spans="1:5" ht="16.5" hidden="1" customHeight="1" thickBot="1" x14ac:dyDescent="0.35">
      <c r="A1811" s="6">
        <v>1</v>
      </c>
      <c r="B1811" s="17">
        <v>0</v>
      </c>
      <c r="C1811" s="2">
        <v>22705</v>
      </c>
      <c r="D1811" s="2">
        <v>10368281</v>
      </c>
    </row>
    <row r="1812" spans="1:5" ht="16.5" hidden="1" customHeight="1" x14ac:dyDescent="0.3">
      <c r="A1812" s="6">
        <v>2</v>
      </c>
      <c r="B1812" s="22">
        <v>1</v>
      </c>
      <c r="C1812" s="2">
        <v>171</v>
      </c>
      <c r="D1812" s="2">
        <v>54742</v>
      </c>
    </row>
    <row r="1813" spans="1:5" ht="16.5" hidden="1" customHeight="1" x14ac:dyDescent="0.3"/>
    <row r="1814" spans="1:5" ht="33" hidden="1" customHeight="1" x14ac:dyDescent="0.3">
      <c r="A1814" s="1" t="s">
        <v>513</v>
      </c>
    </row>
    <row r="1815" spans="1:5" ht="17.25" hidden="1" customHeight="1" thickBot="1" x14ac:dyDescent="0.3"/>
    <row r="1816" spans="1:5" ht="16.5" hidden="1" customHeight="1" x14ac:dyDescent="0.3">
      <c r="A1816" s="24" t="s">
        <v>462</v>
      </c>
      <c r="B1816" s="26"/>
      <c r="C1816" s="26"/>
      <c r="D1816" s="26"/>
      <c r="E1816" s="26"/>
    </row>
    <row r="1817" spans="1:5" ht="16.5" hidden="1" customHeight="1" x14ac:dyDescent="0.3">
      <c r="A1817" s="6" t="s">
        <v>463</v>
      </c>
      <c r="B1817" s="3" t="s">
        <v>460</v>
      </c>
      <c r="C1817" s="27" t="s">
        <v>464</v>
      </c>
      <c r="D1817" s="27"/>
      <c r="E1817" s="27"/>
    </row>
    <row r="1818" spans="1:5" ht="16.5" hidden="1" customHeight="1" thickBot="1" x14ac:dyDescent="0.35">
      <c r="A1818" s="13" t="s">
        <v>22</v>
      </c>
      <c r="B1818" s="12">
        <v>1</v>
      </c>
      <c r="C1818" s="2">
        <v>0</v>
      </c>
      <c r="D1818" s="2">
        <v>0</v>
      </c>
      <c r="E1818" s="2">
        <v>0</v>
      </c>
    </row>
    <row r="1819" spans="1:5" ht="16.5" hidden="1" customHeight="1" thickBot="1" x14ac:dyDescent="0.35">
      <c r="A1819" s="13"/>
      <c r="B1819" s="12">
        <v>2</v>
      </c>
      <c r="C1819" s="2">
        <v>1</v>
      </c>
      <c r="D1819" s="2">
        <v>0</v>
      </c>
      <c r="E1819" s="2">
        <v>0</v>
      </c>
    </row>
    <row r="1820" spans="1:5" ht="16.5" hidden="1" customHeight="1" thickBot="1" x14ac:dyDescent="0.35">
      <c r="A1820" s="13"/>
      <c r="B1820" s="12">
        <v>3</v>
      </c>
      <c r="C1820" s="2">
        <v>0</v>
      </c>
      <c r="D1820" s="2">
        <v>1</v>
      </c>
      <c r="E1820" s="2">
        <v>0</v>
      </c>
    </row>
    <row r="1821" spans="1:5" ht="16.5" hidden="1" customHeight="1" x14ac:dyDescent="0.3">
      <c r="A1821" s="14"/>
      <c r="B1821" s="15">
        <v>4</v>
      </c>
      <c r="C1821" s="2">
        <v>0</v>
      </c>
      <c r="D1821" s="2">
        <v>0</v>
      </c>
      <c r="E1821" s="2">
        <v>1</v>
      </c>
    </row>
    <row r="1822" spans="1:5" ht="17.25" hidden="1" customHeight="1" thickBot="1" x14ac:dyDescent="0.3"/>
    <row r="1823" spans="1:5" ht="17.25" hidden="1" customHeight="1" x14ac:dyDescent="0.3">
      <c r="A1823" s="4" t="s">
        <v>465</v>
      </c>
    </row>
    <row r="1824" spans="1:5" ht="17.25" hidden="1" customHeight="1" x14ac:dyDescent="0.3">
      <c r="A1824" s="23" t="s">
        <v>466</v>
      </c>
    </row>
    <row r="1825" spans="1:5" ht="16.5" hidden="1" customHeight="1" thickBot="1" x14ac:dyDescent="0.3"/>
    <row r="1826" spans="1:5" ht="16.5" hidden="1" customHeight="1" x14ac:dyDescent="0.3">
      <c r="A1826" s="24" t="s">
        <v>467</v>
      </c>
      <c r="B1826" s="26"/>
      <c r="C1826" s="26"/>
    </row>
    <row r="1827" spans="1:5" ht="66" hidden="1" customHeight="1" x14ac:dyDescent="0.3">
      <c r="A1827" s="6" t="s">
        <v>468</v>
      </c>
      <c r="B1827" s="3" t="s">
        <v>469</v>
      </c>
      <c r="C1827" s="3" t="s">
        <v>470</v>
      </c>
    </row>
    <row r="1828" spans="1:5" ht="99" hidden="1" customHeight="1" thickBot="1" x14ac:dyDescent="0.35">
      <c r="A1828" s="13" t="s">
        <v>471</v>
      </c>
      <c r="B1828" s="2">
        <v>683893.93</v>
      </c>
      <c r="C1828" s="2">
        <v>675892.18</v>
      </c>
    </row>
    <row r="1829" spans="1:5" ht="16.5" hidden="1" customHeight="1" thickBot="1" x14ac:dyDescent="0.35">
      <c r="A1829" s="13" t="s">
        <v>472</v>
      </c>
      <c r="B1829" s="2">
        <v>683908.09</v>
      </c>
      <c r="C1829" s="2">
        <v>675948.82</v>
      </c>
    </row>
    <row r="1830" spans="1:5" ht="16.5" hidden="1" customHeight="1" x14ac:dyDescent="0.3">
      <c r="A1830" s="14" t="s">
        <v>473</v>
      </c>
      <c r="B1830" s="2" t="s">
        <v>639</v>
      </c>
      <c r="C1830" s="2">
        <v>675884.18</v>
      </c>
    </row>
    <row r="1831" spans="1:5" ht="66" hidden="1" customHeight="1" thickBot="1" x14ac:dyDescent="0.3"/>
    <row r="1832" spans="1:5" ht="17.25" hidden="1" customHeight="1" x14ac:dyDescent="0.3">
      <c r="A1832" s="24" t="s">
        <v>474</v>
      </c>
      <c r="B1832" s="26"/>
      <c r="C1832" s="26"/>
      <c r="D1832" s="26"/>
      <c r="E1832" s="26"/>
    </row>
    <row r="1833" spans="1:5" ht="17.25" hidden="1" customHeight="1" x14ac:dyDescent="0.3">
      <c r="A1833" s="6" t="s">
        <v>475</v>
      </c>
      <c r="B1833" s="3" t="s">
        <v>476</v>
      </c>
      <c r="C1833" s="3" t="s">
        <v>477</v>
      </c>
      <c r="D1833" s="3" t="s">
        <v>478</v>
      </c>
      <c r="E1833" s="3" t="s">
        <v>479</v>
      </c>
    </row>
    <row r="1834" spans="1:5" ht="16.5" hidden="1" customHeight="1" x14ac:dyDescent="0.3">
      <c r="A1834" s="25" t="s">
        <v>550</v>
      </c>
      <c r="B1834" s="27"/>
      <c r="C1834" s="27"/>
      <c r="D1834" s="27"/>
      <c r="E1834" s="27"/>
    </row>
    <row r="1835" spans="1:5" ht="16.5" hidden="1" customHeight="1" thickBot="1" x14ac:dyDescent="0.35">
      <c r="A1835" s="13" t="s">
        <v>481</v>
      </c>
      <c r="B1835" s="2">
        <v>5.86</v>
      </c>
      <c r="C1835" s="2">
        <v>2.9942000000000002</v>
      </c>
      <c r="D1835" s="2">
        <v>8314.92</v>
      </c>
      <c r="E1835" s="2">
        <v>5.0000000000000001E-4</v>
      </c>
    </row>
    <row r="1836" spans="1:5" ht="16.5" hidden="1" customHeight="1" thickBot="1" x14ac:dyDescent="0.35">
      <c r="A1836" s="13" t="s">
        <v>483</v>
      </c>
      <c r="B1836" s="2">
        <v>6.15</v>
      </c>
      <c r="C1836" s="2">
        <v>3</v>
      </c>
      <c r="D1836" s="2">
        <v>2775</v>
      </c>
      <c r="E1836" s="2">
        <v>4.0000000000000002E-4</v>
      </c>
    </row>
    <row r="1837" spans="1:5" ht="16.5" hidden="1" customHeight="1" x14ac:dyDescent="0.3">
      <c r="A1837" s="14" t="s">
        <v>484</v>
      </c>
      <c r="B1837" s="2">
        <v>5.07</v>
      </c>
      <c r="C1837" s="2">
        <v>3</v>
      </c>
      <c r="D1837" s="2">
        <v>2775</v>
      </c>
      <c r="E1837" s="2">
        <v>1.6999999999999999E-3</v>
      </c>
    </row>
    <row r="1838" spans="1:5" ht="33" hidden="1" customHeight="1" thickBot="1" x14ac:dyDescent="0.3"/>
    <row r="1839" spans="1:5" ht="26.25" hidden="1" customHeight="1" x14ac:dyDescent="0.3">
      <c r="A1839" s="24" t="s">
        <v>485</v>
      </c>
      <c r="B1839" s="26"/>
      <c r="C1839" s="26"/>
      <c r="D1839" s="26"/>
      <c r="E1839" s="26"/>
    </row>
    <row r="1840" spans="1:5" ht="17.25" hidden="1" customHeight="1" x14ac:dyDescent="0.3">
      <c r="A1840" s="6" t="s">
        <v>486</v>
      </c>
      <c r="B1840" s="3" t="s">
        <v>476</v>
      </c>
      <c r="C1840" s="3" t="s">
        <v>477</v>
      </c>
      <c r="D1840" s="3" t="s">
        <v>478</v>
      </c>
      <c r="E1840" s="3" t="s">
        <v>479</v>
      </c>
    </row>
    <row r="1841" spans="1:8" ht="16.5" hidden="1" customHeight="1" x14ac:dyDescent="0.3">
      <c r="A1841" s="14" t="s">
        <v>22</v>
      </c>
      <c r="B1841" s="2">
        <v>5.07</v>
      </c>
      <c r="C1841" s="2">
        <v>3</v>
      </c>
      <c r="D1841" s="2">
        <v>2775</v>
      </c>
      <c r="E1841" s="2">
        <v>1.6999999999999999E-3</v>
      </c>
    </row>
    <row r="1842" spans="1:8" ht="16.5" hidden="1" customHeight="1" thickBot="1" x14ac:dyDescent="0.3"/>
    <row r="1843" spans="1:8" ht="16.5" hidden="1" customHeight="1" x14ac:dyDescent="0.3">
      <c r="A1843" s="24" t="s">
        <v>487</v>
      </c>
      <c r="B1843" s="26"/>
      <c r="C1843" s="26"/>
      <c r="D1843" s="26"/>
      <c r="E1843" s="26"/>
      <c r="F1843" s="26"/>
    </row>
    <row r="1844" spans="1:8" ht="16.5" hidden="1" customHeight="1" x14ac:dyDescent="0.3">
      <c r="A1844" s="25" t="s">
        <v>488</v>
      </c>
      <c r="B1844" s="27"/>
      <c r="C1844" s="27" t="s">
        <v>489</v>
      </c>
      <c r="D1844" s="3" t="s">
        <v>490</v>
      </c>
      <c r="E1844" s="27" t="s">
        <v>492</v>
      </c>
      <c r="F1844" s="27" t="s">
        <v>493</v>
      </c>
    </row>
    <row r="1845" spans="1:8" ht="16.5" hidden="1" customHeight="1" x14ac:dyDescent="0.3">
      <c r="A1845" s="25"/>
      <c r="B1845" s="27"/>
      <c r="C1845" s="27"/>
      <c r="D1845" s="3" t="s">
        <v>491</v>
      </c>
      <c r="E1845" s="27"/>
      <c r="F1845" s="27"/>
    </row>
    <row r="1846" spans="1:8" ht="16.5" hidden="1" customHeight="1" x14ac:dyDescent="0.3">
      <c r="A1846" s="25" t="s">
        <v>578</v>
      </c>
      <c r="B1846" s="27"/>
      <c r="C1846" s="27"/>
      <c r="D1846" s="27"/>
      <c r="E1846" s="27"/>
      <c r="F1846" s="27"/>
    </row>
    <row r="1847" spans="1:8" ht="16.5" hidden="1" customHeight="1" thickBot="1" x14ac:dyDescent="0.35">
      <c r="A1847" s="13" t="s">
        <v>495</v>
      </c>
      <c r="B1847" s="12"/>
      <c r="C1847" s="16">
        <v>-5.8707000000000003</v>
      </c>
      <c r="D1847" s="2">
        <v>0.2631</v>
      </c>
      <c r="E1847" s="16">
        <v>-22.31</v>
      </c>
      <c r="F1847" s="2" t="s">
        <v>482</v>
      </c>
    </row>
    <row r="1848" spans="1:8" ht="16.5" hidden="1" customHeight="1" thickBot="1" x14ac:dyDescent="0.35">
      <c r="A1848" s="13" t="s">
        <v>22</v>
      </c>
      <c r="B1848" s="12">
        <v>2</v>
      </c>
      <c r="C1848" s="2">
        <v>0.56159999999999999</v>
      </c>
      <c r="D1848" s="2">
        <v>0.32600000000000001</v>
      </c>
      <c r="E1848" s="2">
        <v>1.72</v>
      </c>
      <c r="F1848" s="2">
        <v>8.5000000000000006E-2</v>
      </c>
    </row>
    <row r="1849" spans="1:8" ht="16.5" hidden="1" customHeight="1" thickBot="1" x14ac:dyDescent="0.35">
      <c r="A1849" s="13" t="s">
        <v>22</v>
      </c>
      <c r="B1849" s="12">
        <v>3</v>
      </c>
      <c r="C1849" s="2">
        <v>1.0894999999999999</v>
      </c>
      <c r="D1849" s="2">
        <v>0.29649999999999999</v>
      </c>
      <c r="E1849" s="2">
        <v>3.67</v>
      </c>
      <c r="F1849" s="2">
        <v>2.0000000000000001E-4</v>
      </c>
    </row>
    <row r="1850" spans="1:8" ht="16.5" hidden="1" customHeight="1" x14ac:dyDescent="0.3">
      <c r="A1850" s="14" t="s">
        <v>22</v>
      </c>
      <c r="B1850" s="15">
        <v>4</v>
      </c>
      <c r="C1850" s="2">
        <v>0.68359999999999999</v>
      </c>
      <c r="D1850" s="2">
        <v>0.32440000000000002</v>
      </c>
      <c r="E1850" s="2">
        <v>2.11</v>
      </c>
      <c r="F1850" s="2">
        <v>3.5200000000000002E-2</v>
      </c>
    </row>
    <row r="1851" spans="1:8" ht="17.25" hidden="1" customHeight="1" thickBot="1" x14ac:dyDescent="0.3"/>
    <row r="1852" spans="1:8" ht="17.25" hidden="1" customHeight="1" x14ac:dyDescent="0.3">
      <c r="A1852" s="24" t="s">
        <v>496</v>
      </c>
      <c r="B1852" s="26"/>
      <c r="C1852" s="26"/>
      <c r="D1852" s="26"/>
      <c r="H1852">
        <f>F1852</f>
        <v>0</v>
      </c>
    </row>
    <row r="1853" spans="1:8" ht="17.25" hidden="1" customHeight="1" x14ac:dyDescent="0.3">
      <c r="A1853" s="6" t="s">
        <v>486</v>
      </c>
      <c r="B1853" s="3" t="s">
        <v>497</v>
      </c>
      <c r="C1853" s="27" t="s">
        <v>91</v>
      </c>
      <c r="D1853" s="27"/>
      <c r="H1853">
        <f t="shared" ref="H1853:H1854" si="63">F1853</f>
        <v>0</v>
      </c>
    </row>
    <row r="1854" spans="1:8" ht="16.5" hidden="1" customHeight="1" x14ac:dyDescent="0.3">
      <c r="A1854" s="25" t="s">
        <v>579</v>
      </c>
      <c r="B1854" s="27"/>
      <c r="C1854" s="27"/>
      <c r="D1854" s="27"/>
      <c r="H1854">
        <f t="shared" si="63"/>
        <v>0</v>
      </c>
    </row>
    <row r="1855" spans="1:8" ht="16.5" hidden="1" customHeight="1" thickBot="1" x14ac:dyDescent="0.35">
      <c r="A1855" s="13" t="s">
        <v>499</v>
      </c>
      <c r="B1855" s="2">
        <v>1.754</v>
      </c>
      <c r="C1855" s="2">
        <v>0.92500000000000004</v>
      </c>
      <c r="D1855" s="2">
        <v>3.323</v>
      </c>
    </row>
    <row r="1856" spans="1:8" ht="16.5" hidden="1" customHeight="1" thickBot="1" x14ac:dyDescent="0.35">
      <c r="A1856" s="13" t="s">
        <v>500</v>
      </c>
      <c r="B1856" s="2">
        <v>2.9729999999999999</v>
      </c>
      <c r="C1856" s="2">
        <v>1.6619999999999999</v>
      </c>
      <c r="D1856" s="2">
        <v>5.3170000000000002</v>
      </c>
    </row>
    <row r="1857" spans="1:9" ht="33" hidden="1" customHeight="1" thickBot="1" x14ac:dyDescent="0.35">
      <c r="A1857" s="14" t="s">
        <v>501</v>
      </c>
      <c r="B1857" s="2">
        <v>1.9810000000000001</v>
      </c>
      <c r="C1857" s="2">
        <v>1.0489999999999999</v>
      </c>
      <c r="D1857" s="2">
        <v>3.742</v>
      </c>
    </row>
    <row r="1858" spans="1:9" ht="49.5" hidden="1" customHeight="1" thickBot="1" x14ac:dyDescent="0.3"/>
    <row r="1859" spans="1:9" ht="33" customHeight="1" x14ac:dyDescent="0.3">
      <c r="A1859" s="24" t="s">
        <v>502</v>
      </c>
      <c r="B1859" s="26"/>
      <c r="C1859" s="26"/>
      <c r="D1859" s="26"/>
      <c r="H1859" s="8" t="str">
        <f t="shared" ref="H1859:H1861" si="64">TEXT(B1859,"0.00")&amp;" ("&amp;TEXT(C1859,"0.00")&amp;" to "&amp;TEXT(D1859,"0.00")&amp;")"</f>
        <v>0.00 (0.00 to 0.00)</v>
      </c>
      <c r="I1859">
        <f t="shared" ref="I1859:I1861" si="65">F1852</f>
        <v>0</v>
      </c>
    </row>
    <row r="1860" spans="1:9" ht="26.25" customHeight="1" thickBot="1" x14ac:dyDescent="0.35">
      <c r="A1860" s="13" t="s">
        <v>503</v>
      </c>
      <c r="B1860" s="2">
        <v>43.9</v>
      </c>
      <c r="C1860" s="12" t="s">
        <v>504</v>
      </c>
      <c r="D1860" s="2">
        <v>0.23400000000000001</v>
      </c>
      <c r="H1860" s="8" t="str">
        <f t="shared" si="64"/>
        <v>43.90 (Somers' D to 0.23)</v>
      </c>
      <c r="I1860">
        <f t="shared" si="65"/>
        <v>0</v>
      </c>
    </row>
    <row r="1861" spans="1:9" ht="25.5" customHeight="1" thickBot="1" x14ac:dyDescent="0.35">
      <c r="A1861" s="13" t="s">
        <v>505</v>
      </c>
      <c r="B1861" s="2">
        <v>20.5</v>
      </c>
      <c r="C1861" s="12" t="s">
        <v>506</v>
      </c>
      <c r="D1861" s="2">
        <v>0.36299999999999999</v>
      </c>
      <c r="H1861" s="8" t="str">
        <f t="shared" si="64"/>
        <v>20.50 (Gamma to 0.36)</v>
      </c>
      <c r="I1861">
        <f t="shared" si="65"/>
        <v>0</v>
      </c>
    </row>
    <row r="1862" spans="1:9" ht="16.5" hidden="1" customHeight="1" thickBot="1" x14ac:dyDescent="0.35">
      <c r="A1862" s="13" t="s">
        <v>507</v>
      </c>
      <c r="B1862" s="2">
        <v>35.6</v>
      </c>
      <c r="C1862" s="12" t="s">
        <v>508</v>
      </c>
      <c r="D1862" s="2">
        <v>3.0000000000000001E-3</v>
      </c>
    </row>
    <row r="1863" spans="1:9" ht="33" hidden="1" customHeight="1" x14ac:dyDescent="0.3">
      <c r="A1863" s="14" t="s">
        <v>509</v>
      </c>
      <c r="B1863" s="2">
        <v>3882555</v>
      </c>
      <c r="C1863" s="15" t="s">
        <v>510</v>
      </c>
      <c r="D1863" s="2">
        <v>0.61699999999999999</v>
      </c>
    </row>
    <row r="1864" spans="1:9" ht="39" hidden="1" customHeight="1" x14ac:dyDescent="0.3"/>
    <row r="1865" spans="1:9" ht="26.25" hidden="1" customHeight="1" x14ac:dyDescent="0.3"/>
    <row r="1866" spans="1:9" ht="26.25" hidden="1" customHeight="1" x14ac:dyDescent="0.3"/>
    <row r="1867" spans="1:9" ht="16.5" hidden="1" customHeight="1" x14ac:dyDescent="0.3">
      <c r="A1867" s="1" t="s">
        <v>436</v>
      </c>
    </row>
    <row r="1868" spans="1:9" ht="16.5" hidden="1" customHeight="1" x14ac:dyDescent="0.3"/>
    <row r="1869" spans="1:9" ht="16.5" hidden="1" customHeight="1" x14ac:dyDescent="0.3">
      <c r="A1869" s="1" t="s">
        <v>416</v>
      </c>
    </row>
    <row r="1870" spans="1:9" ht="16.5" hidden="1" customHeight="1" thickBot="1" x14ac:dyDescent="0.3"/>
    <row r="1871" spans="1:9" ht="16.5" hidden="1" customHeight="1" x14ac:dyDescent="0.3">
      <c r="A1871" s="24" t="s">
        <v>437</v>
      </c>
      <c r="B1871" s="26"/>
    </row>
    <row r="1872" spans="1:9" ht="16.5" hidden="1" customHeight="1" thickBot="1" x14ac:dyDescent="0.35">
      <c r="A1872" s="13" t="s">
        <v>438</v>
      </c>
      <c r="B1872" s="18" t="s">
        <v>439</v>
      </c>
    </row>
    <row r="1873" spans="1:2" ht="16.5" hidden="1" customHeight="1" thickBot="1" x14ac:dyDescent="0.35">
      <c r="A1873" s="13" t="s">
        <v>440</v>
      </c>
      <c r="B1873" s="18" t="s">
        <v>19</v>
      </c>
    </row>
    <row r="1874" spans="1:2" ht="16.5" hidden="1" customHeight="1" thickBot="1" x14ac:dyDescent="0.35">
      <c r="A1874" s="13" t="s">
        <v>441</v>
      </c>
      <c r="B1874" s="18">
        <v>2</v>
      </c>
    </row>
    <row r="1875" spans="1:2" ht="16.5" hidden="1" customHeight="1" thickBot="1" x14ac:dyDescent="0.35">
      <c r="A1875" s="13" t="s">
        <v>442</v>
      </c>
      <c r="B1875" s="18" t="s">
        <v>443</v>
      </c>
    </row>
    <row r="1876" spans="1:2" ht="26.25" hidden="1" customHeight="1" thickBot="1" x14ac:dyDescent="0.35">
      <c r="A1876" s="13" t="s">
        <v>76</v>
      </c>
      <c r="B1876" s="18">
        <v>183</v>
      </c>
    </row>
    <row r="1877" spans="1:2" ht="26.25" hidden="1" customHeight="1" thickBot="1" x14ac:dyDescent="0.35">
      <c r="A1877" s="13" t="s">
        <v>444</v>
      </c>
      <c r="B1877" s="18" t="s">
        <v>445</v>
      </c>
    </row>
    <row r="1878" spans="1:2" ht="39" hidden="1" customHeight="1" thickBot="1" x14ac:dyDescent="0.35">
      <c r="A1878" s="13" t="s">
        <v>77</v>
      </c>
      <c r="B1878" s="18">
        <v>2965</v>
      </c>
    </row>
    <row r="1879" spans="1:2" ht="26.25" hidden="1" customHeight="1" thickBot="1" x14ac:dyDescent="0.35">
      <c r="A1879" s="13" t="s">
        <v>446</v>
      </c>
      <c r="B1879" s="18" t="s">
        <v>447</v>
      </c>
    </row>
    <row r="1880" spans="1:2" ht="26.25" hidden="1" customHeight="1" thickBot="1" x14ac:dyDescent="0.35">
      <c r="A1880" s="13" t="s">
        <v>448</v>
      </c>
      <c r="B1880" s="18" t="s">
        <v>449</v>
      </c>
    </row>
    <row r="1881" spans="1:2" ht="26.25" hidden="1" customHeight="1" thickBot="1" x14ac:dyDescent="0.35">
      <c r="A1881" s="13" t="s">
        <v>450</v>
      </c>
      <c r="B1881" s="18" t="s">
        <v>451</v>
      </c>
    </row>
    <row r="1882" spans="1:2" ht="26.25" hidden="1" customHeight="1" x14ac:dyDescent="0.3">
      <c r="A1882" s="14" t="s">
        <v>452</v>
      </c>
      <c r="B1882" s="19" t="s">
        <v>453</v>
      </c>
    </row>
    <row r="1883" spans="1:2" ht="26.25" hidden="1" customHeight="1" thickBot="1" x14ac:dyDescent="0.3"/>
    <row r="1884" spans="1:2" ht="26.25" hidden="1" customHeight="1" x14ac:dyDescent="0.3">
      <c r="A1884" s="24" t="s">
        <v>80</v>
      </c>
      <c r="B1884" s="26"/>
    </row>
    <row r="1885" spans="1:2" ht="39" hidden="1" customHeight="1" thickBot="1" x14ac:dyDescent="0.35">
      <c r="A1885" s="13" t="s">
        <v>81</v>
      </c>
      <c r="B1885" s="2" t="s">
        <v>82</v>
      </c>
    </row>
    <row r="1886" spans="1:2" ht="38.25" hidden="1" customHeight="1" x14ac:dyDescent="0.3">
      <c r="A1886" s="14" t="s">
        <v>452</v>
      </c>
      <c r="B1886" s="2" t="s">
        <v>453</v>
      </c>
    </row>
    <row r="1887" spans="1:2" ht="16.5" hidden="1" customHeight="1" thickBot="1" x14ac:dyDescent="0.3"/>
    <row r="1888" spans="1:2" ht="33" hidden="1" customHeight="1" thickBot="1" x14ac:dyDescent="0.35">
      <c r="A1888" s="20" t="s">
        <v>454</v>
      </c>
      <c r="B1888" s="21">
        <v>33210</v>
      </c>
    </row>
    <row r="1889" spans="1:5" ht="33.75" hidden="1" customHeight="1" thickBot="1" x14ac:dyDescent="0.35">
      <c r="A1889" s="13" t="s">
        <v>455</v>
      </c>
      <c r="B1889" s="2">
        <v>33210</v>
      </c>
    </row>
    <row r="1890" spans="1:5" ht="66" hidden="1" customHeight="1" thickBot="1" x14ac:dyDescent="0.35">
      <c r="A1890" s="13" t="s">
        <v>456</v>
      </c>
      <c r="B1890" s="2">
        <v>14887576</v>
      </c>
    </row>
    <row r="1891" spans="1:5" ht="16.5" hidden="1" customHeight="1" x14ac:dyDescent="0.3">
      <c r="A1891" s="14" t="s">
        <v>457</v>
      </c>
      <c r="B1891" s="2">
        <v>14887576</v>
      </c>
    </row>
    <row r="1892" spans="1:5" ht="39" hidden="1" customHeight="1" thickBot="1" x14ac:dyDescent="0.3"/>
    <row r="1893" spans="1:5" ht="39" hidden="1" customHeight="1" x14ac:dyDescent="0.3">
      <c r="A1893" s="24" t="s">
        <v>458</v>
      </c>
      <c r="B1893" s="26"/>
      <c r="C1893" s="26"/>
      <c r="D1893" s="26"/>
    </row>
    <row r="1894" spans="1:5" ht="39" hidden="1" customHeight="1" x14ac:dyDescent="0.3">
      <c r="A1894" s="6" t="s">
        <v>459</v>
      </c>
      <c r="B1894" s="27" t="s">
        <v>19</v>
      </c>
      <c r="C1894" s="3" t="s">
        <v>93</v>
      </c>
      <c r="D1894" s="3" t="s">
        <v>93</v>
      </c>
    </row>
    <row r="1895" spans="1:5" ht="38.25" hidden="1" customHeight="1" x14ac:dyDescent="0.3">
      <c r="A1895" s="6" t="s">
        <v>460</v>
      </c>
      <c r="B1895" s="27"/>
      <c r="C1895" s="3" t="s">
        <v>86</v>
      </c>
      <c r="D1895" s="3" t="s">
        <v>461</v>
      </c>
    </row>
    <row r="1896" spans="1:5" ht="16.5" hidden="1" customHeight="1" thickBot="1" x14ac:dyDescent="0.35">
      <c r="A1896" s="6">
        <v>1</v>
      </c>
      <c r="B1896" s="17">
        <v>0</v>
      </c>
      <c r="C1896" s="2">
        <v>32722</v>
      </c>
      <c r="D1896" s="2">
        <v>14730741</v>
      </c>
    </row>
    <row r="1897" spans="1:5" ht="16.5" hidden="1" customHeight="1" x14ac:dyDescent="0.3">
      <c r="A1897" s="6">
        <v>2</v>
      </c>
      <c r="B1897" s="22">
        <v>1</v>
      </c>
      <c r="C1897" s="2">
        <v>488</v>
      </c>
      <c r="D1897" s="2">
        <v>156835</v>
      </c>
    </row>
    <row r="1898" spans="1:5" ht="16.5" hidden="1" customHeight="1" x14ac:dyDescent="0.3"/>
    <row r="1899" spans="1:5" ht="33" hidden="1" customHeight="1" x14ac:dyDescent="0.3">
      <c r="A1899" s="1" t="s">
        <v>513</v>
      </c>
    </row>
    <row r="1900" spans="1:5" ht="17.25" hidden="1" customHeight="1" thickBot="1" x14ac:dyDescent="0.3"/>
    <row r="1901" spans="1:5" ht="16.5" hidden="1" customHeight="1" x14ac:dyDescent="0.3">
      <c r="A1901" s="24" t="s">
        <v>462</v>
      </c>
      <c r="B1901" s="26"/>
      <c r="C1901" s="26"/>
      <c r="D1901" s="26"/>
      <c r="E1901" s="26"/>
    </row>
    <row r="1902" spans="1:5" ht="16.5" hidden="1" customHeight="1" x14ac:dyDescent="0.3">
      <c r="A1902" s="6" t="s">
        <v>463</v>
      </c>
      <c r="B1902" s="3" t="s">
        <v>460</v>
      </c>
      <c r="C1902" s="27" t="s">
        <v>464</v>
      </c>
      <c r="D1902" s="27"/>
      <c r="E1902" s="27"/>
    </row>
    <row r="1903" spans="1:5" ht="16.5" hidden="1" customHeight="1" thickBot="1" x14ac:dyDescent="0.35">
      <c r="A1903" s="13" t="s">
        <v>22</v>
      </c>
      <c r="B1903" s="12">
        <v>1</v>
      </c>
      <c r="C1903" s="2">
        <v>0</v>
      </c>
      <c r="D1903" s="2">
        <v>0</v>
      </c>
      <c r="E1903" s="2">
        <v>0</v>
      </c>
    </row>
    <row r="1904" spans="1:5" ht="16.5" hidden="1" customHeight="1" thickBot="1" x14ac:dyDescent="0.35">
      <c r="A1904" s="13"/>
      <c r="B1904" s="12">
        <v>2</v>
      </c>
      <c r="C1904" s="2">
        <v>1</v>
      </c>
      <c r="D1904" s="2">
        <v>0</v>
      </c>
      <c r="E1904" s="2">
        <v>0</v>
      </c>
    </row>
    <row r="1905" spans="1:5" ht="16.5" hidden="1" customHeight="1" thickBot="1" x14ac:dyDescent="0.35">
      <c r="A1905" s="13"/>
      <c r="B1905" s="12">
        <v>3</v>
      </c>
      <c r="C1905" s="2">
        <v>0</v>
      </c>
      <c r="D1905" s="2">
        <v>1</v>
      </c>
      <c r="E1905" s="2">
        <v>0</v>
      </c>
    </row>
    <row r="1906" spans="1:5" ht="16.5" hidden="1" customHeight="1" x14ac:dyDescent="0.3">
      <c r="A1906" s="14"/>
      <c r="B1906" s="15">
        <v>4</v>
      </c>
      <c r="C1906" s="2">
        <v>0</v>
      </c>
      <c r="D1906" s="2">
        <v>0</v>
      </c>
      <c r="E1906" s="2">
        <v>1</v>
      </c>
    </row>
    <row r="1907" spans="1:5" ht="17.25" hidden="1" customHeight="1" thickBot="1" x14ac:dyDescent="0.3"/>
    <row r="1908" spans="1:5" ht="17.25" hidden="1" customHeight="1" x14ac:dyDescent="0.3">
      <c r="A1908" s="4" t="s">
        <v>465</v>
      </c>
    </row>
    <row r="1909" spans="1:5" ht="17.25" hidden="1" customHeight="1" x14ac:dyDescent="0.3">
      <c r="A1909" s="23" t="s">
        <v>466</v>
      </c>
    </row>
    <row r="1910" spans="1:5" ht="16.5" hidden="1" customHeight="1" thickBot="1" x14ac:dyDescent="0.3"/>
    <row r="1911" spans="1:5" ht="16.5" hidden="1" customHeight="1" x14ac:dyDescent="0.3">
      <c r="A1911" s="24" t="s">
        <v>467</v>
      </c>
      <c r="B1911" s="26"/>
      <c r="C1911" s="26"/>
    </row>
    <row r="1912" spans="1:5" ht="66" hidden="1" customHeight="1" x14ac:dyDescent="0.3">
      <c r="A1912" s="6" t="s">
        <v>468</v>
      </c>
      <c r="B1912" s="3" t="s">
        <v>469</v>
      </c>
      <c r="C1912" s="3" t="s">
        <v>470</v>
      </c>
    </row>
    <row r="1913" spans="1:5" ht="99" hidden="1" customHeight="1" thickBot="1" x14ac:dyDescent="0.35">
      <c r="A1913" s="13" t="s">
        <v>471</v>
      </c>
      <c r="B1913" s="2">
        <v>1740181</v>
      </c>
      <c r="C1913" s="2">
        <v>1725712</v>
      </c>
    </row>
    <row r="1914" spans="1:5" ht="16.5" hidden="1" customHeight="1" thickBot="1" x14ac:dyDescent="0.35">
      <c r="A1914" s="13" t="s">
        <v>472</v>
      </c>
      <c r="B1914" s="2">
        <v>1740195.5</v>
      </c>
      <c r="C1914" s="2">
        <v>1725770.1</v>
      </c>
    </row>
    <row r="1915" spans="1:5" ht="16.5" hidden="1" customHeight="1" x14ac:dyDescent="0.3">
      <c r="A1915" s="14" t="s">
        <v>473</v>
      </c>
      <c r="B1915" s="2" t="s">
        <v>640</v>
      </c>
      <c r="C1915" s="2">
        <v>1725704</v>
      </c>
    </row>
    <row r="1916" spans="1:5" ht="66" hidden="1" customHeight="1" thickBot="1" x14ac:dyDescent="0.3"/>
    <row r="1917" spans="1:5" ht="17.25" hidden="1" customHeight="1" x14ac:dyDescent="0.3">
      <c r="A1917" s="24" t="s">
        <v>474</v>
      </c>
      <c r="B1917" s="26"/>
      <c r="C1917" s="26"/>
      <c r="D1917" s="26"/>
      <c r="E1917" s="26"/>
    </row>
    <row r="1918" spans="1:5" ht="17.25" hidden="1" customHeight="1" x14ac:dyDescent="0.3">
      <c r="A1918" s="6" t="s">
        <v>475</v>
      </c>
      <c r="B1918" s="3" t="s">
        <v>476</v>
      </c>
      <c r="C1918" s="3" t="s">
        <v>477</v>
      </c>
      <c r="D1918" s="3" t="s">
        <v>478</v>
      </c>
      <c r="E1918" s="3" t="s">
        <v>479</v>
      </c>
    </row>
    <row r="1919" spans="1:5" ht="16.5" hidden="1" customHeight="1" x14ac:dyDescent="0.3">
      <c r="A1919" s="25" t="s">
        <v>587</v>
      </c>
      <c r="B1919" s="27"/>
      <c r="C1919" s="27"/>
      <c r="D1919" s="27"/>
      <c r="E1919" s="27"/>
    </row>
    <row r="1920" spans="1:5" ht="16.5" hidden="1" customHeight="1" thickBot="1" x14ac:dyDescent="0.35">
      <c r="A1920" s="13" t="s">
        <v>481</v>
      </c>
      <c r="B1920" s="2">
        <v>10.51</v>
      </c>
      <c r="C1920" s="2">
        <v>2.9952999999999999</v>
      </c>
      <c r="D1920" s="2">
        <v>8332.9699999999993</v>
      </c>
      <c r="E1920" s="2" t="s">
        <v>482</v>
      </c>
    </row>
    <row r="1921" spans="1:6" ht="16.5" hidden="1" customHeight="1" thickBot="1" x14ac:dyDescent="0.35">
      <c r="A1921" s="13" t="s">
        <v>483</v>
      </c>
      <c r="B1921" s="2">
        <v>16.46</v>
      </c>
      <c r="C1921" s="2">
        <v>3</v>
      </c>
      <c r="D1921" s="2">
        <v>2780</v>
      </c>
      <c r="E1921" s="2" t="s">
        <v>482</v>
      </c>
    </row>
    <row r="1922" spans="1:6" ht="16.5" hidden="1" customHeight="1" x14ac:dyDescent="0.3">
      <c r="A1922" s="14" t="s">
        <v>484</v>
      </c>
      <c r="B1922" s="2">
        <v>9.19</v>
      </c>
      <c r="C1922" s="2">
        <v>3</v>
      </c>
      <c r="D1922" s="2">
        <v>2780</v>
      </c>
      <c r="E1922" s="2" t="s">
        <v>482</v>
      </c>
    </row>
    <row r="1923" spans="1:6" ht="33" hidden="1" customHeight="1" thickBot="1" x14ac:dyDescent="0.3"/>
    <row r="1924" spans="1:6" ht="26.25" hidden="1" customHeight="1" x14ac:dyDescent="0.3">
      <c r="A1924" s="24" t="s">
        <v>485</v>
      </c>
      <c r="B1924" s="26"/>
      <c r="C1924" s="26"/>
      <c r="D1924" s="26"/>
      <c r="E1924" s="26"/>
    </row>
    <row r="1925" spans="1:6" ht="17.25" hidden="1" customHeight="1" x14ac:dyDescent="0.3">
      <c r="A1925" s="6" t="s">
        <v>486</v>
      </c>
      <c r="B1925" s="3" t="s">
        <v>476</v>
      </c>
      <c r="C1925" s="3" t="s">
        <v>477</v>
      </c>
      <c r="D1925" s="3" t="s">
        <v>478</v>
      </c>
      <c r="E1925" s="3" t="s">
        <v>479</v>
      </c>
    </row>
    <row r="1926" spans="1:6" ht="16.5" hidden="1" customHeight="1" x14ac:dyDescent="0.3">
      <c r="A1926" s="14" t="s">
        <v>22</v>
      </c>
      <c r="B1926" s="2">
        <v>9.19</v>
      </c>
      <c r="C1926" s="2">
        <v>3</v>
      </c>
      <c r="D1926" s="2">
        <v>2780</v>
      </c>
      <c r="E1926" s="2" t="s">
        <v>482</v>
      </c>
    </row>
    <row r="1927" spans="1:6" ht="16.5" hidden="1" customHeight="1" thickBot="1" x14ac:dyDescent="0.3"/>
    <row r="1928" spans="1:6" ht="16.5" hidden="1" customHeight="1" x14ac:dyDescent="0.3">
      <c r="A1928" s="24" t="s">
        <v>487</v>
      </c>
      <c r="B1928" s="26"/>
      <c r="C1928" s="26"/>
      <c r="D1928" s="26"/>
      <c r="E1928" s="26"/>
      <c r="F1928" s="26"/>
    </row>
    <row r="1929" spans="1:6" ht="16.5" hidden="1" customHeight="1" x14ac:dyDescent="0.3">
      <c r="A1929" s="25" t="s">
        <v>488</v>
      </c>
      <c r="B1929" s="27"/>
      <c r="C1929" s="27" t="s">
        <v>489</v>
      </c>
      <c r="D1929" s="3" t="s">
        <v>490</v>
      </c>
      <c r="E1929" s="27" t="s">
        <v>492</v>
      </c>
      <c r="F1929" s="27" t="s">
        <v>493</v>
      </c>
    </row>
    <row r="1930" spans="1:6" ht="16.5" hidden="1" customHeight="1" x14ac:dyDescent="0.3">
      <c r="A1930" s="25"/>
      <c r="B1930" s="27"/>
      <c r="C1930" s="27"/>
      <c r="D1930" s="3" t="s">
        <v>491</v>
      </c>
      <c r="E1930" s="27"/>
      <c r="F1930" s="27"/>
    </row>
    <row r="1931" spans="1:6" ht="16.5" hidden="1" customHeight="1" x14ac:dyDescent="0.3">
      <c r="A1931" s="25" t="s">
        <v>581</v>
      </c>
      <c r="B1931" s="27"/>
      <c r="C1931" s="27"/>
      <c r="D1931" s="27"/>
      <c r="E1931" s="27"/>
      <c r="F1931" s="27"/>
    </row>
    <row r="1932" spans="1:6" ht="16.5" hidden="1" customHeight="1" thickBot="1" x14ac:dyDescent="0.35">
      <c r="A1932" s="13" t="s">
        <v>495</v>
      </c>
      <c r="B1932" s="12"/>
      <c r="C1932" s="16">
        <v>-5.2483000000000004</v>
      </c>
      <c r="D1932" s="2">
        <v>0.151</v>
      </c>
      <c r="E1932" s="16">
        <v>-34.770000000000003</v>
      </c>
      <c r="F1932" s="2" t="s">
        <v>482</v>
      </c>
    </row>
    <row r="1933" spans="1:6" ht="16.5" hidden="1" customHeight="1" thickBot="1" x14ac:dyDescent="0.35">
      <c r="A1933" s="13" t="s">
        <v>22</v>
      </c>
      <c r="B1933" s="12">
        <v>2</v>
      </c>
      <c r="C1933" s="2">
        <v>0.77110000000000001</v>
      </c>
      <c r="D1933" s="2">
        <v>0.18310000000000001</v>
      </c>
      <c r="E1933" s="2">
        <v>4.21</v>
      </c>
      <c r="F1933" s="2" t="s">
        <v>482</v>
      </c>
    </row>
    <row r="1934" spans="1:6" ht="16.5" hidden="1" customHeight="1" thickBot="1" x14ac:dyDescent="0.35">
      <c r="A1934" s="13" t="s">
        <v>22</v>
      </c>
      <c r="B1934" s="12">
        <v>3</v>
      </c>
      <c r="C1934" s="2">
        <v>0.87260000000000004</v>
      </c>
      <c r="D1934" s="2">
        <v>0.18490000000000001</v>
      </c>
      <c r="E1934" s="2">
        <v>4.72</v>
      </c>
      <c r="F1934" s="2" t="s">
        <v>482</v>
      </c>
    </row>
    <row r="1935" spans="1:6" ht="16.5" hidden="1" customHeight="1" x14ac:dyDescent="0.3">
      <c r="A1935" s="14" t="s">
        <v>22</v>
      </c>
      <c r="B1935" s="15">
        <v>4</v>
      </c>
      <c r="C1935" s="2">
        <v>0.89039999999999997</v>
      </c>
      <c r="D1935" s="2">
        <v>0.18049999999999999</v>
      </c>
      <c r="E1935" s="2">
        <v>4.93</v>
      </c>
      <c r="F1935" s="2" t="s">
        <v>482</v>
      </c>
    </row>
    <row r="1936" spans="1:6" ht="17.25" hidden="1" customHeight="1" thickBot="1" x14ac:dyDescent="0.3"/>
    <row r="1937" spans="1:9" ht="17.25" hidden="1" customHeight="1" x14ac:dyDescent="0.3">
      <c r="A1937" s="24" t="s">
        <v>496</v>
      </c>
      <c r="B1937" s="26"/>
      <c r="C1937" s="26"/>
      <c r="D1937" s="26"/>
      <c r="H1937">
        <f>F1937</f>
        <v>0</v>
      </c>
    </row>
    <row r="1938" spans="1:9" ht="17.25" hidden="1" customHeight="1" x14ac:dyDescent="0.3">
      <c r="A1938" s="6" t="s">
        <v>486</v>
      </c>
      <c r="B1938" s="3" t="s">
        <v>497</v>
      </c>
      <c r="C1938" s="27" t="s">
        <v>91</v>
      </c>
      <c r="D1938" s="27"/>
      <c r="H1938">
        <f t="shared" ref="H1938:H1939" si="66">F1938</f>
        <v>0</v>
      </c>
    </row>
    <row r="1939" spans="1:9" ht="16.5" hidden="1" customHeight="1" x14ac:dyDescent="0.3">
      <c r="A1939" s="25" t="s">
        <v>582</v>
      </c>
      <c r="B1939" s="27"/>
      <c r="C1939" s="27"/>
      <c r="D1939" s="27"/>
      <c r="H1939">
        <f t="shared" si="66"/>
        <v>0</v>
      </c>
    </row>
    <row r="1940" spans="1:9" ht="16.5" hidden="1" customHeight="1" thickBot="1" x14ac:dyDescent="0.35">
      <c r="A1940" s="13" t="s">
        <v>499</v>
      </c>
      <c r="B1940" s="2">
        <v>2.1619999999999999</v>
      </c>
      <c r="C1940" s="2">
        <v>1.51</v>
      </c>
      <c r="D1940" s="2">
        <v>3.0960000000000001</v>
      </c>
    </row>
    <row r="1941" spans="1:9" ht="16.5" hidden="1" customHeight="1" thickBot="1" x14ac:dyDescent="0.35">
      <c r="A1941" s="13" t="s">
        <v>500</v>
      </c>
      <c r="B1941" s="2">
        <v>2.3929999999999998</v>
      </c>
      <c r="C1941" s="2">
        <v>1.665</v>
      </c>
      <c r="D1941" s="2">
        <v>3.4390000000000001</v>
      </c>
    </row>
    <row r="1942" spans="1:9" ht="33" hidden="1" customHeight="1" thickBot="1" x14ac:dyDescent="0.35">
      <c r="A1942" s="14" t="s">
        <v>501</v>
      </c>
      <c r="B1942" s="2">
        <v>2.4359999999999999</v>
      </c>
      <c r="C1942" s="2">
        <v>1.71</v>
      </c>
      <c r="D1942" s="2">
        <v>3.47</v>
      </c>
    </row>
    <row r="1943" spans="1:9" ht="49.5" hidden="1" customHeight="1" thickBot="1" x14ac:dyDescent="0.3"/>
    <row r="1944" spans="1:9" ht="33" customHeight="1" x14ac:dyDescent="0.3">
      <c r="A1944" s="24" t="s">
        <v>502</v>
      </c>
      <c r="B1944" s="26"/>
      <c r="C1944" s="26"/>
      <c r="D1944" s="26"/>
      <c r="H1944" s="8" t="str">
        <f t="shared" ref="H1944:H1946" si="67">TEXT(B1944,"0.00")&amp;" ("&amp;TEXT(C1944,"0.00")&amp;" to "&amp;TEXT(D1944,"0.00")&amp;")"</f>
        <v>0.00 (0.00 to 0.00)</v>
      </c>
      <c r="I1944">
        <f t="shared" ref="I1944:I1946" si="68">F1937</f>
        <v>0</v>
      </c>
    </row>
    <row r="1945" spans="1:9" ht="26.25" customHeight="1" thickBot="1" x14ac:dyDescent="0.35">
      <c r="A1945" s="13" t="s">
        <v>503</v>
      </c>
      <c r="B1945" s="2">
        <v>34.4</v>
      </c>
      <c r="C1945" s="12" t="s">
        <v>504</v>
      </c>
      <c r="D1945" s="2">
        <v>0.1</v>
      </c>
      <c r="H1945" s="8" t="str">
        <f t="shared" si="67"/>
        <v>34.40 (Somers' D to 0.10)</v>
      </c>
      <c r="I1945">
        <f t="shared" si="68"/>
        <v>0</v>
      </c>
    </row>
    <row r="1946" spans="1:9" ht="25.5" customHeight="1" thickBot="1" x14ac:dyDescent="0.35">
      <c r="A1946" s="13" t="s">
        <v>505</v>
      </c>
      <c r="B1946" s="2">
        <v>24.4</v>
      </c>
      <c r="C1946" s="12" t="s">
        <v>506</v>
      </c>
      <c r="D1946" s="2">
        <v>0.17</v>
      </c>
      <c r="H1946" s="8" t="str">
        <f t="shared" si="67"/>
        <v>24.40 (Gamma to 0.17)</v>
      </c>
      <c r="I1946">
        <f t="shared" si="68"/>
        <v>0</v>
      </c>
    </row>
    <row r="1947" spans="1:9" ht="16.5" hidden="1" customHeight="1" thickBot="1" x14ac:dyDescent="0.35">
      <c r="A1947" s="13" t="s">
        <v>507</v>
      </c>
      <c r="B1947" s="2">
        <v>41.2</v>
      </c>
      <c r="C1947" s="12" t="s">
        <v>508</v>
      </c>
      <c r="D1947" s="2">
        <v>3.0000000000000001E-3</v>
      </c>
    </row>
    <row r="1948" spans="1:9" ht="33" hidden="1" customHeight="1" x14ac:dyDescent="0.3">
      <c r="A1948" s="14" t="s">
        <v>509</v>
      </c>
      <c r="B1948" s="2">
        <v>15968336</v>
      </c>
      <c r="C1948" s="15" t="s">
        <v>510</v>
      </c>
      <c r="D1948" s="2">
        <v>0.55000000000000004</v>
      </c>
    </row>
    <row r="1949" spans="1:9" ht="39" hidden="1" customHeight="1" x14ac:dyDescent="0.3"/>
    <row r="1950" spans="1:9" ht="26.25" hidden="1" customHeight="1" x14ac:dyDescent="0.3"/>
    <row r="1951" spans="1:9" ht="26.25" hidden="1" customHeight="1" x14ac:dyDescent="0.3"/>
    <row r="1952" spans="1:9" ht="16.5" hidden="1" customHeight="1" x14ac:dyDescent="0.3">
      <c r="A1952" s="1" t="s">
        <v>436</v>
      </c>
    </row>
    <row r="1953" spans="1:2" ht="16.5" hidden="1" customHeight="1" x14ac:dyDescent="0.3"/>
    <row r="1954" spans="1:2" ht="16.5" hidden="1" customHeight="1" x14ac:dyDescent="0.3">
      <c r="A1954" s="1" t="s">
        <v>417</v>
      </c>
    </row>
    <row r="1955" spans="1:2" ht="16.5" hidden="1" customHeight="1" thickBot="1" x14ac:dyDescent="0.3"/>
    <row r="1956" spans="1:2" ht="16.5" hidden="1" customHeight="1" x14ac:dyDescent="0.3">
      <c r="A1956" s="24" t="s">
        <v>437</v>
      </c>
      <c r="B1956" s="26"/>
    </row>
    <row r="1957" spans="1:2" ht="16.5" hidden="1" customHeight="1" thickBot="1" x14ac:dyDescent="0.35">
      <c r="A1957" s="13" t="s">
        <v>438</v>
      </c>
      <c r="B1957" s="18" t="s">
        <v>439</v>
      </c>
    </row>
    <row r="1958" spans="1:2" ht="16.5" hidden="1" customHeight="1" thickBot="1" x14ac:dyDescent="0.35">
      <c r="A1958" s="13" t="s">
        <v>440</v>
      </c>
      <c r="B1958" s="18" t="s">
        <v>19</v>
      </c>
    </row>
    <row r="1959" spans="1:2" ht="16.5" hidden="1" customHeight="1" thickBot="1" x14ac:dyDescent="0.35">
      <c r="A1959" s="13" t="s">
        <v>441</v>
      </c>
      <c r="B1959" s="18">
        <v>2</v>
      </c>
    </row>
    <row r="1960" spans="1:2" ht="16.5" hidden="1" customHeight="1" thickBot="1" x14ac:dyDescent="0.35">
      <c r="A1960" s="13" t="s">
        <v>442</v>
      </c>
      <c r="B1960" s="18" t="s">
        <v>443</v>
      </c>
    </row>
    <row r="1961" spans="1:2" ht="26.25" hidden="1" customHeight="1" thickBot="1" x14ac:dyDescent="0.35">
      <c r="A1961" s="13" t="s">
        <v>76</v>
      </c>
      <c r="B1961" s="18">
        <v>183</v>
      </c>
    </row>
    <row r="1962" spans="1:2" ht="26.25" hidden="1" customHeight="1" thickBot="1" x14ac:dyDescent="0.35">
      <c r="A1962" s="13" t="s">
        <v>444</v>
      </c>
      <c r="B1962" s="18" t="s">
        <v>445</v>
      </c>
    </row>
    <row r="1963" spans="1:2" ht="39" hidden="1" customHeight="1" thickBot="1" x14ac:dyDescent="0.35">
      <c r="A1963" s="13" t="s">
        <v>77</v>
      </c>
      <c r="B1963" s="18">
        <v>2901</v>
      </c>
    </row>
    <row r="1964" spans="1:2" ht="26.25" hidden="1" customHeight="1" thickBot="1" x14ac:dyDescent="0.35">
      <c r="A1964" s="13" t="s">
        <v>446</v>
      </c>
      <c r="B1964" s="18" t="s">
        <v>447</v>
      </c>
    </row>
    <row r="1965" spans="1:2" ht="26.25" hidden="1" customHeight="1" thickBot="1" x14ac:dyDescent="0.35">
      <c r="A1965" s="13" t="s">
        <v>448</v>
      </c>
      <c r="B1965" s="18" t="s">
        <v>449</v>
      </c>
    </row>
    <row r="1966" spans="1:2" ht="26.25" hidden="1" customHeight="1" thickBot="1" x14ac:dyDescent="0.35">
      <c r="A1966" s="13" t="s">
        <v>450</v>
      </c>
      <c r="B1966" s="18" t="s">
        <v>451</v>
      </c>
    </row>
    <row r="1967" spans="1:2" ht="26.25" hidden="1" customHeight="1" x14ac:dyDescent="0.3">
      <c r="A1967" s="14" t="s">
        <v>452</v>
      </c>
      <c r="B1967" s="19" t="s">
        <v>453</v>
      </c>
    </row>
    <row r="1968" spans="1:2" ht="26.25" hidden="1" customHeight="1" thickBot="1" x14ac:dyDescent="0.3"/>
    <row r="1969" spans="1:4" ht="26.25" hidden="1" customHeight="1" x14ac:dyDescent="0.3">
      <c r="A1969" s="24" t="s">
        <v>80</v>
      </c>
      <c r="B1969" s="26"/>
    </row>
    <row r="1970" spans="1:4" ht="39" hidden="1" customHeight="1" thickBot="1" x14ac:dyDescent="0.35">
      <c r="A1970" s="13" t="s">
        <v>81</v>
      </c>
      <c r="B1970" s="2" t="s">
        <v>82</v>
      </c>
    </row>
    <row r="1971" spans="1:4" ht="38.25" hidden="1" customHeight="1" x14ac:dyDescent="0.3">
      <c r="A1971" s="14" t="s">
        <v>452</v>
      </c>
      <c r="B1971" s="2" t="s">
        <v>453</v>
      </c>
    </row>
    <row r="1972" spans="1:4" ht="16.5" hidden="1" customHeight="1" thickBot="1" x14ac:dyDescent="0.3"/>
    <row r="1973" spans="1:4" ht="33" hidden="1" customHeight="1" thickBot="1" x14ac:dyDescent="0.35">
      <c r="A1973" s="20" t="s">
        <v>454</v>
      </c>
      <c r="B1973" s="21">
        <v>12549</v>
      </c>
    </row>
    <row r="1974" spans="1:4" ht="33.75" hidden="1" customHeight="1" thickBot="1" x14ac:dyDescent="0.35">
      <c r="A1974" s="13" t="s">
        <v>455</v>
      </c>
      <c r="B1974" s="2">
        <v>12549</v>
      </c>
    </row>
    <row r="1975" spans="1:4" ht="66" hidden="1" customHeight="1" thickBot="1" x14ac:dyDescent="0.35">
      <c r="A1975" s="13" t="s">
        <v>456</v>
      </c>
      <c r="B1975" s="2">
        <v>4941337</v>
      </c>
    </row>
    <row r="1976" spans="1:4" ht="16.5" hidden="1" customHeight="1" x14ac:dyDescent="0.3">
      <c r="A1976" s="14" t="s">
        <v>457</v>
      </c>
      <c r="B1976" s="2">
        <v>4941337</v>
      </c>
    </row>
    <row r="1977" spans="1:4" ht="39" hidden="1" customHeight="1" thickBot="1" x14ac:dyDescent="0.3"/>
    <row r="1978" spans="1:4" ht="39" hidden="1" customHeight="1" x14ac:dyDescent="0.3">
      <c r="A1978" s="24" t="s">
        <v>458</v>
      </c>
      <c r="B1978" s="26"/>
      <c r="C1978" s="26"/>
      <c r="D1978" s="26"/>
    </row>
    <row r="1979" spans="1:4" ht="39" hidden="1" customHeight="1" x14ac:dyDescent="0.3">
      <c r="A1979" s="6" t="s">
        <v>459</v>
      </c>
      <c r="B1979" s="27" t="s">
        <v>19</v>
      </c>
      <c r="C1979" s="3" t="s">
        <v>93</v>
      </c>
      <c r="D1979" s="3" t="s">
        <v>93</v>
      </c>
    </row>
    <row r="1980" spans="1:4" ht="38.25" hidden="1" customHeight="1" x14ac:dyDescent="0.3">
      <c r="A1980" s="6" t="s">
        <v>460</v>
      </c>
      <c r="B1980" s="27"/>
      <c r="C1980" s="3" t="s">
        <v>86</v>
      </c>
      <c r="D1980" s="3" t="s">
        <v>461</v>
      </c>
    </row>
    <row r="1981" spans="1:4" ht="16.5" hidden="1" customHeight="1" thickBot="1" x14ac:dyDescent="0.35">
      <c r="A1981" s="6">
        <v>1</v>
      </c>
      <c r="B1981" s="17">
        <v>0</v>
      </c>
      <c r="C1981" s="2">
        <v>12007</v>
      </c>
      <c r="D1981" s="2">
        <v>4775169</v>
      </c>
    </row>
    <row r="1982" spans="1:4" ht="16.5" hidden="1" customHeight="1" x14ac:dyDescent="0.3">
      <c r="A1982" s="6">
        <v>2</v>
      </c>
      <c r="B1982" s="22">
        <v>1</v>
      </c>
      <c r="C1982" s="2">
        <v>542</v>
      </c>
      <c r="D1982" s="2">
        <v>166168</v>
      </c>
    </row>
    <row r="1983" spans="1:4" ht="16.5" hidden="1" customHeight="1" x14ac:dyDescent="0.3"/>
    <row r="1984" spans="1:4" ht="33" hidden="1" customHeight="1" x14ac:dyDescent="0.3">
      <c r="A1984" s="1" t="s">
        <v>513</v>
      </c>
    </row>
    <row r="1985" spans="1:5" ht="17.25" hidden="1" customHeight="1" thickBot="1" x14ac:dyDescent="0.3"/>
    <row r="1986" spans="1:5" ht="16.5" hidden="1" customHeight="1" x14ac:dyDescent="0.3">
      <c r="A1986" s="24" t="s">
        <v>462</v>
      </c>
      <c r="B1986" s="26"/>
      <c r="C1986" s="26"/>
      <c r="D1986" s="26"/>
      <c r="E1986" s="26"/>
    </row>
    <row r="1987" spans="1:5" ht="16.5" hidden="1" customHeight="1" x14ac:dyDescent="0.3">
      <c r="A1987" s="6" t="s">
        <v>463</v>
      </c>
      <c r="B1987" s="3" t="s">
        <v>460</v>
      </c>
      <c r="C1987" s="27" t="s">
        <v>464</v>
      </c>
      <c r="D1987" s="27"/>
      <c r="E1987" s="27"/>
    </row>
    <row r="1988" spans="1:5" ht="16.5" hidden="1" customHeight="1" thickBot="1" x14ac:dyDescent="0.35">
      <c r="A1988" s="13" t="s">
        <v>22</v>
      </c>
      <c r="B1988" s="12">
        <v>1</v>
      </c>
      <c r="C1988" s="2">
        <v>0</v>
      </c>
      <c r="D1988" s="2">
        <v>0</v>
      </c>
      <c r="E1988" s="2">
        <v>0</v>
      </c>
    </row>
    <row r="1989" spans="1:5" ht="16.5" hidden="1" customHeight="1" thickBot="1" x14ac:dyDescent="0.35">
      <c r="A1989" s="13"/>
      <c r="B1989" s="12">
        <v>2</v>
      </c>
      <c r="C1989" s="2">
        <v>1</v>
      </c>
      <c r="D1989" s="2">
        <v>0</v>
      </c>
      <c r="E1989" s="2">
        <v>0</v>
      </c>
    </row>
    <row r="1990" spans="1:5" ht="16.5" hidden="1" customHeight="1" thickBot="1" x14ac:dyDescent="0.35">
      <c r="A1990" s="13"/>
      <c r="B1990" s="12">
        <v>3</v>
      </c>
      <c r="C1990" s="2">
        <v>0</v>
      </c>
      <c r="D1990" s="2">
        <v>1</v>
      </c>
      <c r="E1990" s="2">
        <v>0</v>
      </c>
    </row>
    <row r="1991" spans="1:5" ht="16.5" hidden="1" customHeight="1" x14ac:dyDescent="0.3">
      <c r="A1991" s="14"/>
      <c r="B1991" s="15">
        <v>4</v>
      </c>
      <c r="C1991" s="2">
        <v>0</v>
      </c>
      <c r="D1991" s="2">
        <v>0</v>
      </c>
      <c r="E1991" s="2">
        <v>1</v>
      </c>
    </row>
    <row r="1992" spans="1:5" ht="17.25" hidden="1" customHeight="1" thickBot="1" x14ac:dyDescent="0.3"/>
    <row r="1993" spans="1:5" ht="17.25" hidden="1" customHeight="1" x14ac:dyDescent="0.3">
      <c r="A1993" s="4" t="s">
        <v>465</v>
      </c>
    </row>
    <row r="1994" spans="1:5" ht="17.25" hidden="1" customHeight="1" x14ac:dyDescent="0.3">
      <c r="A1994" s="23" t="s">
        <v>466</v>
      </c>
    </row>
    <row r="1995" spans="1:5" ht="16.5" hidden="1" customHeight="1" thickBot="1" x14ac:dyDescent="0.3"/>
    <row r="1996" spans="1:5" ht="16.5" hidden="1" customHeight="1" x14ac:dyDescent="0.3">
      <c r="A1996" s="24" t="s">
        <v>467</v>
      </c>
      <c r="B1996" s="26"/>
      <c r="C1996" s="26"/>
    </row>
    <row r="1997" spans="1:5" ht="66" hidden="1" customHeight="1" x14ac:dyDescent="0.3">
      <c r="A1997" s="6" t="s">
        <v>468</v>
      </c>
      <c r="B1997" s="3" t="s">
        <v>469</v>
      </c>
      <c r="C1997" s="3" t="s">
        <v>470</v>
      </c>
    </row>
    <row r="1998" spans="1:5" ht="99" hidden="1" customHeight="1" thickBot="1" x14ac:dyDescent="0.35">
      <c r="A1998" s="13" t="s">
        <v>471</v>
      </c>
      <c r="B1998" s="2">
        <v>1454100.1</v>
      </c>
      <c r="C1998" s="2">
        <v>1449668.5</v>
      </c>
    </row>
    <row r="1999" spans="1:5" ht="16.5" hidden="1" customHeight="1" thickBot="1" x14ac:dyDescent="0.35">
      <c r="A1999" s="13" t="s">
        <v>472</v>
      </c>
      <c r="B1999" s="2">
        <v>1454113.5</v>
      </c>
      <c r="C1999" s="2">
        <v>1449722.2</v>
      </c>
    </row>
    <row r="2000" spans="1:5" ht="16.5" hidden="1" customHeight="1" x14ac:dyDescent="0.3">
      <c r="A2000" s="14" t="s">
        <v>473</v>
      </c>
      <c r="B2000" s="2" t="s">
        <v>641</v>
      </c>
      <c r="C2000" s="2">
        <v>1449660.5</v>
      </c>
    </row>
    <row r="2001" spans="1:6" ht="66" hidden="1" customHeight="1" thickBot="1" x14ac:dyDescent="0.3"/>
    <row r="2002" spans="1:6" ht="17.25" hidden="1" customHeight="1" x14ac:dyDescent="0.3">
      <c r="A2002" s="24" t="s">
        <v>474</v>
      </c>
      <c r="B2002" s="26"/>
      <c r="C2002" s="26"/>
      <c r="D2002" s="26"/>
      <c r="E2002" s="26"/>
    </row>
    <row r="2003" spans="1:6" ht="17.25" hidden="1" customHeight="1" x14ac:dyDescent="0.3">
      <c r="A2003" s="6" t="s">
        <v>475</v>
      </c>
      <c r="B2003" s="3" t="s">
        <v>476</v>
      </c>
      <c r="C2003" s="3" t="s">
        <v>477</v>
      </c>
      <c r="D2003" s="3" t="s">
        <v>478</v>
      </c>
      <c r="E2003" s="3" t="s">
        <v>479</v>
      </c>
    </row>
    <row r="2004" spans="1:6" ht="16.5" hidden="1" customHeight="1" x14ac:dyDescent="0.3">
      <c r="A2004" s="25" t="s">
        <v>516</v>
      </c>
      <c r="B2004" s="27"/>
      <c r="C2004" s="27"/>
      <c r="D2004" s="27"/>
      <c r="E2004" s="27"/>
    </row>
    <row r="2005" spans="1:6" ht="16.5" hidden="1" customHeight="1" thickBot="1" x14ac:dyDescent="0.35">
      <c r="A2005" s="13" t="s">
        <v>481</v>
      </c>
      <c r="B2005" s="2">
        <v>3.75</v>
      </c>
      <c r="C2005" s="2">
        <v>2.9975999999999998</v>
      </c>
      <c r="D2005" s="2">
        <v>8147.48</v>
      </c>
      <c r="E2005" s="2">
        <v>1.04E-2</v>
      </c>
    </row>
    <row r="2006" spans="1:6" ht="16.5" hidden="1" customHeight="1" thickBot="1" x14ac:dyDescent="0.35">
      <c r="A2006" s="13" t="s">
        <v>483</v>
      </c>
      <c r="B2006" s="2">
        <v>3.7</v>
      </c>
      <c r="C2006" s="2">
        <v>3</v>
      </c>
      <c r="D2006" s="2">
        <v>2716</v>
      </c>
      <c r="E2006" s="2">
        <v>1.1299999999999999E-2</v>
      </c>
    </row>
    <row r="2007" spans="1:6" ht="16.5" hidden="1" customHeight="1" x14ac:dyDescent="0.3">
      <c r="A2007" s="14" t="s">
        <v>484</v>
      </c>
      <c r="B2007" s="2">
        <v>3.43</v>
      </c>
      <c r="C2007" s="2">
        <v>3</v>
      </c>
      <c r="D2007" s="2">
        <v>2716</v>
      </c>
      <c r="E2007" s="2">
        <v>1.6500000000000001E-2</v>
      </c>
    </row>
    <row r="2008" spans="1:6" ht="33" hidden="1" customHeight="1" thickBot="1" x14ac:dyDescent="0.3"/>
    <row r="2009" spans="1:6" ht="26.25" hidden="1" customHeight="1" x14ac:dyDescent="0.3">
      <c r="A2009" s="24" t="s">
        <v>485</v>
      </c>
      <c r="B2009" s="26"/>
      <c r="C2009" s="26"/>
      <c r="D2009" s="26"/>
      <c r="E2009" s="26"/>
    </row>
    <row r="2010" spans="1:6" ht="17.25" hidden="1" customHeight="1" x14ac:dyDescent="0.3">
      <c r="A2010" s="6" t="s">
        <v>486</v>
      </c>
      <c r="B2010" s="3" t="s">
        <v>476</v>
      </c>
      <c r="C2010" s="3" t="s">
        <v>477</v>
      </c>
      <c r="D2010" s="3" t="s">
        <v>478</v>
      </c>
      <c r="E2010" s="3" t="s">
        <v>479</v>
      </c>
    </row>
    <row r="2011" spans="1:6" ht="16.5" hidden="1" customHeight="1" x14ac:dyDescent="0.3">
      <c r="A2011" s="14" t="s">
        <v>22</v>
      </c>
      <c r="B2011" s="2">
        <v>3.43</v>
      </c>
      <c r="C2011" s="2">
        <v>3</v>
      </c>
      <c r="D2011" s="2">
        <v>2716</v>
      </c>
      <c r="E2011" s="2">
        <v>1.6500000000000001E-2</v>
      </c>
    </row>
    <row r="2012" spans="1:6" ht="16.5" hidden="1" customHeight="1" thickBot="1" x14ac:dyDescent="0.3"/>
    <row r="2013" spans="1:6" ht="16.5" hidden="1" customHeight="1" x14ac:dyDescent="0.3">
      <c r="A2013" s="24" t="s">
        <v>487</v>
      </c>
      <c r="B2013" s="26"/>
      <c r="C2013" s="26"/>
      <c r="D2013" s="26"/>
      <c r="E2013" s="26"/>
      <c r="F2013" s="26"/>
    </row>
    <row r="2014" spans="1:6" ht="16.5" hidden="1" customHeight="1" x14ac:dyDescent="0.3">
      <c r="A2014" s="25" t="s">
        <v>488</v>
      </c>
      <c r="B2014" s="27"/>
      <c r="C2014" s="27" t="s">
        <v>489</v>
      </c>
      <c r="D2014" s="3" t="s">
        <v>490</v>
      </c>
      <c r="E2014" s="27" t="s">
        <v>492</v>
      </c>
      <c r="F2014" s="27" t="s">
        <v>493</v>
      </c>
    </row>
    <row r="2015" spans="1:6" ht="16.5" hidden="1" customHeight="1" x14ac:dyDescent="0.3">
      <c r="A2015" s="25"/>
      <c r="B2015" s="27"/>
      <c r="C2015" s="27"/>
      <c r="D2015" s="3" t="s">
        <v>491</v>
      </c>
      <c r="E2015" s="27"/>
      <c r="F2015" s="27"/>
    </row>
    <row r="2016" spans="1:6" ht="16.5" hidden="1" customHeight="1" x14ac:dyDescent="0.3">
      <c r="A2016" s="25" t="s">
        <v>583</v>
      </c>
      <c r="B2016" s="27"/>
      <c r="C2016" s="27"/>
      <c r="D2016" s="27"/>
      <c r="E2016" s="27"/>
      <c r="F2016" s="27"/>
    </row>
    <row r="2017" spans="1:9" ht="16.5" hidden="1" customHeight="1" thickBot="1" x14ac:dyDescent="0.35">
      <c r="A2017" s="13" t="s">
        <v>495</v>
      </c>
      <c r="B2017" s="12"/>
      <c r="C2017" s="16">
        <v>-3.5550000000000002</v>
      </c>
      <c r="D2017" s="2">
        <v>0.1331</v>
      </c>
      <c r="E2017" s="16">
        <v>-26.72</v>
      </c>
      <c r="F2017" s="2" t="s">
        <v>482</v>
      </c>
    </row>
    <row r="2018" spans="1:9" ht="16.5" hidden="1" customHeight="1" thickBot="1" x14ac:dyDescent="0.35">
      <c r="A2018" s="13" t="s">
        <v>22</v>
      </c>
      <c r="B2018" s="12">
        <v>2</v>
      </c>
      <c r="C2018" s="16">
        <v>-2.3300000000000001E-2</v>
      </c>
      <c r="D2018" s="2">
        <v>0.17269999999999999</v>
      </c>
      <c r="E2018" s="16">
        <v>-0.14000000000000001</v>
      </c>
      <c r="F2018" s="2">
        <v>0.89259999999999995</v>
      </c>
    </row>
    <row r="2019" spans="1:9" ht="16.5" hidden="1" customHeight="1" thickBot="1" x14ac:dyDescent="0.35">
      <c r="A2019" s="13" t="s">
        <v>22</v>
      </c>
      <c r="B2019" s="12">
        <v>3</v>
      </c>
      <c r="C2019" s="2">
        <v>0.30520000000000003</v>
      </c>
      <c r="D2019" s="2">
        <v>0.1643</v>
      </c>
      <c r="E2019" s="2">
        <v>1.86</v>
      </c>
      <c r="F2019" s="2">
        <v>6.3399999999999998E-2</v>
      </c>
    </row>
    <row r="2020" spans="1:9" ht="16.5" hidden="1" customHeight="1" x14ac:dyDescent="0.3">
      <c r="A2020" s="14" t="s">
        <v>22</v>
      </c>
      <c r="B2020" s="15">
        <v>4</v>
      </c>
      <c r="C2020" s="2">
        <v>0.34789999999999999</v>
      </c>
      <c r="D2020" s="2">
        <v>0.1603</v>
      </c>
      <c r="E2020" s="2">
        <v>2.17</v>
      </c>
      <c r="F2020" s="2">
        <v>3.0099999999999998E-2</v>
      </c>
    </row>
    <row r="2021" spans="1:9" ht="17.25" hidden="1" customHeight="1" thickBot="1" x14ac:dyDescent="0.3"/>
    <row r="2022" spans="1:9" ht="17.25" hidden="1" customHeight="1" x14ac:dyDescent="0.3">
      <c r="A2022" s="24" t="s">
        <v>496</v>
      </c>
      <c r="B2022" s="26"/>
      <c r="C2022" s="26"/>
      <c r="D2022" s="26"/>
      <c r="H2022">
        <f>F2022</f>
        <v>0</v>
      </c>
    </row>
    <row r="2023" spans="1:9" ht="17.25" hidden="1" customHeight="1" x14ac:dyDescent="0.3">
      <c r="A2023" s="6" t="s">
        <v>486</v>
      </c>
      <c r="B2023" s="3" t="s">
        <v>497</v>
      </c>
      <c r="C2023" s="27" t="s">
        <v>91</v>
      </c>
      <c r="D2023" s="27"/>
      <c r="H2023">
        <f t="shared" ref="H2023:H2024" si="69">F2023</f>
        <v>0</v>
      </c>
    </row>
    <row r="2024" spans="1:9" ht="16.5" hidden="1" customHeight="1" x14ac:dyDescent="0.3">
      <c r="A2024" s="25" t="s">
        <v>584</v>
      </c>
      <c r="B2024" s="27"/>
      <c r="C2024" s="27"/>
      <c r="D2024" s="27"/>
      <c r="H2024">
        <f t="shared" si="69"/>
        <v>0</v>
      </c>
    </row>
    <row r="2025" spans="1:9" ht="16.5" hidden="1" customHeight="1" thickBot="1" x14ac:dyDescent="0.35">
      <c r="A2025" s="13" t="s">
        <v>499</v>
      </c>
      <c r="B2025" s="2">
        <v>0.97699999999999998</v>
      </c>
      <c r="C2025" s="2">
        <v>0.69599999999999995</v>
      </c>
      <c r="D2025" s="2">
        <v>1.371</v>
      </c>
    </row>
    <row r="2026" spans="1:9" ht="16.5" hidden="1" customHeight="1" thickBot="1" x14ac:dyDescent="0.35">
      <c r="A2026" s="13" t="s">
        <v>500</v>
      </c>
      <c r="B2026" s="2">
        <v>1.357</v>
      </c>
      <c r="C2026" s="2">
        <v>0.98299999999999998</v>
      </c>
      <c r="D2026" s="2">
        <v>1.873</v>
      </c>
    </row>
    <row r="2027" spans="1:9" ht="33" hidden="1" customHeight="1" thickBot="1" x14ac:dyDescent="0.35">
      <c r="A2027" s="14" t="s">
        <v>501</v>
      </c>
      <c r="B2027" s="2">
        <v>1.4159999999999999</v>
      </c>
      <c r="C2027" s="2">
        <v>1.034</v>
      </c>
      <c r="D2027" s="2">
        <v>1.9390000000000001</v>
      </c>
    </row>
    <row r="2028" spans="1:9" ht="49.5" hidden="1" customHeight="1" thickBot="1" x14ac:dyDescent="0.3"/>
    <row r="2029" spans="1:9" ht="33" customHeight="1" x14ac:dyDescent="0.3">
      <c r="A2029" s="24" t="s">
        <v>502</v>
      </c>
      <c r="B2029" s="26"/>
      <c r="C2029" s="26"/>
      <c r="D2029" s="26"/>
      <c r="H2029" s="8" t="str">
        <f t="shared" ref="H2029:H2031" si="70">TEXT(B2029,"0.00")&amp;" ("&amp;TEXT(C2029,"0.00")&amp;" to "&amp;TEXT(D2029,"0.00")&amp;")"</f>
        <v>0.00 (0.00 to 0.00)</v>
      </c>
      <c r="I2029">
        <f t="shared" ref="I2029:I2031" si="71">F2022</f>
        <v>0</v>
      </c>
    </row>
    <row r="2030" spans="1:9" ht="26.25" customHeight="1" thickBot="1" x14ac:dyDescent="0.35">
      <c r="A2030" s="13" t="s">
        <v>503</v>
      </c>
      <c r="B2030" s="2">
        <v>35.799999999999997</v>
      </c>
      <c r="C2030" s="12" t="s">
        <v>504</v>
      </c>
      <c r="D2030" s="2">
        <v>5.6000000000000001E-2</v>
      </c>
      <c r="H2030" s="8" t="str">
        <f t="shared" si="70"/>
        <v>35.80 (Somers' D to 0.06)</v>
      </c>
      <c r="I2030">
        <f t="shared" si="71"/>
        <v>0</v>
      </c>
    </row>
    <row r="2031" spans="1:9" ht="25.5" customHeight="1" thickBot="1" x14ac:dyDescent="0.35">
      <c r="A2031" s="13" t="s">
        <v>505</v>
      </c>
      <c r="B2031" s="2">
        <v>30.3</v>
      </c>
      <c r="C2031" s="12" t="s">
        <v>506</v>
      </c>
      <c r="D2031" s="2">
        <v>8.4000000000000005E-2</v>
      </c>
      <c r="H2031" s="8" t="str">
        <f t="shared" si="70"/>
        <v>30.30 (Gamma to 0.08)</v>
      </c>
      <c r="I2031">
        <f t="shared" si="71"/>
        <v>0</v>
      </c>
    </row>
    <row r="2032" spans="1:9" ht="16.5" hidden="1" customHeight="1" thickBot="1" x14ac:dyDescent="0.35">
      <c r="A2032" s="13" t="s">
        <v>507</v>
      </c>
      <c r="B2032" s="2">
        <v>33.9</v>
      </c>
      <c r="C2032" s="12" t="s">
        <v>508</v>
      </c>
      <c r="D2032" s="2">
        <v>5.0000000000000001E-3</v>
      </c>
    </row>
    <row r="2033" spans="1:4" ht="33" hidden="1" customHeight="1" x14ac:dyDescent="0.3">
      <c r="A2033" s="14" t="s">
        <v>509</v>
      </c>
      <c r="B2033" s="2">
        <v>6507794</v>
      </c>
      <c r="C2033" s="15" t="s">
        <v>510</v>
      </c>
      <c r="D2033" s="2">
        <v>0.52800000000000002</v>
      </c>
    </row>
    <row r="2034" spans="1:4" ht="39" hidden="1" customHeight="1" x14ac:dyDescent="0.3"/>
    <row r="2035" spans="1:4" ht="26.25" hidden="1" customHeight="1" x14ac:dyDescent="0.3"/>
    <row r="2036" spans="1:4" ht="26.25" hidden="1" customHeight="1" x14ac:dyDescent="0.3"/>
    <row r="2037" spans="1:4" ht="16.5" hidden="1" customHeight="1" x14ac:dyDescent="0.3">
      <c r="A2037" s="1" t="s">
        <v>436</v>
      </c>
    </row>
    <row r="2038" spans="1:4" ht="16.5" hidden="1" customHeight="1" x14ac:dyDescent="0.3"/>
    <row r="2039" spans="1:4" ht="16.5" hidden="1" customHeight="1" x14ac:dyDescent="0.3">
      <c r="A2039" s="1" t="s">
        <v>418</v>
      </c>
    </row>
    <row r="2040" spans="1:4" ht="16.5" hidden="1" customHeight="1" thickBot="1" x14ac:dyDescent="0.3"/>
    <row r="2041" spans="1:4" ht="16.5" hidden="1" customHeight="1" x14ac:dyDescent="0.3">
      <c r="A2041" s="24" t="s">
        <v>437</v>
      </c>
      <c r="B2041" s="26"/>
    </row>
    <row r="2042" spans="1:4" ht="16.5" hidden="1" customHeight="1" thickBot="1" x14ac:dyDescent="0.35">
      <c r="A2042" s="13" t="s">
        <v>438</v>
      </c>
      <c r="B2042" s="18" t="s">
        <v>439</v>
      </c>
    </row>
    <row r="2043" spans="1:4" ht="16.5" hidden="1" customHeight="1" thickBot="1" x14ac:dyDescent="0.35">
      <c r="A2043" s="13" t="s">
        <v>440</v>
      </c>
      <c r="B2043" s="18" t="s">
        <v>19</v>
      </c>
    </row>
    <row r="2044" spans="1:4" ht="16.5" hidden="1" customHeight="1" thickBot="1" x14ac:dyDescent="0.35">
      <c r="A2044" s="13" t="s">
        <v>441</v>
      </c>
      <c r="B2044" s="18">
        <v>2</v>
      </c>
    </row>
    <row r="2045" spans="1:4" ht="16.5" hidden="1" customHeight="1" thickBot="1" x14ac:dyDescent="0.35">
      <c r="A2045" s="13" t="s">
        <v>442</v>
      </c>
      <c r="B2045" s="18" t="s">
        <v>443</v>
      </c>
    </row>
    <row r="2046" spans="1:4" ht="26.25" hidden="1" customHeight="1" thickBot="1" x14ac:dyDescent="0.35">
      <c r="A2046" s="13" t="s">
        <v>76</v>
      </c>
      <c r="B2046" s="18">
        <v>183</v>
      </c>
    </row>
    <row r="2047" spans="1:4" ht="26.25" hidden="1" customHeight="1" thickBot="1" x14ac:dyDescent="0.35">
      <c r="A2047" s="13" t="s">
        <v>444</v>
      </c>
      <c r="B2047" s="18" t="s">
        <v>445</v>
      </c>
    </row>
    <row r="2048" spans="1:4" ht="39" hidden="1" customHeight="1" thickBot="1" x14ac:dyDescent="0.35">
      <c r="A2048" s="13" t="s">
        <v>77</v>
      </c>
      <c r="B2048" s="18">
        <v>2959</v>
      </c>
    </row>
    <row r="2049" spans="1:4" ht="26.25" hidden="1" customHeight="1" thickBot="1" x14ac:dyDescent="0.35">
      <c r="A2049" s="13" t="s">
        <v>446</v>
      </c>
      <c r="B2049" s="18" t="s">
        <v>447</v>
      </c>
    </row>
    <row r="2050" spans="1:4" ht="26.25" hidden="1" customHeight="1" thickBot="1" x14ac:dyDescent="0.35">
      <c r="A2050" s="13" t="s">
        <v>448</v>
      </c>
      <c r="B2050" s="18" t="s">
        <v>449</v>
      </c>
    </row>
    <row r="2051" spans="1:4" ht="26.25" hidden="1" customHeight="1" thickBot="1" x14ac:dyDescent="0.35">
      <c r="A2051" s="13" t="s">
        <v>450</v>
      </c>
      <c r="B2051" s="18" t="s">
        <v>451</v>
      </c>
    </row>
    <row r="2052" spans="1:4" ht="26.25" hidden="1" customHeight="1" x14ac:dyDescent="0.3">
      <c r="A2052" s="14" t="s">
        <v>452</v>
      </c>
      <c r="B2052" s="19" t="s">
        <v>453</v>
      </c>
    </row>
    <row r="2053" spans="1:4" ht="26.25" hidden="1" customHeight="1" thickBot="1" x14ac:dyDescent="0.3"/>
    <row r="2054" spans="1:4" ht="26.25" hidden="1" customHeight="1" x14ac:dyDescent="0.3">
      <c r="A2054" s="24" t="s">
        <v>80</v>
      </c>
      <c r="B2054" s="26"/>
    </row>
    <row r="2055" spans="1:4" ht="39" hidden="1" customHeight="1" thickBot="1" x14ac:dyDescent="0.35">
      <c r="A2055" s="13" t="s">
        <v>81</v>
      </c>
      <c r="B2055" s="2" t="s">
        <v>82</v>
      </c>
    </row>
    <row r="2056" spans="1:4" ht="38.25" hidden="1" customHeight="1" x14ac:dyDescent="0.3">
      <c r="A2056" s="14" t="s">
        <v>452</v>
      </c>
      <c r="B2056" s="2" t="s">
        <v>453</v>
      </c>
    </row>
    <row r="2057" spans="1:4" ht="16.5" hidden="1" customHeight="1" thickBot="1" x14ac:dyDescent="0.3"/>
    <row r="2058" spans="1:4" ht="33" hidden="1" customHeight="1" thickBot="1" x14ac:dyDescent="0.35">
      <c r="A2058" s="20" t="s">
        <v>454</v>
      </c>
      <c r="B2058" s="21">
        <v>18257</v>
      </c>
    </row>
    <row r="2059" spans="1:4" ht="33.75" hidden="1" customHeight="1" thickBot="1" x14ac:dyDescent="0.35">
      <c r="A2059" s="13" t="s">
        <v>455</v>
      </c>
      <c r="B2059" s="2">
        <v>18257</v>
      </c>
    </row>
    <row r="2060" spans="1:4" ht="66" hidden="1" customHeight="1" thickBot="1" x14ac:dyDescent="0.35">
      <c r="A2060" s="13" t="s">
        <v>456</v>
      </c>
      <c r="B2060" s="2">
        <v>8413045</v>
      </c>
    </row>
    <row r="2061" spans="1:4" ht="16.5" hidden="1" customHeight="1" x14ac:dyDescent="0.3">
      <c r="A2061" s="14" t="s">
        <v>457</v>
      </c>
      <c r="B2061" s="2">
        <v>8413045</v>
      </c>
    </row>
    <row r="2062" spans="1:4" ht="39" hidden="1" customHeight="1" thickBot="1" x14ac:dyDescent="0.3"/>
    <row r="2063" spans="1:4" ht="39" hidden="1" customHeight="1" x14ac:dyDescent="0.3">
      <c r="A2063" s="24" t="s">
        <v>458</v>
      </c>
      <c r="B2063" s="26"/>
      <c r="C2063" s="26"/>
      <c r="D2063" s="26"/>
    </row>
    <row r="2064" spans="1:4" ht="39" hidden="1" customHeight="1" x14ac:dyDescent="0.3">
      <c r="A2064" s="6" t="s">
        <v>459</v>
      </c>
      <c r="B2064" s="27" t="s">
        <v>19</v>
      </c>
      <c r="C2064" s="3" t="s">
        <v>93</v>
      </c>
      <c r="D2064" s="3" t="s">
        <v>93</v>
      </c>
    </row>
    <row r="2065" spans="1:5" ht="38.25" hidden="1" customHeight="1" x14ac:dyDescent="0.3">
      <c r="A2065" s="6" t="s">
        <v>460</v>
      </c>
      <c r="B2065" s="27"/>
      <c r="C2065" s="3" t="s">
        <v>86</v>
      </c>
      <c r="D2065" s="3" t="s">
        <v>461</v>
      </c>
    </row>
    <row r="2066" spans="1:5" ht="16.5" hidden="1" customHeight="1" thickBot="1" x14ac:dyDescent="0.35">
      <c r="A2066" s="6">
        <v>1</v>
      </c>
      <c r="B2066" s="17">
        <v>0</v>
      </c>
      <c r="C2066" s="2">
        <v>17958</v>
      </c>
      <c r="D2066" s="2">
        <v>8314089.2000000002</v>
      </c>
    </row>
    <row r="2067" spans="1:5" ht="16.5" hidden="1" customHeight="1" x14ac:dyDescent="0.3">
      <c r="A2067" s="6">
        <v>2</v>
      </c>
      <c r="B2067" s="22">
        <v>1</v>
      </c>
      <c r="C2067" s="2">
        <v>299</v>
      </c>
      <c r="D2067" s="2">
        <v>98956.3</v>
      </c>
    </row>
    <row r="2068" spans="1:5" ht="16.5" hidden="1" customHeight="1" x14ac:dyDescent="0.3"/>
    <row r="2069" spans="1:5" ht="33" hidden="1" customHeight="1" x14ac:dyDescent="0.3">
      <c r="A2069" s="1" t="s">
        <v>513</v>
      </c>
    </row>
    <row r="2070" spans="1:5" ht="17.25" hidden="1" customHeight="1" thickBot="1" x14ac:dyDescent="0.3"/>
    <row r="2071" spans="1:5" ht="16.5" hidden="1" customHeight="1" x14ac:dyDescent="0.3">
      <c r="A2071" s="24" t="s">
        <v>462</v>
      </c>
      <c r="B2071" s="26"/>
      <c r="C2071" s="26"/>
      <c r="D2071" s="26"/>
      <c r="E2071" s="26"/>
    </row>
    <row r="2072" spans="1:5" ht="16.5" hidden="1" customHeight="1" x14ac:dyDescent="0.3">
      <c r="A2072" s="6" t="s">
        <v>463</v>
      </c>
      <c r="B2072" s="3" t="s">
        <v>460</v>
      </c>
      <c r="C2072" s="27" t="s">
        <v>464</v>
      </c>
      <c r="D2072" s="27"/>
      <c r="E2072" s="27"/>
    </row>
    <row r="2073" spans="1:5" ht="16.5" hidden="1" customHeight="1" thickBot="1" x14ac:dyDescent="0.35">
      <c r="A2073" s="13" t="s">
        <v>22</v>
      </c>
      <c r="B2073" s="12">
        <v>1</v>
      </c>
      <c r="C2073" s="2">
        <v>0</v>
      </c>
      <c r="D2073" s="2">
        <v>0</v>
      </c>
      <c r="E2073" s="2">
        <v>0</v>
      </c>
    </row>
    <row r="2074" spans="1:5" ht="16.5" hidden="1" customHeight="1" thickBot="1" x14ac:dyDescent="0.35">
      <c r="A2074" s="13"/>
      <c r="B2074" s="12">
        <v>2</v>
      </c>
      <c r="C2074" s="2">
        <v>1</v>
      </c>
      <c r="D2074" s="2">
        <v>0</v>
      </c>
      <c r="E2074" s="2">
        <v>0</v>
      </c>
    </row>
    <row r="2075" spans="1:5" ht="16.5" hidden="1" customHeight="1" thickBot="1" x14ac:dyDescent="0.35">
      <c r="A2075" s="13"/>
      <c r="B2075" s="12">
        <v>3</v>
      </c>
      <c r="C2075" s="2">
        <v>0</v>
      </c>
      <c r="D2075" s="2">
        <v>1</v>
      </c>
      <c r="E2075" s="2">
        <v>0</v>
      </c>
    </row>
    <row r="2076" spans="1:5" ht="16.5" hidden="1" customHeight="1" x14ac:dyDescent="0.3">
      <c r="A2076" s="14"/>
      <c r="B2076" s="15">
        <v>4</v>
      </c>
      <c r="C2076" s="2">
        <v>0</v>
      </c>
      <c r="D2076" s="2">
        <v>0</v>
      </c>
      <c r="E2076" s="2">
        <v>1</v>
      </c>
    </row>
    <row r="2077" spans="1:5" ht="17.25" hidden="1" customHeight="1" thickBot="1" x14ac:dyDescent="0.3"/>
    <row r="2078" spans="1:5" ht="17.25" hidden="1" customHeight="1" x14ac:dyDescent="0.3">
      <c r="A2078" s="4" t="s">
        <v>465</v>
      </c>
    </row>
    <row r="2079" spans="1:5" ht="17.25" hidden="1" customHeight="1" x14ac:dyDescent="0.3">
      <c r="A2079" s="23" t="s">
        <v>466</v>
      </c>
    </row>
    <row r="2080" spans="1:5" ht="16.5" hidden="1" customHeight="1" thickBot="1" x14ac:dyDescent="0.3"/>
    <row r="2081" spans="1:5" ht="16.5" hidden="1" customHeight="1" x14ac:dyDescent="0.3">
      <c r="A2081" s="24" t="s">
        <v>467</v>
      </c>
      <c r="B2081" s="26"/>
      <c r="C2081" s="26"/>
    </row>
    <row r="2082" spans="1:5" ht="66" hidden="1" customHeight="1" x14ac:dyDescent="0.3">
      <c r="A2082" s="6" t="s">
        <v>468</v>
      </c>
      <c r="B2082" s="3" t="s">
        <v>469</v>
      </c>
      <c r="C2082" s="3" t="s">
        <v>470</v>
      </c>
    </row>
    <row r="2083" spans="1:5" ht="99" hidden="1" customHeight="1" thickBot="1" x14ac:dyDescent="0.35">
      <c r="A2083" s="13" t="s">
        <v>471</v>
      </c>
      <c r="B2083" s="2">
        <v>1076043.8999999999</v>
      </c>
      <c r="C2083" s="2">
        <v>1063035.8</v>
      </c>
    </row>
    <row r="2084" spans="1:5" ht="16.5" hidden="1" customHeight="1" thickBot="1" x14ac:dyDescent="0.35">
      <c r="A2084" s="13" t="s">
        <v>472</v>
      </c>
      <c r="B2084" s="2">
        <v>1076057.8999999999</v>
      </c>
      <c r="C2084" s="2">
        <v>1063091.6000000001</v>
      </c>
    </row>
    <row r="2085" spans="1:5" ht="16.5" hidden="1" customHeight="1" x14ac:dyDescent="0.3">
      <c r="A2085" s="14" t="s">
        <v>473</v>
      </c>
      <c r="B2085" s="2" t="s">
        <v>642</v>
      </c>
      <c r="C2085" s="2">
        <v>1063027.8</v>
      </c>
    </row>
    <row r="2086" spans="1:5" ht="66" hidden="1" customHeight="1" thickBot="1" x14ac:dyDescent="0.3"/>
    <row r="2087" spans="1:5" ht="17.25" hidden="1" customHeight="1" x14ac:dyDescent="0.3">
      <c r="A2087" s="24" t="s">
        <v>474</v>
      </c>
      <c r="B2087" s="26"/>
      <c r="C2087" s="26"/>
      <c r="D2087" s="26"/>
      <c r="E2087" s="26"/>
    </row>
    <row r="2088" spans="1:5" ht="17.25" hidden="1" customHeight="1" x14ac:dyDescent="0.3">
      <c r="A2088" s="6" t="s">
        <v>475</v>
      </c>
      <c r="B2088" s="3" t="s">
        <v>476</v>
      </c>
      <c r="C2088" s="3" t="s">
        <v>477</v>
      </c>
      <c r="D2088" s="3" t="s">
        <v>478</v>
      </c>
      <c r="E2088" s="3" t="s">
        <v>479</v>
      </c>
    </row>
    <row r="2089" spans="1:5" ht="16.5" hidden="1" customHeight="1" x14ac:dyDescent="0.3">
      <c r="A2089" s="25" t="s">
        <v>597</v>
      </c>
      <c r="B2089" s="27"/>
      <c r="C2089" s="27"/>
      <c r="D2089" s="27"/>
      <c r="E2089" s="27"/>
    </row>
    <row r="2090" spans="1:5" ht="16.5" hidden="1" customHeight="1" thickBot="1" x14ac:dyDescent="0.35">
      <c r="A2090" s="13" t="s">
        <v>481</v>
      </c>
      <c r="B2090" s="2">
        <v>9.52</v>
      </c>
      <c r="C2090" s="2">
        <v>2.9918999999999998</v>
      </c>
      <c r="D2090" s="2">
        <v>8305.3799999999992</v>
      </c>
      <c r="E2090" s="2" t="s">
        <v>482</v>
      </c>
    </row>
    <row r="2091" spans="1:5" ht="16.5" hidden="1" customHeight="1" thickBot="1" x14ac:dyDescent="0.35">
      <c r="A2091" s="13" t="s">
        <v>483</v>
      </c>
      <c r="B2091" s="2">
        <v>9.98</v>
      </c>
      <c r="C2091" s="2">
        <v>3</v>
      </c>
      <c r="D2091" s="2">
        <v>2774</v>
      </c>
      <c r="E2091" s="2" t="s">
        <v>482</v>
      </c>
    </row>
    <row r="2092" spans="1:5" ht="16.5" hidden="1" customHeight="1" x14ac:dyDescent="0.3">
      <c r="A2092" s="14" t="s">
        <v>484</v>
      </c>
      <c r="B2092" s="2">
        <v>7.72</v>
      </c>
      <c r="C2092" s="2">
        <v>3</v>
      </c>
      <c r="D2092" s="2">
        <v>2774</v>
      </c>
      <c r="E2092" s="2" t="s">
        <v>482</v>
      </c>
    </row>
    <row r="2093" spans="1:5" ht="33" hidden="1" customHeight="1" thickBot="1" x14ac:dyDescent="0.3"/>
    <row r="2094" spans="1:5" ht="26.25" hidden="1" customHeight="1" x14ac:dyDescent="0.3">
      <c r="A2094" s="24" t="s">
        <v>485</v>
      </c>
      <c r="B2094" s="26"/>
      <c r="C2094" s="26"/>
      <c r="D2094" s="26"/>
      <c r="E2094" s="26"/>
    </row>
    <row r="2095" spans="1:5" ht="17.25" hidden="1" customHeight="1" x14ac:dyDescent="0.3">
      <c r="A2095" s="6" t="s">
        <v>486</v>
      </c>
      <c r="B2095" s="3" t="s">
        <v>476</v>
      </c>
      <c r="C2095" s="3" t="s">
        <v>477</v>
      </c>
      <c r="D2095" s="3" t="s">
        <v>478</v>
      </c>
      <c r="E2095" s="3" t="s">
        <v>479</v>
      </c>
    </row>
    <row r="2096" spans="1:5" ht="16.5" hidden="1" customHeight="1" x14ac:dyDescent="0.3">
      <c r="A2096" s="14" t="s">
        <v>22</v>
      </c>
      <c r="B2096" s="2">
        <v>7.72</v>
      </c>
      <c r="C2096" s="2">
        <v>3</v>
      </c>
      <c r="D2096" s="2">
        <v>2774</v>
      </c>
      <c r="E2096" s="2" t="s">
        <v>482</v>
      </c>
    </row>
    <row r="2097" spans="1:8" ht="16.5" hidden="1" customHeight="1" thickBot="1" x14ac:dyDescent="0.3"/>
    <row r="2098" spans="1:8" ht="16.5" hidden="1" customHeight="1" x14ac:dyDescent="0.3">
      <c r="A2098" s="24" t="s">
        <v>487</v>
      </c>
      <c r="B2098" s="26"/>
      <c r="C2098" s="26"/>
      <c r="D2098" s="26"/>
      <c r="E2098" s="26"/>
      <c r="F2098" s="26"/>
    </row>
    <row r="2099" spans="1:8" ht="16.5" hidden="1" customHeight="1" x14ac:dyDescent="0.3">
      <c r="A2099" s="25" t="s">
        <v>488</v>
      </c>
      <c r="B2099" s="27"/>
      <c r="C2099" s="27" t="s">
        <v>489</v>
      </c>
      <c r="D2099" s="3" t="s">
        <v>490</v>
      </c>
      <c r="E2099" s="27" t="s">
        <v>492</v>
      </c>
      <c r="F2099" s="27" t="s">
        <v>493</v>
      </c>
    </row>
    <row r="2100" spans="1:8" ht="16.5" hidden="1" customHeight="1" x14ac:dyDescent="0.3">
      <c r="A2100" s="25"/>
      <c r="B2100" s="27"/>
      <c r="C2100" s="27"/>
      <c r="D2100" s="3" t="s">
        <v>491</v>
      </c>
      <c r="E2100" s="27"/>
      <c r="F2100" s="27"/>
    </row>
    <row r="2101" spans="1:8" ht="16.5" hidden="1" customHeight="1" x14ac:dyDescent="0.3">
      <c r="A2101" s="25" t="s">
        <v>585</v>
      </c>
      <c r="B2101" s="27"/>
      <c r="C2101" s="27"/>
      <c r="D2101" s="27"/>
      <c r="E2101" s="27"/>
      <c r="F2101" s="27"/>
    </row>
    <row r="2102" spans="1:8" ht="16.5" hidden="1" customHeight="1" thickBot="1" x14ac:dyDescent="0.35">
      <c r="A2102" s="13" t="s">
        <v>495</v>
      </c>
      <c r="B2102" s="12"/>
      <c r="C2102" s="16">
        <v>-5.0557999999999996</v>
      </c>
      <c r="D2102" s="2">
        <v>0.20419999999999999</v>
      </c>
      <c r="E2102" s="16">
        <v>-24.76</v>
      </c>
      <c r="F2102" s="2" t="s">
        <v>482</v>
      </c>
    </row>
    <row r="2103" spans="1:8" ht="16.5" hidden="1" customHeight="1" thickBot="1" x14ac:dyDescent="0.35">
      <c r="A2103" s="13" t="s">
        <v>22</v>
      </c>
      <c r="B2103" s="12">
        <v>2</v>
      </c>
      <c r="C2103" s="2">
        <v>0.37330000000000002</v>
      </c>
      <c r="D2103" s="2">
        <v>0.25559999999999999</v>
      </c>
      <c r="E2103" s="2">
        <v>1.46</v>
      </c>
      <c r="F2103" s="2">
        <v>0.14430000000000001</v>
      </c>
    </row>
    <row r="2104" spans="1:8" ht="16.5" hidden="1" customHeight="1" thickBot="1" x14ac:dyDescent="0.35">
      <c r="A2104" s="13" t="s">
        <v>22</v>
      </c>
      <c r="B2104" s="12">
        <v>3</v>
      </c>
      <c r="C2104" s="2">
        <v>0.98280000000000001</v>
      </c>
      <c r="D2104" s="2">
        <v>0.2369</v>
      </c>
      <c r="E2104" s="2">
        <v>4.1500000000000004</v>
      </c>
      <c r="F2104" s="2" t="s">
        <v>482</v>
      </c>
    </row>
    <row r="2105" spans="1:8" ht="16.5" hidden="1" customHeight="1" x14ac:dyDescent="0.3">
      <c r="A2105" s="14" t="s">
        <v>22</v>
      </c>
      <c r="B2105" s="15">
        <v>4</v>
      </c>
      <c r="C2105" s="2">
        <v>0.84599999999999997</v>
      </c>
      <c r="D2105" s="2">
        <v>0.23730000000000001</v>
      </c>
      <c r="E2105" s="2">
        <v>3.57</v>
      </c>
      <c r="F2105" s="2">
        <v>4.0000000000000002E-4</v>
      </c>
    </row>
    <row r="2106" spans="1:8" ht="17.25" hidden="1" customHeight="1" thickBot="1" x14ac:dyDescent="0.3"/>
    <row r="2107" spans="1:8" ht="17.25" hidden="1" customHeight="1" x14ac:dyDescent="0.3">
      <c r="A2107" s="24" t="s">
        <v>496</v>
      </c>
      <c r="B2107" s="26"/>
      <c r="C2107" s="26"/>
      <c r="D2107" s="26"/>
      <c r="H2107">
        <f>F2107</f>
        <v>0</v>
      </c>
    </row>
    <row r="2108" spans="1:8" ht="17.25" hidden="1" customHeight="1" x14ac:dyDescent="0.3">
      <c r="A2108" s="6" t="s">
        <v>486</v>
      </c>
      <c r="B2108" s="3" t="s">
        <v>497</v>
      </c>
      <c r="C2108" s="27" t="s">
        <v>91</v>
      </c>
      <c r="D2108" s="27"/>
      <c r="H2108">
        <f t="shared" ref="H2108:H2109" si="72">F2108</f>
        <v>0</v>
      </c>
    </row>
    <row r="2109" spans="1:8" ht="16.5" hidden="1" customHeight="1" x14ac:dyDescent="0.3">
      <c r="A2109" s="25" t="s">
        <v>586</v>
      </c>
      <c r="B2109" s="27"/>
      <c r="C2109" s="27"/>
      <c r="D2109" s="27"/>
      <c r="H2109">
        <f t="shared" si="72"/>
        <v>0</v>
      </c>
    </row>
    <row r="2110" spans="1:8" ht="16.5" hidden="1" customHeight="1" thickBot="1" x14ac:dyDescent="0.35">
      <c r="A2110" s="13" t="s">
        <v>499</v>
      </c>
      <c r="B2110" s="2">
        <v>1.4530000000000001</v>
      </c>
      <c r="C2110" s="2">
        <v>0.88</v>
      </c>
      <c r="D2110" s="2">
        <v>2.3980000000000001</v>
      </c>
    </row>
    <row r="2111" spans="1:8" ht="16.5" hidden="1" customHeight="1" thickBot="1" x14ac:dyDescent="0.35">
      <c r="A2111" s="13" t="s">
        <v>500</v>
      </c>
      <c r="B2111" s="2">
        <v>2.6720000000000002</v>
      </c>
      <c r="C2111" s="2">
        <v>1.679</v>
      </c>
      <c r="D2111" s="2">
        <v>4.2510000000000003</v>
      </c>
    </row>
    <row r="2112" spans="1:8" ht="33" hidden="1" customHeight="1" thickBot="1" x14ac:dyDescent="0.35">
      <c r="A2112" s="14" t="s">
        <v>501</v>
      </c>
      <c r="B2112" s="2">
        <v>2.33</v>
      </c>
      <c r="C2112" s="2">
        <v>1.4630000000000001</v>
      </c>
      <c r="D2112" s="2">
        <v>3.7109999999999999</v>
      </c>
    </row>
    <row r="2113" spans="1:9" ht="49.5" hidden="1" customHeight="1" thickBot="1" x14ac:dyDescent="0.3"/>
    <row r="2114" spans="1:9" ht="33" customHeight="1" x14ac:dyDescent="0.3">
      <c r="A2114" s="24" t="s">
        <v>502</v>
      </c>
      <c r="B2114" s="26"/>
      <c r="C2114" s="26"/>
      <c r="D2114" s="26"/>
      <c r="H2114" s="8" t="str">
        <f t="shared" ref="H2114:H2116" si="73">TEXT(B2114,"0.00")&amp;" ("&amp;TEXT(C2114,"0.00")&amp;" to "&amp;TEXT(D2114,"0.00")&amp;")"</f>
        <v>0.00 (0.00 to 0.00)</v>
      </c>
      <c r="I2114">
        <f t="shared" ref="I2114:I2116" si="74">F2107</f>
        <v>0</v>
      </c>
    </row>
    <row r="2115" spans="1:9" ht="26.25" customHeight="1" thickBot="1" x14ac:dyDescent="0.35">
      <c r="A2115" s="13" t="s">
        <v>503</v>
      </c>
      <c r="B2115" s="2">
        <v>47.5</v>
      </c>
      <c r="C2115" s="12" t="s">
        <v>504</v>
      </c>
      <c r="D2115" s="2">
        <v>0.20100000000000001</v>
      </c>
      <c r="H2115" s="8" t="str">
        <f t="shared" si="73"/>
        <v>47.50 (Somers' D to 0.20)</v>
      </c>
      <c r="I2115">
        <f t="shared" si="74"/>
        <v>0</v>
      </c>
    </row>
    <row r="2116" spans="1:9" ht="25.5" customHeight="1" thickBot="1" x14ac:dyDescent="0.35">
      <c r="A2116" s="13" t="s">
        <v>505</v>
      </c>
      <c r="B2116" s="2">
        <v>27.4</v>
      </c>
      <c r="C2116" s="12" t="s">
        <v>506</v>
      </c>
      <c r="D2116" s="2">
        <v>0.26800000000000002</v>
      </c>
      <c r="H2116" s="8" t="str">
        <f t="shared" si="73"/>
        <v>27.40 (Gamma to 0.27)</v>
      </c>
      <c r="I2116">
        <f t="shared" si="74"/>
        <v>0</v>
      </c>
    </row>
    <row r="2117" spans="1:9" ht="16.5" hidden="1" customHeight="1" thickBot="1" x14ac:dyDescent="0.35">
      <c r="A2117" s="13" t="s">
        <v>507</v>
      </c>
      <c r="B2117" s="2">
        <v>25.1</v>
      </c>
      <c r="C2117" s="12" t="s">
        <v>508</v>
      </c>
      <c r="D2117" s="2">
        <v>6.0000000000000001E-3</v>
      </c>
    </row>
    <row r="2118" spans="1:9" ht="33" hidden="1" customHeight="1" x14ac:dyDescent="0.3">
      <c r="A2118" s="14" t="s">
        <v>509</v>
      </c>
      <c r="B2118" s="2">
        <v>5369442</v>
      </c>
      <c r="C2118" s="15" t="s">
        <v>510</v>
      </c>
      <c r="D2118" s="2">
        <v>0.6</v>
      </c>
    </row>
    <row r="2119" spans="1:9" ht="39" hidden="1" customHeight="1" x14ac:dyDescent="0.3"/>
    <row r="2120" spans="1:9" ht="26.25" hidden="1" customHeight="1" x14ac:dyDescent="0.3"/>
    <row r="2121" spans="1:9" ht="26.25" hidden="1" customHeight="1" x14ac:dyDescent="0.3"/>
    <row r="2122" spans="1:9" ht="16.5" hidden="1" customHeight="1" x14ac:dyDescent="0.3">
      <c r="A2122" s="1" t="s">
        <v>436</v>
      </c>
    </row>
    <row r="2123" spans="1:9" ht="16.5" hidden="1" customHeight="1" x14ac:dyDescent="0.3"/>
    <row r="2124" spans="1:9" ht="16.5" hidden="1" customHeight="1" x14ac:dyDescent="0.3">
      <c r="A2124" s="1" t="s">
        <v>419</v>
      </c>
    </row>
    <row r="2125" spans="1:9" ht="16.5" hidden="1" customHeight="1" thickBot="1" x14ac:dyDescent="0.3"/>
    <row r="2126" spans="1:9" ht="16.5" hidden="1" customHeight="1" x14ac:dyDescent="0.3">
      <c r="A2126" s="24" t="s">
        <v>437</v>
      </c>
      <c r="B2126" s="26"/>
    </row>
    <row r="2127" spans="1:9" ht="16.5" hidden="1" customHeight="1" thickBot="1" x14ac:dyDescent="0.35">
      <c r="A2127" s="13" t="s">
        <v>438</v>
      </c>
      <c r="B2127" s="18" t="s">
        <v>439</v>
      </c>
    </row>
    <row r="2128" spans="1:9" ht="16.5" hidden="1" customHeight="1" thickBot="1" x14ac:dyDescent="0.35">
      <c r="A2128" s="13" t="s">
        <v>440</v>
      </c>
      <c r="B2128" s="18" t="s">
        <v>19</v>
      </c>
    </row>
    <row r="2129" spans="1:2" ht="16.5" hidden="1" customHeight="1" thickBot="1" x14ac:dyDescent="0.35">
      <c r="A2129" s="13" t="s">
        <v>441</v>
      </c>
      <c r="B2129" s="18">
        <v>2</v>
      </c>
    </row>
    <row r="2130" spans="1:2" ht="16.5" hidden="1" customHeight="1" thickBot="1" x14ac:dyDescent="0.35">
      <c r="A2130" s="13" t="s">
        <v>442</v>
      </c>
      <c r="B2130" s="18" t="s">
        <v>443</v>
      </c>
    </row>
    <row r="2131" spans="1:2" ht="26.25" hidden="1" customHeight="1" thickBot="1" x14ac:dyDescent="0.35">
      <c r="A2131" s="13" t="s">
        <v>76</v>
      </c>
      <c r="B2131" s="18">
        <v>183</v>
      </c>
    </row>
    <row r="2132" spans="1:2" ht="26.25" hidden="1" customHeight="1" thickBot="1" x14ac:dyDescent="0.35">
      <c r="A2132" s="13" t="s">
        <v>444</v>
      </c>
      <c r="B2132" s="18" t="s">
        <v>445</v>
      </c>
    </row>
    <row r="2133" spans="1:2" ht="39" hidden="1" customHeight="1" thickBot="1" x14ac:dyDescent="0.35">
      <c r="A2133" s="13" t="s">
        <v>77</v>
      </c>
      <c r="B2133" s="18">
        <v>2981</v>
      </c>
    </row>
    <row r="2134" spans="1:2" ht="26.25" hidden="1" customHeight="1" thickBot="1" x14ac:dyDescent="0.35">
      <c r="A2134" s="13" t="s">
        <v>446</v>
      </c>
      <c r="B2134" s="18" t="s">
        <v>447</v>
      </c>
    </row>
    <row r="2135" spans="1:2" ht="26.25" hidden="1" customHeight="1" thickBot="1" x14ac:dyDescent="0.35">
      <c r="A2135" s="13" t="s">
        <v>448</v>
      </c>
      <c r="B2135" s="18" t="s">
        <v>449</v>
      </c>
    </row>
    <row r="2136" spans="1:2" ht="26.25" hidden="1" customHeight="1" thickBot="1" x14ac:dyDescent="0.35">
      <c r="A2136" s="13" t="s">
        <v>450</v>
      </c>
      <c r="B2136" s="18" t="s">
        <v>451</v>
      </c>
    </row>
    <row r="2137" spans="1:2" ht="26.25" hidden="1" customHeight="1" x14ac:dyDescent="0.3">
      <c r="A2137" s="14" t="s">
        <v>452</v>
      </c>
      <c r="B2137" s="19" t="s">
        <v>453</v>
      </c>
    </row>
    <row r="2138" spans="1:2" ht="26.25" hidden="1" customHeight="1" thickBot="1" x14ac:dyDescent="0.3"/>
    <row r="2139" spans="1:2" ht="26.25" hidden="1" customHeight="1" x14ac:dyDescent="0.3">
      <c r="A2139" s="24" t="s">
        <v>80</v>
      </c>
      <c r="B2139" s="26"/>
    </row>
    <row r="2140" spans="1:2" ht="39" hidden="1" customHeight="1" thickBot="1" x14ac:dyDescent="0.35">
      <c r="A2140" s="13" t="s">
        <v>81</v>
      </c>
      <c r="B2140" s="2" t="s">
        <v>82</v>
      </c>
    </row>
    <row r="2141" spans="1:2" ht="38.25" hidden="1" customHeight="1" x14ac:dyDescent="0.3">
      <c r="A2141" s="14" t="s">
        <v>452</v>
      </c>
      <c r="B2141" s="2" t="s">
        <v>453</v>
      </c>
    </row>
    <row r="2142" spans="1:2" ht="16.5" hidden="1" customHeight="1" thickBot="1" x14ac:dyDescent="0.3"/>
    <row r="2143" spans="1:2" ht="33" hidden="1" customHeight="1" thickBot="1" x14ac:dyDescent="0.35">
      <c r="A2143" s="20" t="s">
        <v>454</v>
      </c>
      <c r="B2143" s="21">
        <v>39551</v>
      </c>
    </row>
    <row r="2144" spans="1:2" ht="33.75" hidden="1" customHeight="1" thickBot="1" x14ac:dyDescent="0.35">
      <c r="A2144" s="13" t="s">
        <v>455</v>
      </c>
      <c r="B2144" s="2">
        <v>39551</v>
      </c>
    </row>
    <row r="2145" spans="1:5" ht="66" hidden="1" customHeight="1" thickBot="1" x14ac:dyDescent="0.35">
      <c r="A2145" s="13" t="s">
        <v>456</v>
      </c>
      <c r="B2145" s="2">
        <v>17621468</v>
      </c>
    </row>
    <row r="2146" spans="1:5" ht="16.5" hidden="1" customHeight="1" x14ac:dyDescent="0.3">
      <c r="A2146" s="14" t="s">
        <v>457</v>
      </c>
      <c r="B2146" s="2">
        <v>17621468</v>
      </c>
    </row>
    <row r="2147" spans="1:5" ht="39" hidden="1" customHeight="1" thickBot="1" x14ac:dyDescent="0.3"/>
    <row r="2148" spans="1:5" ht="39" hidden="1" customHeight="1" x14ac:dyDescent="0.3">
      <c r="A2148" s="24" t="s">
        <v>458</v>
      </c>
      <c r="B2148" s="26"/>
      <c r="C2148" s="26"/>
      <c r="D2148" s="26"/>
    </row>
    <row r="2149" spans="1:5" ht="39" hidden="1" customHeight="1" x14ac:dyDescent="0.3">
      <c r="A2149" s="6" t="s">
        <v>459</v>
      </c>
      <c r="B2149" s="27" t="s">
        <v>19</v>
      </c>
      <c r="C2149" s="3" t="s">
        <v>93</v>
      </c>
      <c r="D2149" s="3" t="s">
        <v>93</v>
      </c>
    </row>
    <row r="2150" spans="1:5" ht="38.25" hidden="1" customHeight="1" x14ac:dyDescent="0.3">
      <c r="A2150" s="6" t="s">
        <v>460</v>
      </c>
      <c r="B2150" s="27"/>
      <c r="C2150" s="3" t="s">
        <v>86</v>
      </c>
      <c r="D2150" s="3" t="s">
        <v>461</v>
      </c>
    </row>
    <row r="2151" spans="1:5" ht="16.5" hidden="1" customHeight="1" thickBot="1" x14ac:dyDescent="0.35">
      <c r="A2151" s="6">
        <v>1</v>
      </c>
      <c r="B2151" s="17">
        <v>0</v>
      </c>
      <c r="C2151" s="2">
        <v>38904</v>
      </c>
      <c r="D2151" s="2">
        <v>17419510</v>
      </c>
    </row>
    <row r="2152" spans="1:5" ht="16.5" hidden="1" customHeight="1" x14ac:dyDescent="0.3">
      <c r="A2152" s="6">
        <v>2</v>
      </c>
      <c r="B2152" s="22">
        <v>1</v>
      </c>
      <c r="C2152" s="2">
        <v>647</v>
      </c>
      <c r="D2152" s="2">
        <v>201958</v>
      </c>
    </row>
    <row r="2153" spans="1:5" ht="16.5" hidden="1" customHeight="1" x14ac:dyDescent="0.3"/>
    <row r="2154" spans="1:5" ht="33" hidden="1" customHeight="1" x14ac:dyDescent="0.3">
      <c r="A2154" s="1" t="s">
        <v>513</v>
      </c>
    </row>
    <row r="2155" spans="1:5" ht="17.25" hidden="1" customHeight="1" thickBot="1" x14ac:dyDescent="0.3"/>
    <row r="2156" spans="1:5" ht="16.5" hidden="1" customHeight="1" x14ac:dyDescent="0.3">
      <c r="A2156" s="24" t="s">
        <v>462</v>
      </c>
      <c r="B2156" s="26"/>
      <c r="C2156" s="26"/>
      <c r="D2156" s="26"/>
      <c r="E2156" s="26"/>
    </row>
    <row r="2157" spans="1:5" ht="16.5" hidden="1" customHeight="1" x14ac:dyDescent="0.3">
      <c r="A2157" s="6" t="s">
        <v>463</v>
      </c>
      <c r="B2157" s="3" t="s">
        <v>460</v>
      </c>
      <c r="C2157" s="27" t="s">
        <v>464</v>
      </c>
      <c r="D2157" s="27"/>
      <c r="E2157" s="27"/>
    </row>
    <row r="2158" spans="1:5" ht="16.5" hidden="1" customHeight="1" thickBot="1" x14ac:dyDescent="0.35">
      <c r="A2158" s="13" t="s">
        <v>22</v>
      </c>
      <c r="B2158" s="12">
        <v>1</v>
      </c>
      <c r="C2158" s="2">
        <v>0</v>
      </c>
      <c r="D2158" s="2">
        <v>0</v>
      </c>
      <c r="E2158" s="2">
        <v>0</v>
      </c>
    </row>
    <row r="2159" spans="1:5" ht="16.5" hidden="1" customHeight="1" thickBot="1" x14ac:dyDescent="0.35">
      <c r="A2159" s="13"/>
      <c r="B2159" s="12">
        <v>2</v>
      </c>
      <c r="C2159" s="2">
        <v>1</v>
      </c>
      <c r="D2159" s="2">
        <v>0</v>
      </c>
      <c r="E2159" s="2">
        <v>0</v>
      </c>
    </row>
    <row r="2160" spans="1:5" ht="16.5" hidden="1" customHeight="1" thickBot="1" x14ac:dyDescent="0.35">
      <c r="A2160" s="13"/>
      <c r="B2160" s="12">
        <v>3</v>
      </c>
      <c r="C2160" s="2">
        <v>0</v>
      </c>
      <c r="D2160" s="2">
        <v>1</v>
      </c>
      <c r="E2160" s="2">
        <v>0</v>
      </c>
    </row>
    <row r="2161" spans="1:5" ht="16.5" hidden="1" customHeight="1" x14ac:dyDescent="0.3">
      <c r="A2161" s="14"/>
      <c r="B2161" s="15">
        <v>4</v>
      </c>
      <c r="C2161" s="2">
        <v>0</v>
      </c>
      <c r="D2161" s="2">
        <v>0</v>
      </c>
      <c r="E2161" s="2">
        <v>1</v>
      </c>
    </row>
    <row r="2162" spans="1:5" ht="17.25" hidden="1" customHeight="1" thickBot="1" x14ac:dyDescent="0.3"/>
    <row r="2163" spans="1:5" ht="17.25" hidden="1" customHeight="1" x14ac:dyDescent="0.3">
      <c r="A2163" s="4" t="s">
        <v>465</v>
      </c>
    </row>
    <row r="2164" spans="1:5" ht="17.25" hidden="1" customHeight="1" x14ac:dyDescent="0.3">
      <c r="A2164" s="23" t="s">
        <v>466</v>
      </c>
    </row>
    <row r="2165" spans="1:5" ht="16.5" hidden="1" customHeight="1" thickBot="1" x14ac:dyDescent="0.3"/>
    <row r="2166" spans="1:5" ht="16.5" hidden="1" customHeight="1" x14ac:dyDescent="0.3">
      <c r="A2166" s="24" t="s">
        <v>467</v>
      </c>
      <c r="B2166" s="26"/>
      <c r="C2166" s="26"/>
    </row>
    <row r="2167" spans="1:5" ht="66" hidden="1" customHeight="1" x14ac:dyDescent="0.3">
      <c r="A2167" s="6" t="s">
        <v>468</v>
      </c>
      <c r="B2167" s="3" t="s">
        <v>469</v>
      </c>
      <c r="C2167" s="3" t="s">
        <v>470</v>
      </c>
    </row>
    <row r="2168" spans="1:5" ht="99" hidden="1" customHeight="1" thickBot="1" x14ac:dyDescent="0.35">
      <c r="A2168" s="13" t="s">
        <v>471</v>
      </c>
      <c r="B2168" s="2">
        <v>2206623</v>
      </c>
      <c r="C2168" s="2">
        <v>2193783.4</v>
      </c>
    </row>
    <row r="2169" spans="1:5" ht="16.5" hidden="1" customHeight="1" thickBot="1" x14ac:dyDescent="0.35">
      <c r="A2169" s="13" t="s">
        <v>472</v>
      </c>
      <c r="B2169" s="2">
        <v>2206637.7000000002</v>
      </c>
      <c r="C2169" s="2">
        <v>2193842.1</v>
      </c>
    </row>
    <row r="2170" spans="1:5" ht="16.5" hidden="1" customHeight="1" x14ac:dyDescent="0.3">
      <c r="A2170" s="14" t="s">
        <v>473</v>
      </c>
      <c r="B2170" s="2" t="s">
        <v>643</v>
      </c>
      <c r="C2170" s="2">
        <v>2193775.4</v>
      </c>
    </row>
    <row r="2171" spans="1:5" ht="66" hidden="1" customHeight="1" thickBot="1" x14ac:dyDescent="0.3"/>
    <row r="2172" spans="1:5" ht="17.25" hidden="1" customHeight="1" x14ac:dyDescent="0.3">
      <c r="A2172" s="24" t="s">
        <v>474</v>
      </c>
      <c r="B2172" s="26"/>
      <c r="C2172" s="26"/>
      <c r="D2172" s="26"/>
      <c r="E2172" s="26"/>
    </row>
    <row r="2173" spans="1:5" ht="17.25" hidden="1" customHeight="1" x14ac:dyDescent="0.3">
      <c r="A2173" s="6" t="s">
        <v>475</v>
      </c>
      <c r="B2173" s="3" t="s">
        <v>476</v>
      </c>
      <c r="C2173" s="3" t="s">
        <v>477</v>
      </c>
      <c r="D2173" s="3" t="s">
        <v>478</v>
      </c>
      <c r="E2173" s="3" t="s">
        <v>479</v>
      </c>
    </row>
    <row r="2174" spans="1:5" ht="16.5" hidden="1" customHeight="1" x14ac:dyDescent="0.3">
      <c r="A2174" s="25" t="s">
        <v>555</v>
      </c>
      <c r="B2174" s="27"/>
      <c r="C2174" s="27"/>
      <c r="D2174" s="27"/>
      <c r="E2174" s="27"/>
    </row>
    <row r="2175" spans="1:5" ht="16.5" hidden="1" customHeight="1" thickBot="1" x14ac:dyDescent="0.35">
      <c r="A2175" s="13" t="s">
        <v>481</v>
      </c>
      <c r="B2175" s="2">
        <v>9.2200000000000006</v>
      </c>
      <c r="C2175" s="2">
        <v>2.9845999999999999</v>
      </c>
      <c r="D2175" s="2">
        <v>8350.99</v>
      </c>
      <c r="E2175" s="2" t="s">
        <v>482</v>
      </c>
    </row>
    <row r="2176" spans="1:5" ht="16.5" hidden="1" customHeight="1" thickBot="1" x14ac:dyDescent="0.35">
      <c r="A2176" s="13" t="s">
        <v>483</v>
      </c>
      <c r="B2176" s="2">
        <v>9.7799999999999994</v>
      </c>
      <c r="C2176" s="2">
        <v>3</v>
      </c>
      <c r="D2176" s="2">
        <v>2796</v>
      </c>
      <c r="E2176" s="2" t="s">
        <v>482</v>
      </c>
    </row>
    <row r="2177" spans="1:8" ht="16.5" hidden="1" customHeight="1" x14ac:dyDescent="0.3">
      <c r="A2177" s="14" t="s">
        <v>484</v>
      </c>
      <c r="B2177" s="2">
        <v>7.86</v>
      </c>
      <c r="C2177" s="2">
        <v>3</v>
      </c>
      <c r="D2177" s="2">
        <v>2796</v>
      </c>
      <c r="E2177" s="2" t="s">
        <v>482</v>
      </c>
    </row>
    <row r="2178" spans="1:8" ht="33" hidden="1" customHeight="1" thickBot="1" x14ac:dyDescent="0.3"/>
    <row r="2179" spans="1:8" ht="26.25" hidden="1" customHeight="1" x14ac:dyDescent="0.3">
      <c r="A2179" s="24" t="s">
        <v>485</v>
      </c>
      <c r="B2179" s="26"/>
      <c r="C2179" s="26"/>
      <c r="D2179" s="26"/>
      <c r="E2179" s="26"/>
    </row>
    <row r="2180" spans="1:8" ht="17.25" hidden="1" customHeight="1" x14ac:dyDescent="0.3">
      <c r="A2180" s="6" t="s">
        <v>486</v>
      </c>
      <c r="B2180" s="3" t="s">
        <v>476</v>
      </c>
      <c r="C2180" s="3" t="s">
        <v>477</v>
      </c>
      <c r="D2180" s="3" t="s">
        <v>478</v>
      </c>
      <c r="E2180" s="3" t="s">
        <v>479</v>
      </c>
    </row>
    <row r="2181" spans="1:8" ht="16.5" hidden="1" customHeight="1" x14ac:dyDescent="0.3">
      <c r="A2181" s="14" t="s">
        <v>22</v>
      </c>
      <c r="B2181" s="2">
        <v>7.86</v>
      </c>
      <c r="C2181" s="2">
        <v>3</v>
      </c>
      <c r="D2181" s="2">
        <v>2796</v>
      </c>
      <c r="E2181" s="2" t="s">
        <v>482</v>
      </c>
    </row>
    <row r="2182" spans="1:8" ht="16.5" hidden="1" customHeight="1" thickBot="1" x14ac:dyDescent="0.3"/>
    <row r="2183" spans="1:8" ht="16.5" hidden="1" customHeight="1" x14ac:dyDescent="0.3">
      <c r="A2183" s="24" t="s">
        <v>487</v>
      </c>
      <c r="B2183" s="26"/>
      <c r="C2183" s="26"/>
      <c r="D2183" s="26"/>
      <c r="E2183" s="26"/>
      <c r="F2183" s="26"/>
    </row>
    <row r="2184" spans="1:8" ht="16.5" hidden="1" customHeight="1" x14ac:dyDescent="0.3">
      <c r="A2184" s="25" t="s">
        <v>488</v>
      </c>
      <c r="B2184" s="27"/>
      <c r="C2184" s="27" t="s">
        <v>489</v>
      </c>
      <c r="D2184" s="3" t="s">
        <v>490</v>
      </c>
      <c r="E2184" s="27" t="s">
        <v>492</v>
      </c>
      <c r="F2184" s="27" t="s">
        <v>493</v>
      </c>
    </row>
    <row r="2185" spans="1:8" ht="16.5" hidden="1" customHeight="1" x14ac:dyDescent="0.3">
      <c r="A2185" s="25"/>
      <c r="B2185" s="27"/>
      <c r="C2185" s="27"/>
      <c r="D2185" s="3" t="s">
        <v>491</v>
      </c>
      <c r="E2185" s="27"/>
      <c r="F2185" s="27"/>
    </row>
    <row r="2186" spans="1:8" ht="16.5" hidden="1" customHeight="1" x14ac:dyDescent="0.3">
      <c r="A2186" s="25" t="s">
        <v>535</v>
      </c>
      <c r="B2186" s="27"/>
      <c r="C2186" s="27"/>
      <c r="D2186" s="27"/>
      <c r="E2186" s="27"/>
      <c r="F2186" s="27"/>
    </row>
    <row r="2187" spans="1:8" ht="16.5" hidden="1" customHeight="1" thickBot="1" x14ac:dyDescent="0.35">
      <c r="A2187" s="13" t="s">
        <v>495</v>
      </c>
      <c r="B2187" s="12"/>
      <c r="C2187" s="16">
        <v>-4.9047000000000001</v>
      </c>
      <c r="D2187" s="2">
        <v>0.1234</v>
      </c>
      <c r="E2187" s="16">
        <v>-39.74</v>
      </c>
      <c r="F2187" s="2" t="s">
        <v>482</v>
      </c>
    </row>
    <row r="2188" spans="1:8" ht="16.5" hidden="1" customHeight="1" thickBot="1" x14ac:dyDescent="0.35">
      <c r="A2188" s="13" t="s">
        <v>22</v>
      </c>
      <c r="B2188" s="12">
        <v>2</v>
      </c>
      <c r="C2188" s="2">
        <v>0.34960000000000002</v>
      </c>
      <c r="D2188" s="2">
        <v>0.15809999999999999</v>
      </c>
      <c r="E2188" s="2">
        <v>2.21</v>
      </c>
      <c r="F2188" s="2">
        <v>2.7099999999999999E-2</v>
      </c>
    </row>
    <row r="2189" spans="1:8" ht="16.5" hidden="1" customHeight="1" thickBot="1" x14ac:dyDescent="0.35">
      <c r="A2189" s="13" t="s">
        <v>22</v>
      </c>
      <c r="B2189" s="12">
        <v>3</v>
      </c>
      <c r="C2189" s="2">
        <v>0.62509999999999999</v>
      </c>
      <c r="D2189" s="2">
        <v>0.15310000000000001</v>
      </c>
      <c r="E2189" s="2">
        <v>4.08</v>
      </c>
      <c r="F2189" s="2" t="s">
        <v>482</v>
      </c>
    </row>
    <row r="2190" spans="1:8" ht="16.5" hidden="1" customHeight="1" x14ac:dyDescent="0.3">
      <c r="A2190" s="14" t="s">
        <v>22</v>
      </c>
      <c r="B2190" s="15">
        <v>4</v>
      </c>
      <c r="C2190" s="2">
        <v>0.67669999999999997</v>
      </c>
      <c r="D2190" s="2">
        <v>0.153</v>
      </c>
      <c r="E2190" s="2">
        <v>4.42</v>
      </c>
      <c r="F2190" s="2" t="s">
        <v>482</v>
      </c>
    </row>
    <row r="2191" spans="1:8" ht="17.25" hidden="1" customHeight="1" thickBot="1" x14ac:dyDescent="0.3"/>
    <row r="2192" spans="1:8" ht="17.25" hidden="1" customHeight="1" x14ac:dyDescent="0.3">
      <c r="A2192" s="24" t="s">
        <v>496</v>
      </c>
      <c r="B2192" s="26"/>
      <c r="C2192" s="26"/>
      <c r="D2192" s="26"/>
      <c r="H2192">
        <f>F2192</f>
        <v>0</v>
      </c>
    </row>
    <row r="2193" spans="1:9" ht="17.25" hidden="1" customHeight="1" x14ac:dyDescent="0.3">
      <c r="A2193" s="6" t="s">
        <v>486</v>
      </c>
      <c r="B2193" s="3" t="s">
        <v>497</v>
      </c>
      <c r="C2193" s="27" t="s">
        <v>91</v>
      </c>
      <c r="D2193" s="27"/>
      <c r="H2193">
        <f t="shared" ref="H2193:H2194" si="75">F2193</f>
        <v>0</v>
      </c>
    </row>
    <row r="2194" spans="1:9" ht="16.5" hidden="1" customHeight="1" x14ac:dyDescent="0.3">
      <c r="A2194" s="25" t="s">
        <v>536</v>
      </c>
      <c r="B2194" s="27"/>
      <c r="C2194" s="27"/>
      <c r="D2194" s="27"/>
      <c r="H2194">
        <f t="shared" si="75"/>
        <v>0</v>
      </c>
    </row>
    <row r="2195" spans="1:9" ht="16.5" hidden="1" customHeight="1" thickBot="1" x14ac:dyDescent="0.35">
      <c r="A2195" s="13" t="s">
        <v>499</v>
      </c>
      <c r="B2195" s="2">
        <v>1.419</v>
      </c>
      <c r="C2195" s="2">
        <v>1.04</v>
      </c>
      <c r="D2195" s="2">
        <v>1.9339999999999999</v>
      </c>
    </row>
    <row r="2196" spans="1:9" ht="16.5" hidden="1" customHeight="1" thickBot="1" x14ac:dyDescent="0.35">
      <c r="A2196" s="13" t="s">
        <v>500</v>
      </c>
      <c r="B2196" s="2">
        <v>1.8680000000000001</v>
      </c>
      <c r="C2196" s="2">
        <v>1.3839999999999999</v>
      </c>
      <c r="D2196" s="2">
        <v>2.5230000000000001</v>
      </c>
    </row>
    <row r="2197" spans="1:9" ht="33" hidden="1" customHeight="1" thickBot="1" x14ac:dyDescent="0.35">
      <c r="A2197" s="14" t="s">
        <v>501</v>
      </c>
      <c r="B2197" s="2">
        <v>1.9670000000000001</v>
      </c>
      <c r="C2197" s="2">
        <v>1.458</v>
      </c>
      <c r="D2197" s="2">
        <v>2.6560000000000001</v>
      </c>
    </row>
    <row r="2198" spans="1:9" ht="49.5" hidden="1" customHeight="1" thickBot="1" x14ac:dyDescent="0.3"/>
    <row r="2199" spans="1:9" ht="33" customHeight="1" x14ac:dyDescent="0.3">
      <c r="A2199" s="24" t="s">
        <v>502</v>
      </c>
      <c r="B2199" s="26"/>
      <c r="C2199" s="26"/>
      <c r="D2199" s="26"/>
      <c r="H2199" s="8" t="str">
        <f t="shared" ref="H2199:H2201" si="76">TEXT(B2199,"0.00")&amp;" ("&amp;TEXT(C2199,"0.00")&amp;" to "&amp;TEXT(D2199,"0.00")&amp;")"</f>
        <v>0.00 (0.00 to 0.00)</v>
      </c>
      <c r="I2199">
        <f t="shared" ref="I2199:I2201" si="77">F2192</f>
        <v>0</v>
      </c>
    </row>
    <row r="2200" spans="1:9" ht="26.25" customHeight="1" thickBot="1" x14ac:dyDescent="0.35">
      <c r="A2200" s="13" t="s">
        <v>503</v>
      </c>
      <c r="B2200" s="2">
        <v>42.9</v>
      </c>
      <c r="C2200" s="12" t="s">
        <v>504</v>
      </c>
      <c r="D2200" s="2">
        <v>0.11</v>
      </c>
      <c r="H2200" s="8" t="str">
        <f t="shared" si="76"/>
        <v>42.90 (Somers' D to 0.11)</v>
      </c>
      <c r="I2200">
        <f t="shared" si="77"/>
        <v>0</v>
      </c>
    </row>
    <row r="2201" spans="1:9" ht="25.5" customHeight="1" thickBot="1" x14ac:dyDescent="0.35">
      <c r="A2201" s="13" t="s">
        <v>505</v>
      </c>
      <c r="B2201" s="2">
        <v>32</v>
      </c>
      <c r="C2201" s="12" t="s">
        <v>506</v>
      </c>
      <c r="D2201" s="2">
        <v>0.14599999999999999</v>
      </c>
      <c r="H2201" s="8" t="str">
        <f t="shared" si="76"/>
        <v>32.00 (Gamma to 0.15)</v>
      </c>
      <c r="I2201">
        <f t="shared" si="77"/>
        <v>0</v>
      </c>
    </row>
    <row r="2202" spans="1:9" ht="16.5" hidden="1" customHeight="1" thickBot="1" x14ac:dyDescent="0.35">
      <c r="A2202" s="13" t="s">
        <v>507</v>
      </c>
      <c r="B2202" s="2">
        <v>25.1</v>
      </c>
      <c r="C2202" s="12" t="s">
        <v>508</v>
      </c>
      <c r="D2202" s="2">
        <v>4.0000000000000001E-3</v>
      </c>
    </row>
    <row r="2203" spans="1:9" ht="33" hidden="1" customHeight="1" x14ac:dyDescent="0.3">
      <c r="A2203" s="14" t="s">
        <v>509</v>
      </c>
      <c r="B2203" s="2">
        <v>25170888</v>
      </c>
      <c r="C2203" s="15" t="s">
        <v>510</v>
      </c>
      <c r="D2203" s="2">
        <v>0.55500000000000005</v>
      </c>
    </row>
    <row r="2204" spans="1:9" ht="39" hidden="1" customHeight="1" x14ac:dyDescent="0.3"/>
    <row r="2205" spans="1:9" ht="26.25" hidden="1" customHeight="1" x14ac:dyDescent="0.3"/>
    <row r="2206" spans="1:9" ht="26.25" hidden="1" customHeight="1" x14ac:dyDescent="0.3"/>
    <row r="2207" spans="1:9" ht="16.5" hidden="1" customHeight="1" x14ac:dyDescent="0.3">
      <c r="A2207" s="1" t="s">
        <v>436</v>
      </c>
    </row>
    <row r="2208" spans="1:9" ht="16.5" hidden="1" customHeight="1" x14ac:dyDescent="0.3"/>
    <row r="2209" spans="1:2" ht="16.5" hidden="1" customHeight="1" x14ac:dyDescent="0.3">
      <c r="A2209" s="1" t="s">
        <v>420</v>
      </c>
    </row>
    <row r="2210" spans="1:2" ht="16.5" hidden="1" customHeight="1" thickBot="1" x14ac:dyDescent="0.3"/>
    <row r="2211" spans="1:2" ht="16.5" hidden="1" customHeight="1" x14ac:dyDescent="0.3">
      <c r="A2211" s="24" t="s">
        <v>437</v>
      </c>
      <c r="B2211" s="26"/>
    </row>
    <row r="2212" spans="1:2" ht="16.5" hidden="1" customHeight="1" thickBot="1" x14ac:dyDescent="0.35">
      <c r="A2212" s="13" t="s">
        <v>438</v>
      </c>
      <c r="B2212" s="18" t="s">
        <v>439</v>
      </c>
    </row>
    <row r="2213" spans="1:2" ht="16.5" hidden="1" customHeight="1" thickBot="1" x14ac:dyDescent="0.35">
      <c r="A2213" s="13" t="s">
        <v>440</v>
      </c>
      <c r="B2213" s="18" t="s">
        <v>19</v>
      </c>
    </row>
    <row r="2214" spans="1:2" ht="16.5" hidden="1" customHeight="1" thickBot="1" x14ac:dyDescent="0.35">
      <c r="A2214" s="13" t="s">
        <v>441</v>
      </c>
      <c r="B2214" s="18">
        <v>2</v>
      </c>
    </row>
    <row r="2215" spans="1:2" ht="16.5" hidden="1" customHeight="1" thickBot="1" x14ac:dyDescent="0.35">
      <c r="A2215" s="13" t="s">
        <v>442</v>
      </c>
      <c r="B2215" s="18" t="s">
        <v>443</v>
      </c>
    </row>
    <row r="2216" spans="1:2" ht="26.25" hidden="1" customHeight="1" thickBot="1" x14ac:dyDescent="0.35">
      <c r="A2216" s="13" t="s">
        <v>76</v>
      </c>
      <c r="B2216" s="18">
        <v>183</v>
      </c>
    </row>
    <row r="2217" spans="1:2" ht="26.25" hidden="1" customHeight="1" thickBot="1" x14ac:dyDescent="0.35">
      <c r="A2217" s="13" t="s">
        <v>444</v>
      </c>
      <c r="B2217" s="18" t="s">
        <v>445</v>
      </c>
    </row>
    <row r="2218" spans="1:2" ht="39" hidden="1" customHeight="1" thickBot="1" x14ac:dyDescent="0.35">
      <c r="A2218" s="13" t="s">
        <v>77</v>
      </c>
      <c r="B2218" s="18">
        <v>2842</v>
      </c>
    </row>
    <row r="2219" spans="1:2" ht="26.25" hidden="1" customHeight="1" thickBot="1" x14ac:dyDescent="0.35">
      <c r="A2219" s="13" t="s">
        <v>446</v>
      </c>
      <c r="B2219" s="18" t="s">
        <v>447</v>
      </c>
    </row>
    <row r="2220" spans="1:2" ht="26.25" hidden="1" customHeight="1" thickBot="1" x14ac:dyDescent="0.35">
      <c r="A2220" s="13" t="s">
        <v>448</v>
      </c>
      <c r="B2220" s="18" t="s">
        <v>449</v>
      </c>
    </row>
    <row r="2221" spans="1:2" ht="26.25" hidden="1" customHeight="1" thickBot="1" x14ac:dyDescent="0.35">
      <c r="A2221" s="13" t="s">
        <v>450</v>
      </c>
      <c r="B2221" s="18" t="s">
        <v>451</v>
      </c>
    </row>
    <row r="2222" spans="1:2" ht="26.25" hidden="1" customHeight="1" x14ac:dyDescent="0.3">
      <c r="A2222" s="14" t="s">
        <v>452</v>
      </c>
      <c r="B2222" s="19" t="s">
        <v>453</v>
      </c>
    </row>
    <row r="2223" spans="1:2" ht="26.25" hidden="1" customHeight="1" thickBot="1" x14ac:dyDescent="0.3"/>
    <row r="2224" spans="1:2" ht="26.25" hidden="1" customHeight="1" x14ac:dyDescent="0.3">
      <c r="A2224" s="24" t="s">
        <v>80</v>
      </c>
      <c r="B2224" s="26"/>
    </row>
    <row r="2225" spans="1:4" ht="39" hidden="1" customHeight="1" thickBot="1" x14ac:dyDescent="0.35">
      <c r="A2225" s="13" t="s">
        <v>81</v>
      </c>
      <c r="B2225" s="2" t="s">
        <v>82</v>
      </c>
    </row>
    <row r="2226" spans="1:4" ht="38.25" hidden="1" customHeight="1" x14ac:dyDescent="0.3">
      <c r="A2226" s="14" t="s">
        <v>452</v>
      </c>
      <c r="B2226" s="2" t="s">
        <v>453</v>
      </c>
    </row>
    <row r="2227" spans="1:4" ht="16.5" hidden="1" customHeight="1" thickBot="1" x14ac:dyDescent="0.3"/>
    <row r="2228" spans="1:4" ht="33" hidden="1" customHeight="1" thickBot="1" x14ac:dyDescent="0.35">
      <c r="A2228" s="20" t="s">
        <v>454</v>
      </c>
      <c r="B2228" s="21">
        <v>10827</v>
      </c>
    </row>
    <row r="2229" spans="1:4" ht="33.75" hidden="1" customHeight="1" thickBot="1" x14ac:dyDescent="0.35">
      <c r="A2229" s="13" t="s">
        <v>455</v>
      </c>
      <c r="B2229" s="2">
        <v>10827</v>
      </c>
    </row>
    <row r="2230" spans="1:4" ht="66" hidden="1" customHeight="1" thickBot="1" x14ac:dyDescent="0.35">
      <c r="A2230" s="13" t="s">
        <v>456</v>
      </c>
      <c r="B2230" s="2">
        <v>4217422</v>
      </c>
    </row>
    <row r="2231" spans="1:4" ht="16.5" hidden="1" customHeight="1" x14ac:dyDescent="0.3">
      <c r="A2231" s="14" t="s">
        <v>457</v>
      </c>
      <c r="B2231" s="2">
        <v>4217422</v>
      </c>
    </row>
    <row r="2232" spans="1:4" ht="39" hidden="1" customHeight="1" thickBot="1" x14ac:dyDescent="0.3"/>
    <row r="2233" spans="1:4" ht="39" hidden="1" customHeight="1" x14ac:dyDescent="0.3">
      <c r="A2233" s="24" t="s">
        <v>458</v>
      </c>
      <c r="B2233" s="26"/>
      <c r="C2233" s="26"/>
      <c r="D2233" s="26"/>
    </row>
    <row r="2234" spans="1:4" ht="39" hidden="1" customHeight="1" x14ac:dyDescent="0.3">
      <c r="A2234" s="6" t="s">
        <v>459</v>
      </c>
      <c r="B2234" s="27" t="s">
        <v>19</v>
      </c>
      <c r="C2234" s="3" t="s">
        <v>93</v>
      </c>
      <c r="D2234" s="3" t="s">
        <v>93</v>
      </c>
    </row>
    <row r="2235" spans="1:4" ht="38.25" hidden="1" customHeight="1" x14ac:dyDescent="0.3">
      <c r="A2235" s="6" t="s">
        <v>460</v>
      </c>
      <c r="B2235" s="27"/>
      <c r="C2235" s="3" t="s">
        <v>86</v>
      </c>
      <c r="D2235" s="3" t="s">
        <v>461</v>
      </c>
    </row>
    <row r="2236" spans="1:4" ht="16.5" hidden="1" customHeight="1" thickBot="1" x14ac:dyDescent="0.35">
      <c r="A2236" s="6">
        <v>1</v>
      </c>
      <c r="B2236" s="17">
        <v>0</v>
      </c>
      <c r="C2236" s="2">
        <v>10572</v>
      </c>
      <c r="D2236" s="2">
        <v>4140591.8</v>
      </c>
    </row>
    <row r="2237" spans="1:4" ht="16.5" hidden="1" customHeight="1" x14ac:dyDescent="0.3">
      <c r="A2237" s="6">
        <v>2</v>
      </c>
      <c r="B2237" s="22">
        <v>1</v>
      </c>
      <c r="C2237" s="2">
        <v>255</v>
      </c>
      <c r="D2237" s="2">
        <v>76830.2</v>
      </c>
    </row>
    <row r="2238" spans="1:4" ht="16.5" hidden="1" customHeight="1" x14ac:dyDescent="0.3"/>
    <row r="2239" spans="1:4" ht="33" hidden="1" customHeight="1" x14ac:dyDescent="0.3">
      <c r="A2239" s="1" t="s">
        <v>513</v>
      </c>
    </row>
    <row r="2240" spans="1:4" ht="17.25" hidden="1" customHeight="1" thickBot="1" x14ac:dyDescent="0.3"/>
    <row r="2241" spans="1:5" ht="16.5" hidden="1" customHeight="1" x14ac:dyDescent="0.3">
      <c r="A2241" s="24" t="s">
        <v>462</v>
      </c>
      <c r="B2241" s="26"/>
      <c r="C2241" s="26"/>
      <c r="D2241" s="26"/>
      <c r="E2241" s="26"/>
    </row>
    <row r="2242" spans="1:5" ht="16.5" hidden="1" customHeight="1" x14ac:dyDescent="0.3">
      <c r="A2242" s="6" t="s">
        <v>463</v>
      </c>
      <c r="B2242" s="3" t="s">
        <v>460</v>
      </c>
      <c r="C2242" s="27" t="s">
        <v>464</v>
      </c>
      <c r="D2242" s="27"/>
      <c r="E2242" s="27"/>
    </row>
    <row r="2243" spans="1:5" ht="16.5" hidden="1" customHeight="1" thickBot="1" x14ac:dyDescent="0.35">
      <c r="A2243" s="13" t="s">
        <v>22</v>
      </c>
      <c r="B2243" s="12">
        <v>1</v>
      </c>
      <c r="C2243" s="2">
        <v>0</v>
      </c>
      <c r="D2243" s="2">
        <v>0</v>
      </c>
      <c r="E2243" s="2">
        <v>0</v>
      </c>
    </row>
    <row r="2244" spans="1:5" ht="16.5" hidden="1" customHeight="1" thickBot="1" x14ac:dyDescent="0.35">
      <c r="A2244" s="13"/>
      <c r="B2244" s="12">
        <v>2</v>
      </c>
      <c r="C2244" s="2">
        <v>1</v>
      </c>
      <c r="D2244" s="2">
        <v>0</v>
      </c>
      <c r="E2244" s="2">
        <v>0</v>
      </c>
    </row>
    <row r="2245" spans="1:5" ht="16.5" hidden="1" customHeight="1" thickBot="1" x14ac:dyDescent="0.35">
      <c r="A2245" s="13"/>
      <c r="B2245" s="12">
        <v>3</v>
      </c>
      <c r="C2245" s="2">
        <v>0</v>
      </c>
      <c r="D2245" s="2">
        <v>1</v>
      </c>
      <c r="E2245" s="2">
        <v>0</v>
      </c>
    </row>
    <row r="2246" spans="1:5" ht="16.5" hidden="1" customHeight="1" x14ac:dyDescent="0.3">
      <c r="A2246" s="14"/>
      <c r="B2246" s="15">
        <v>4</v>
      </c>
      <c r="C2246" s="2">
        <v>0</v>
      </c>
      <c r="D2246" s="2">
        <v>0</v>
      </c>
      <c r="E2246" s="2">
        <v>1</v>
      </c>
    </row>
    <row r="2247" spans="1:5" ht="17.25" hidden="1" customHeight="1" thickBot="1" x14ac:dyDescent="0.3"/>
    <row r="2248" spans="1:5" ht="17.25" hidden="1" customHeight="1" x14ac:dyDescent="0.3">
      <c r="A2248" s="4" t="s">
        <v>465</v>
      </c>
    </row>
    <row r="2249" spans="1:5" ht="17.25" hidden="1" customHeight="1" x14ac:dyDescent="0.3">
      <c r="A2249" s="23" t="s">
        <v>466</v>
      </c>
    </row>
    <row r="2250" spans="1:5" ht="16.5" hidden="1" customHeight="1" thickBot="1" x14ac:dyDescent="0.3"/>
    <row r="2251" spans="1:5" ht="16.5" hidden="1" customHeight="1" x14ac:dyDescent="0.3">
      <c r="A2251" s="24" t="s">
        <v>467</v>
      </c>
      <c r="B2251" s="26"/>
      <c r="C2251" s="26"/>
    </row>
    <row r="2252" spans="1:5" ht="66" hidden="1" customHeight="1" x14ac:dyDescent="0.3">
      <c r="A2252" s="6" t="s">
        <v>468</v>
      </c>
      <c r="B2252" s="3" t="s">
        <v>469</v>
      </c>
      <c r="C2252" s="3" t="s">
        <v>470</v>
      </c>
    </row>
    <row r="2253" spans="1:5" ht="99" hidden="1" customHeight="1" thickBot="1" x14ac:dyDescent="0.35">
      <c r="A2253" s="13" t="s">
        <v>471</v>
      </c>
      <c r="B2253" s="2">
        <v>767722.83</v>
      </c>
      <c r="C2253" s="2">
        <v>759413.53</v>
      </c>
    </row>
    <row r="2254" spans="1:5" ht="16.5" hidden="1" customHeight="1" thickBot="1" x14ac:dyDescent="0.35">
      <c r="A2254" s="13" t="s">
        <v>472</v>
      </c>
      <c r="B2254" s="2">
        <v>767736.09</v>
      </c>
      <c r="C2254" s="2">
        <v>759466.54</v>
      </c>
    </row>
    <row r="2255" spans="1:5" ht="16.5" hidden="1" customHeight="1" x14ac:dyDescent="0.3">
      <c r="A2255" s="14" t="s">
        <v>473</v>
      </c>
      <c r="B2255" s="2" t="s">
        <v>644</v>
      </c>
      <c r="C2255" s="2">
        <v>759405.53</v>
      </c>
    </row>
    <row r="2256" spans="1:5" ht="66" hidden="1" customHeight="1" thickBot="1" x14ac:dyDescent="0.3"/>
    <row r="2257" spans="1:6" ht="17.25" hidden="1" customHeight="1" x14ac:dyDescent="0.3">
      <c r="A2257" s="24" t="s">
        <v>474</v>
      </c>
      <c r="B2257" s="26"/>
      <c r="C2257" s="26"/>
      <c r="D2257" s="26"/>
      <c r="E2257" s="26"/>
    </row>
    <row r="2258" spans="1:6" ht="17.25" hidden="1" customHeight="1" x14ac:dyDescent="0.3">
      <c r="A2258" s="6" t="s">
        <v>475</v>
      </c>
      <c r="B2258" s="3" t="s">
        <v>476</v>
      </c>
      <c r="C2258" s="3" t="s">
        <v>477</v>
      </c>
      <c r="D2258" s="3" t="s">
        <v>478</v>
      </c>
      <c r="E2258" s="3" t="s">
        <v>479</v>
      </c>
    </row>
    <row r="2259" spans="1:6" ht="16.5" hidden="1" customHeight="1" x14ac:dyDescent="0.3">
      <c r="A2259" s="25" t="s">
        <v>537</v>
      </c>
      <c r="B2259" s="27"/>
      <c r="C2259" s="27"/>
      <c r="D2259" s="27"/>
      <c r="E2259" s="27"/>
    </row>
    <row r="2260" spans="1:6" ht="16.5" hidden="1" customHeight="1" thickBot="1" x14ac:dyDescent="0.35">
      <c r="A2260" s="13" t="s">
        <v>481</v>
      </c>
      <c r="B2260" s="2">
        <v>7.19</v>
      </c>
      <c r="C2260" s="2">
        <v>2.9895999999999998</v>
      </c>
      <c r="D2260" s="2">
        <v>7949.41</v>
      </c>
      <c r="E2260" s="2" t="s">
        <v>482</v>
      </c>
    </row>
    <row r="2261" spans="1:6" ht="16.5" hidden="1" customHeight="1" thickBot="1" x14ac:dyDescent="0.35">
      <c r="A2261" s="13" t="s">
        <v>483</v>
      </c>
      <c r="B2261" s="2">
        <v>12.1</v>
      </c>
      <c r="C2261" s="2">
        <v>3</v>
      </c>
      <c r="D2261" s="2">
        <v>2657</v>
      </c>
      <c r="E2261" s="2" t="s">
        <v>482</v>
      </c>
    </row>
    <row r="2262" spans="1:6" ht="16.5" hidden="1" customHeight="1" x14ac:dyDescent="0.3">
      <c r="A2262" s="14" t="s">
        <v>484</v>
      </c>
      <c r="B2262" s="2">
        <v>6.56</v>
      </c>
      <c r="C2262" s="2">
        <v>3</v>
      </c>
      <c r="D2262" s="2">
        <v>2657</v>
      </c>
      <c r="E2262" s="2">
        <v>2.0000000000000001E-4</v>
      </c>
    </row>
    <row r="2263" spans="1:6" ht="33" hidden="1" customHeight="1" thickBot="1" x14ac:dyDescent="0.3"/>
    <row r="2264" spans="1:6" ht="26.25" hidden="1" customHeight="1" x14ac:dyDescent="0.3">
      <c r="A2264" s="24" t="s">
        <v>485</v>
      </c>
      <c r="B2264" s="26"/>
      <c r="C2264" s="26"/>
      <c r="D2264" s="26"/>
      <c r="E2264" s="26"/>
    </row>
    <row r="2265" spans="1:6" ht="17.25" hidden="1" customHeight="1" x14ac:dyDescent="0.3">
      <c r="A2265" s="6" t="s">
        <v>486</v>
      </c>
      <c r="B2265" s="3" t="s">
        <v>476</v>
      </c>
      <c r="C2265" s="3" t="s">
        <v>477</v>
      </c>
      <c r="D2265" s="3" t="s">
        <v>478</v>
      </c>
      <c r="E2265" s="3" t="s">
        <v>479</v>
      </c>
    </row>
    <row r="2266" spans="1:6" ht="16.5" hidden="1" customHeight="1" x14ac:dyDescent="0.3">
      <c r="A2266" s="14" t="s">
        <v>22</v>
      </c>
      <c r="B2266" s="2">
        <v>6.56</v>
      </c>
      <c r="C2266" s="2">
        <v>3</v>
      </c>
      <c r="D2266" s="2">
        <v>2657</v>
      </c>
      <c r="E2266" s="2">
        <v>2.0000000000000001E-4</v>
      </c>
    </row>
    <row r="2267" spans="1:6" ht="16.5" hidden="1" customHeight="1" thickBot="1" x14ac:dyDescent="0.3"/>
    <row r="2268" spans="1:6" ht="16.5" hidden="1" customHeight="1" x14ac:dyDescent="0.3">
      <c r="A2268" s="24" t="s">
        <v>487</v>
      </c>
      <c r="B2268" s="26"/>
      <c r="C2268" s="26"/>
      <c r="D2268" s="26"/>
      <c r="E2268" s="26"/>
      <c r="F2268" s="26"/>
    </row>
    <row r="2269" spans="1:6" ht="16.5" hidden="1" customHeight="1" x14ac:dyDescent="0.3">
      <c r="A2269" s="25" t="s">
        <v>488</v>
      </c>
      <c r="B2269" s="27"/>
      <c r="C2269" s="27" t="s">
        <v>489</v>
      </c>
      <c r="D2269" s="3" t="s">
        <v>490</v>
      </c>
      <c r="E2269" s="27" t="s">
        <v>492</v>
      </c>
      <c r="F2269" s="27" t="s">
        <v>493</v>
      </c>
    </row>
    <row r="2270" spans="1:6" ht="16.5" hidden="1" customHeight="1" x14ac:dyDescent="0.3">
      <c r="A2270" s="25"/>
      <c r="B2270" s="27"/>
      <c r="C2270" s="27"/>
      <c r="D2270" s="3" t="s">
        <v>491</v>
      </c>
      <c r="E2270" s="27"/>
      <c r="F2270" s="27"/>
    </row>
    <row r="2271" spans="1:6" ht="16.5" hidden="1" customHeight="1" x14ac:dyDescent="0.3">
      <c r="A2271" s="25" t="s">
        <v>588</v>
      </c>
      <c r="B2271" s="27"/>
      <c r="C2271" s="27"/>
      <c r="D2271" s="27"/>
      <c r="E2271" s="27"/>
      <c r="F2271" s="27"/>
    </row>
    <row r="2272" spans="1:6" ht="16.5" hidden="1" customHeight="1" thickBot="1" x14ac:dyDescent="0.35">
      <c r="A2272" s="13" t="s">
        <v>495</v>
      </c>
      <c r="B2272" s="12"/>
      <c r="C2272" s="16">
        <v>-4.7914000000000003</v>
      </c>
      <c r="D2272" s="2">
        <v>0.21199999999999999</v>
      </c>
      <c r="E2272" s="16">
        <v>-22.6</v>
      </c>
      <c r="F2272" s="2" t="s">
        <v>482</v>
      </c>
    </row>
    <row r="2273" spans="1:9" ht="16.5" hidden="1" customHeight="1" thickBot="1" x14ac:dyDescent="0.35">
      <c r="A2273" s="13" t="s">
        <v>22</v>
      </c>
      <c r="B2273" s="12">
        <v>2</v>
      </c>
      <c r="C2273" s="2">
        <v>0.8952</v>
      </c>
      <c r="D2273" s="2">
        <v>0.25230000000000002</v>
      </c>
      <c r="E2273" s="2">
        <v>3.55</v>
      </c>
      <c r="F2273" s="2">
        <v>4.0000000000000002E-4</v>
      </c>
    </row>
    <row r="2274" spans="1:9" ht="16.5" hidden="1" customHeight="1" thickBot="1" x14ac:dyDescent="0.35">
      <c r="A2274" s="13" t="s">
        <v>22</v>
      </c>
      <c r="B2274" s="12">
        <v>3</v>
      </c>
      <c r="C2274" s="2">
        <v>0.84699999999999998</v>
      </c>
      <c r="D2274" s="2">
        <v>0.253</v>
      </c>
      <c r="E2274" s="2">
        <v>3.35</v>
      </c>
      <c r="F2274" s="2">
        <v>8.0000000000000004E-4</v>
      </c>
    </row>
    <row r="2275" spans="1:9" ht="16.5" hidden="1" customHeight="1" x14ac:dyDescent="0.3">
      <c r="A2275" s="14" t="s">
        <v>22</v>
      </c>
      <c r="B2275" s="15">
        <v>4</v>
      </c>
      <c r="C2275" s="2">
        <v>1.0723</v>
      </c>
      <c r="D2275" s="2">
        <v>0.2437</v>
      </c>
      <c r="E2275" s="2">
        <v>4.4000000000000004</v>
      </c>
      <c r="F2275" s="2" t="s">
        <v>482</v>
      </c>
    </row>
    <row r="2276" spans="1:9" ht="17.25" hidden="1" customHeight="1" thickBot="1" x14ac:dyDescent="0.3"/>
    <row r="2277" spans="1:9" ht="17.25" hidden="1" customHeight="1" x14ac:dyDescent="0.3">
      <c r="A2277" s="24" t="s">
        <v>496</v>
      </c>
      <c r="B2277" s="26"/>
      <c r="C2277" s="26"/>
      <c r="D2277" s="26"/>
      <c r="H2277">
        <f>F2277</f>
        <v>0</v>
      </c>
    </row>
    <row r="2278" spans="1:9" ht="17.25" hidden="1" customHeight="1" x14ac:dyDescent="0.3">
      <c r="A2278" s="6" t="s">
        <v>486</v>
      </c>
      <c r="B2278" s="3" t="s">
        <v>497</v>
      </c>
      <c r="C2278" s="27" t="s">
        <v>91</v>
      </c>
      <c r="D2278" s="27"/>
      <c r="H2278">
        <f t="shared" ref="H2278:H2279" si="78">F2278</f>
        <v>0</v>
      </c>
    </row>
    <row r="2279" spans="1:9" ht="16.5" hidden="1" customHeight="1" x14ac:dyDescent="0.3">
      <c r="A2279" s="25" t="s">
        <v>589</v>
      </c>
      <c r="B2279" s="27"/>
      <c r="C2279" s="27"/>
      <c r="D2279" s="27"/>
      <c r="H2279">
        <f t="shared" si="78"/>
        <v>0</v>
      </c>
    </row>
    <row r="2280" spans="1:9" ht="16.5" hidden="1" customHeight="1" thickBot="1" x14ac:dyDescent="0.35">
      <c r="A2280" s="13" t="s">
        <v>499</v>
      </c>
      <c r="B2280" s="2">
        <v>2.448</v>
      </c>
      <c r="C2280" s="2">
        <v>1.492</v>
      </c>
      <c r="D2280" s="2">
        <v>4.0149999999999997</v>
      </c>
    </row>
    <row r="2281" spans="1:9" ht="16.5" hidden="1" customHeight="1" thickBot="1" x14ac:dyDescent="0.35">
      <c r="A2281" s="13" t="s">
        <v>500</v>
      </c>
      <c r="B2281" s="2">
        <v>2.3330000000000002</v>
      </c>
      <c r="C2281" s="2">
        <v>1.42</v>
      </c>
      <c r="D2281" s="2">
        <v>3.831</v>
      </c>
    </row>
    <row r="2282" spans="1:9" ht="33" hidden="1" customHeight="1" thickBot="1" x14ac:dyDescent="0.35">
      <c r="A2282" s="14" t="s">
        <v>501</v>
      </c>
      <c r="B2282" s="2">
        <v>2.9220000000000002</v>
      </c>
      <c r="C2282" s="2">
        <v>1.8120000000000001</v>
      </c>
      <c r="D2282" s="2">
        <v>4.7119999999999997</v>
      </c>
    </row>
    <row r="2283" spans="1:9" ht="49.5" hidden="1" customHeight="1" thickBot="1" x14ac:dyDescent="0.3"/>
    <row r="2284" spans="1:9" ht="33" customHeight="1" x14ac:dyDescent="0.3">
      <c r="A2284" s="24" t="s">
        <v>502</v>
      </c>
      <c r="B2284" s="26"/>
      <c r="C2284" s="26"/>
      <c r="D2284" s="26"/>
      <c r="H2284" s="8" t="str">
        <f t="shared" ref="H2284:H2286" si="79">TEXT(B2284,"0.00")&amp;" ("&amp;TEXT(C2284,"0.00")&amp;" to "&amp;TEXT(D2284,"0.00")&amp;")"</f>
        <v>0.00 (0.00 to 0.00)</v>
      </c>
      <c r="I2284">
        <f t="shared" ref="I2284:I2286" si="80">F2277</f>
        <v>0</v>
      </c>
    </row>
    <row r="2285" spans="1:9" ht="26.25" customHeight="1" thickBot="1" x14ac:dyDescent="0.35">
      <c r="A2285" s="13" t="s">
        <v>503</v>
      </c>
      <c r="B2285" s="2">
        <v>34.799999999999997</v>
      </c>
      <c r="C2285" s="12" t="s">
        <v>504</v>
      </c>
      <c r="D2285" s="2">
        <v>9.9000000000000005E-2</v>
      </c>
      <c r="H2285" s="8" t="str">
        <f t="shared" si="79"/>
        <v>34.80 (Somers' D to 0.10)</v>
      </c>
      <c r="I2285">
        <f t="shared" si="80"/>
        <v>0</v>
      </c>
    </row>
    <row r="2286" spans="1:9" ht="25.5" customHeight="1" thickBot="1" x14ac:dyDescent="0.35">
      <c r="A2286" s="13" t="s">
        <v>505</v>
      </c>
      <c r="B2286" s="2">
        <v>24.9</v>
      </c>
      <c r="C2286" s="12" t="s">
        <v>506</v>
      </c>
      <c r="D2286" s="2">
        <v>0.16600000000000001</v>
      </c>
      <c r="H2286" s="8" t="str">
        <f t="shared" si="79"/>
        <v>24.90 (Gamma to 0.17)</v>
      </c>
      <c r="I2286">
        <f t="shared" si="80"/>
        <v>0</v>
      </c>
    </row>
    <row r="2287" spans="1:9" ht="16.5" hidden="1" customHeight="1" thickBot="1" x14ac:dyDescent="0.35">
      <c r="A2287" s="13" t="s">
        <v>507</v>
      </c>
      <c r="B2287" s="2">
        <v>40.299999999999997</v>
      </c>
      <c r="C2287" s="12" t="s">
        <v>508</v>
      </c>
      <c r="D2287" s="2">
        <v>5.0000000000000001E-3</v>
      </c>
    </row>
    <row r="2288" spans="1:9" ht="33" hidden="1" customHeight="1" x14ac:dyDescent="0.3">
      <c r="A2288" s="14" t="s">
        <v>509</v>
      </c>
      <c r="B2288" s="2">
        <v>2695860</v>
      </c>
      <c r="C2288" s="15" t="s">
        <v>510</v>
      </c>
      <c r="D2288" s="2">
        <v>0.55000000000000004</v>
      </c>
    </row>
    <row r="2289" spans="1:2" ht="39" hidden="1" customHeight="1" x14ac:dyDescent="0.3"/>
    <row r="2290" spans="1:2" ht="26.25" hidden="1" customHeight="1" x14ac:dyDescent="0.3"/>
    <row r="2291" spans="1:2" ht="26.25" hidden="1" customHeight="1" x14ac:dyDescent="0.3"/>
    <row r="2292" spans="1:2" ht="16.5" hidden="1" customHeight="1" x14ac:dyDescent="0.3">
      <c r="A2292" s="1" t="s">
        <v>436</v>
      </c>
    </row>
    <row r="2293" spans="1:2" ht="16.5" hidden="1" customHeight="1" x14ac:dyDescent="0.3"/>
    <row r="2294" spans="1:2" ht="16.5" hidden="1" customHeight="1" x14ac:dyDescent="0.3">
      <c r="A2294" s="1" t="s">
        <v>421</v>
      </c>
    </row>
    <row r="2295" spans="1:2" ht="16.5" hidden="1" customHeight="1" thickBot="1" x14ac:dyDescent="0.3"/>
    <row r="2296" spans="1:2" ht="16.5" hidden="1" customHeight="1" x14ac:dyDescent="0.3">
      <c r="A2296" s="24" t="s">
        <v>437</v>
      </c>
      <c r="B2296" s="26"/>
    </row>
    <row r="2297" spans="1:2" ht="16.5" hidden="1" customHeight="1" thickBot="1" x14ac:dyDescent="0.35">
      <c r="A2297" s="13" t="s">
        <v>438</v>
      </c>
      <c r="B2297" s="18" t="s">
        <v>439</v>
      </c>
    </row>
    <row r="2298" spans="1:2" ht="16.5" hidden="1" customHeight="1" thickBot="1" x14ac:dyDescent="0.35">
      <c r="A2298" s="13" t="s">
        <v>440</v>
      </c>
      <c r="B2298" s="18" t="s">
        <v>19</v>
      </c>
    </row>
    <row r="2299" spans="1:2" ht="16.5" hidden="1" customHeight="1" thickBot="1" x14ac:dyDescent="0.35">
      <c r="A2299" s="13" t="s">
        <v>441</v>
      </c>
      <c r="B2299" s="18">
        <v>2</v>
      </c>
    </row>
    <row r="2300" spans="1:2" ht="16.5" hidden="1" customHeight="1" thickBot="1" x14ac:dyDescent="0.35">
      <c r="A2300" s="13" t="s">
        <v>442</v>
      </c>
      <c r="B2300" s="18" t="s">
        <v>443</v>
      </c>
    </row>
    <row r="2301" spans="1:2" ht="26.25" hidden="1" customHeight="1" thickBot="1" x14ac:dyDescent="0.35">
      <c r="A2301" s="13" t="s">
        <v>76</v>
      </c>
      <c r="B2301" s="18">
        <v>183</v>
      </c>
    </row>
    <row r="2302" spans="1:2" ht="26.25" hidden="1" customHeight="1" thickBot="1" x14ac:dyDescent="0.35">
      <c r="A2302" s="13" t="s">
        <v>444</v>
      </c>
      <c r="B2302" s="18" t="s">
        <v>445</v>
      </c>
    </row>
    <row r="2303" spans="1:2" ht="39" hidden="1" customHeight="1" thickBot="1" x14ac:dyDescent="0.35">
      <c r="A2303" s="13" t="s">
        <v>77</v>
      </c>
      <c r="B2303" s="18">
        <v>2980</v>
      </c>
    </row>
    <row r="2304" spans="1:2" ht="26.25" hidden="1" customHeight="1" thickBot="1" x14ac:dyDescent="0.35">
      <c r="A2304" s="13" t="s">
        <v>446</v>
      </c>
      <c r="B2304" s="18" t="s">
        <v>447</v>
      </c>
    </row>
    <row r="2305" spans="1:4" ht="26.25" hidden="1" customHeight="1" thickBot="1" x14ac:dyDescent="0.35">
      <c r="A2305" s="13" t="s">
        <v>448</v>
      </c>
      <c r="B2305" s="18" t="s">
        <v>449</v>
      </c>
    </row>
    <row r="2306" spans="1:4" ht="26.25" hidden="1" customHeight="1" thickBot="1" x14ac:dyDescent="0.35">
      <c r="A2306" s="13" t="s">
        <v>450</v>
      </c>
      <c r="B2306" s="18" t="s">
        <v>451</v>
      </c>
    </row>
    <row r="2307" spans="1:4" ht="26.25" hidden="1" customHeight="1" x14ac:dyDescent="0.3">
      <c r="A2307" s="14" t="s">
        <v>452</v>
      </c>
      <c r="B2307" s="19" t="s">
        <v>453</v>
      </c>
    </row>
    <row r="2308" spans="1:4" ht="26.25" hidden="1" customHeight="1" thickBot="1" x14ac:dyDescent="0.3"/>
    <row r="2309" spans="1:4" ht="26.25" hidden="1" customHeight="1" x14ac:dyDescent="0.3">
      <c r="A2309" s="24" t="s">
        <v>80</v>
      </c>
      <c r="B2309" s="26"/>
    </row>
    <row r="2310" spans="1:4" ht="39" hidden="1" customHeight="1" thickBot="1" x14ac:dyDescent="0.35">
      <c r="A2310" s="13" t="s">
        <v>81</v>
      </c>
      <c r="B2310" s="2" t="s">
        <v>82</v>
      </c>
    </row>
    <row r="2311" spans="1:4" ht="38.25" hidden="1" customHeight="1" x14ac:dyDescent="0.3">
      <c r="A2311" s="14" t="s">
        <v>452</v>
      </c>
      <c r="B2311" s="2" t="s">
        <v>453</v>
      </c>
    </row>
    <row r="2312" spans="1:4" ht="16.5" hidden="1" customHeight="1" thickBot="1" x14ac:dyDescent="0.3"/>
    <row r="2313" spans="1:4" ht="33" hidden="1" customHeight="1" thickBot="1" x14ac:dyDescent="0.35">
      <c r="A2313" s="20" t="s">
        <v>454</v>
      </c>
      <c r="B2313" s="21">
        <v>26908</v>
      </c>
    </row>
    <row r="2314" spans="1:4" ht="33.75" hidden="1" customHeight="1" thickBot="1" x14ac:dyDescent="0.35">
      <c r="A2314" s="13" t="s">
        <v>455</v>
      </c>
      <c r="B2314" s="2">
        <v>26908</v>
      </c>
    </row>
    <row r="2315" spans="1:4" ht="66" hidden="1" customHeight="1" thickBot="1" x14ac:dyDescent="0.35">
      <c r="A2315" s="13" t="s">
        <v>456</v>
      </c>
      <c r="B2315" s="2">
        <v>10739070</v>
      </c>
    </row>
    <row r="2316" spans="1:4" ht="16.5" hidden="1" customHeight="1" x14ac:dyDescent="0.3">
      <c r="A2316" s="14" t="s">
        <v>457</v>
      </c>
      <c r="B2316" s="2">
        <v>10739070</v>
      </c>
    </row>
    <row r="2317" spans="1:4" ht="39" hidden="1" customHeight="1" thickBot="1" x14ac:dyDescent="0.3"/>
    <row r="2318" spans="1:4" ht="39" hidden="1" customHeight="1" x14ac:dyDescent="0.3">
      <c r="A2318" s="24" t="s">
        <v>458</v>
      </c>
      <c r="B2318" s="26"/>
      <c r="C2318" s="26"/>
      <c r="D2318" s="26"/>
    </row>
    <row r="2319" spans="1:4" ht="39" hidden="1" customHeight="1" x14ac:dyDescent="0.3">
      <c r="A2319" s="6" t="s">
        <v>459</v>
      </c>
      <c r="B2319" s="27" t="s">
        <v>19</v>
      </c>
      <c r="C2319" s="3" t="s">
        <v>93</v>
      </c>
      <c r="D2319" s="3" t="s">
        <v>93</v>
      </c>
    </row>
    <row r="2320" spans="1:4" ht="38.25" hidden="1" customHeight="1" x14ac:dyDescent="0.3">
      <c r="A2320" s="6" t="s">
        <v>460</v>
      </c>
      <c r="B2320" s="27"/>
      <c r="C2320" s="3" t="s">
        <v>86</v>
      </c>
      <c r="D2320" s="3" t="s">
        <v>461</v>
      </c>
    </row>
    <row r="2321" spans="1:5" ht="16.5" hidden="1" customHeight="1" thickBot="1" x14ac:dyDescent="0.35">
      <c r="A2321" s="6">
        <v>1</v>
      </c>
      <c r="B2321" s="17">
        <v>0</v>
      </c>
      <c r="C2321" s="2">
        <v>26311</v>
      </c>
      <c r="D2321" s="2">
        <v>10559422</v>
      </c>
    </row>
    <row r="2322" spans="1:5" ht="16.5" hidden="1" customHeight="1" x14ac:dyDescent="0.3">
      <c r="A2322" s="6">
        <v>2</v>
      </c>
      <c r="B2322" s="22">
        <v>1</v>
      </c>
      <c r="C2322" s="2">
        <v>597</v>
      </c>
      <c r="D2322" s="2">
        <v>179648</v>
      </c>
    </row>
    <row r="2323" spans="1:5" ht="16.5" hidden="1" customHeight="1" x14ac:dyDescent="0.3"/>
    <row r="2324" spans="1:5" ht="33" hidden="1" customHeight="1" x14ac:dyDescent="0.3">
      <c r="A2324" s="1" t="s">
        <v>513</v>
      </c>
    </row>
    <row r="2325" spans="1:5" ht="17.25" hidden="1" customHeight="1" thickBot="1" x14ac:dyDescent="0.3"/>
    <row r="2326" spans="1:5" ht="16.5" hidden="1" customHeight="1" x14ac:dyDescent="0.3">
      <c r="A2326" s="24" t="s">
        <v>462</v>
      </c>
      <c r="B2326" s="26"/>
      <c r="C2326" s="26"/>
      <c r="D2326" s="26"/>
      <c r="E2326" s="26"/>
    </row>
    <row r="2327" spans="1:5" ht="16.5" hidden="1" customHeight="1" x14ac:dyDescent="0.3">
      <c r="A2327" s="6" t="s">
        <v>463</v>
      </c>
      <c r="B2327" s="3" t="s">
        <v>460</v>
      </c>
      <c r="C2327" s="27" t="s">
        <v>464</v>
      </c>
      <c r="D2327" s="27"/>
      <c r="E2327" s="27"/>
    </row>
    <row r="2328" spans="1:5" ht="16.5" hidden="1" customHeight="1" thickBot="1" x14ac:dyDescent="0.35">
      <c r="A2328" s="13" t="s">
        <v>22</v>
      </c>
      <c r="B2328" s="12">
        <v>1</v>
      </c>
      <c r="C2328" s="2">
        <v>0</v>
      </c>
      <c r="D2328" s="2">
        <v>0</v>
      </c>
      <c r="E2328" s="2">
        <v>0</v>
      </c>
    </row>
    <row r="2329" spans="1:5" ht="16.5" hidden="1" customHeight="1" thickBot="1" x14ac:dyDescent="0.35">
      <c r="A2329" s="13"/>
      <c r="B2329" s="12">
        <v>2</v>
      </c>
      <c r="C2329" s="2">
        <v>1</v>
      </c>
      <c r="D2329" s="2">
        <v>0</v>
      </c>
      <c r="E2329" s="2">
        <v>0</v>
      </c>
    </row>
    <row r="2330" spans="1:5" ht="16.5" hidden="1" customHeight="1" thickBot="1" x14ac:dyDescent="0.35">
      <c r="A2330" s="13"/>
      <c r="B2330" s="12">
        <v>3</v>
      </c>
      <c r="C2330" s="2">
        <v>0</v>
      </c>
      <c r="D2330" s="2">
        <v>1</v>
      </c>
      <c r="E2330" s="2">
        <v>0</v>
      </c>
    </row>
    <row r="2331" spans="1:5" ht="16.5" hidden="1" customHeight="1" x14ac:dyDescent="0.3">
      <c r="A2331" s="14"/>
      <c r="B2331" s="15">
        <v>4</v>
      </c>
      <c r="C2331" s="2">
        <v>0</v>
      </c>
      <c r="D2331" s="2">
        <v>0</v>
      </c>
      <c r="E2331" s="2">
        <v>1</v>
      </c>
    </row>
    <row r="2332" spans="1:5" ht="17.25" hidden="1" customHeight="1" thickBot="1" x14ac:dyDescent="0.3"/>
    <row r="2333" spans="1:5" ht="17.25" hidden="1" customHeight="1" x14ac:dyDescent="0.3">
      <c r="A2333" s="4" t="s">
        <v>465</v>
      </c>
    </row>
    <row r="2334" spans="1:5" ht="17.25" hidden="1" customHeight="1" x14ac:dyDescent="0.3">
      <c r="A2334" s="23" t="s">
        <v>466</v>
      </c>
    </row>
    <row r="2335" spans="1:5" ht="16.5" hidden="1" customHeight="1" thickBot="1" x14ac:dyDescent="0.3"/>
    <row r="2336" spans="1:5" ht="16.5" hidden="1" customHeight="1" x14ac:dyDescent="0.3">
      <c r="A2336" s="24" t="s">
        <v>467</v>
      </c>
      <c r="B2336" s="26"/>
      <c r="C2336" s="26"/>
    </row>
    <row r="2337" spans="1:5" ht="66" hidden="1" customHeight="1" x14ac:dyDescent="0.3">
      <c r="A2337" s="6" t="s">
        <v>468</v>
      </c>
      <c r="B2337" s="3" t="s">
        <v>469</v>
      </c>
      <c r="C2337" s="3" t="s">
        <v>470</v>
      </c>
    </row>
    <row r="2338" spans="1:5" ht="99" hidden="1" customHeight="1" thickBot="1" x14ac:dyDescent="0.35">
      <c r="A2338" s="13" t="s">
        <v>471</v>
      </c>
      <c r="B2338" s="2">
        <v>1826026.7</v>
      </c>
      <c r="C2338" s="2">
        <v>1805038.8</v>
      </c>
    </row>
    <row r="2339" spans="1:5" ht="16.5" hidden="1" customHeight="1" thickBot="1" x14ac:dyDescent="0.35">
      <c r="A2339" s="13" t="s">
        <v>472</v>
      </c>
      <c r="B2339" s="2">
        <v>1826040.8</v>
      </c>
      <c r="C2339" s="2">
        <v>1805095.6</v>
      </c>
    </row>
    <row r="2340" spans="1:5" ht="16.5" hidden="1" customHeight="1" x14ac:dyDescent="0.3">
      <c r="A2340" s="14" t="s">
        <v>473</v>
      </c>
      <c r="B2340" s="2" t="s">
        <v>645</v>
      </c>
      <c r="C2340" s="2">
        <v>1805030.8</v>
      </c>
    </row>
    <row r="2341" spans="1:5" ht="66" hidden="1" customHeight="1" thickBot="1" x14ac:dyDescent="0.3"/>
    <row r="2342" spans="1:5" ht="17.25" hidden="1" customHeight="1" x14ac:dyDescent="0.3">
      <c r="A2342" s="24" t="s">
        <v>474</v>
      </c>
      <c r="B2342" s="26"/>
      <c r="C2342" s="26"/>
      <c r="D2342" s="26"/>
      <c r="E2342" s="26"/>
    </row>
    <row r="2343" spans="1:5" ht="17.25" hidden="1" customHeight="1" x14ac:dyDescent="0.3">
      <c r="A2343" s="6" t="s">
        <v>475</v>
      </c>
      <c r="B2343" s="3" t="s">
        <v>476</v>
      </c>
      <c r="C2343" s="3" t="s">
        <v>477</v>
      </c>
      <c r="D2343" s="3" t="s">
        <v>478</v>
      </c>
      <c r="E2343" s="3" t="s">
        <v>479</v>
      </c>
    </row>
    <row r="2344" spans="1:5" ht="16.5" hidden="1" customHeight="1" x14ac:dyDescent="0.3">
      <c r="A2344" s="25" t="s">
        <v>601</v>
      </c>
      <c r="B2344" s="27"/>
      <c r="C2344" s="27"/>
      <c r="D2344" s="27"/>
      <c r="E2344" s="27"/>
    </row>
    <row r="2345" spans="1:5" ht="16.5" hidden="1" customHeight="1" thickBot="1" x14ac:dyDescent="0.35">
      <c r="A2345" s="13" t="s">
        <v>481</v>
      </c>
      <c r="B2345" s="2">
        <v>17.22</v>
      </c>
      <c r="C2345" s="2">
        <v>2.9992999999999999</v>
      </c>
      <c r="D2345" s="2">
        <v>8388.93</v>
      </c>
      <c r="E2345" s="2" t="s">
        <v>482</v>
      </c>
    </row>
    <row r="2346" spans="1:5" ht="16.5" hidden="1" customHeight="1" thickBot="1" x14ac:dyDescent="0.35">
      <c r="A2346" s="13" t="s">
        <v>483</v>
      </c>
      <c r="B2346" s="2">
        <v>18.37</v>
      </c>
      <c r="C2346" s="2">
        <v>3</v>
      </c>
      <c r="D2346" s="2">
        <v>2795</v>
      </c>
      <c r="E2346" s="2" t="s">
        <v>482</v>
      </c>
    </row>
    <row r="2347" spans="1:5" ht="16.5" hidden="1" customHeight="1" x14ac:dyDescent="0.3">
      <c r="A2347" s="14" t="s">
        <v>484</v>
      </c>
      <c r="B2347" s="2">
        <v>14.88</v>
      </c>
      <c r="C2347" s="2">
        <v>3</v>
      </c>
      <c r="D2347" s="2">
        <v>2795</v>
      </c>
      <c r="E2347" s="2" t="s">
        <v>482</v>
      </c>
    </row>
    <row r="2348" spans="1:5" ht="33" hidden="1" customHeight="1" thickBot="1" x14ac:dyDescent="0.3"/>
    <row r="2349" spans="1:5" ht="26.25" hidden="1" customHeight="1" x14ac:dyDescent="0.3">
      <c r="A2349" s="24" t="s">
        <v>485</v>
      </c>
      <c r="B2349" s="26"/>
      <c r="C2349" s="26"/>
      <c r="D2349" s="26"/>
      <c r="E2349" s="26"/>
    </row>
    <row r="2350" spans="1:5" ht="17.25" hidden="1" customHeight="1" x14ac:dyDescent="0.3">
      <c r="A2350" s="6" t="s">
        <v>486</v>
      </c>
      <c r="B2350" s="3" t="s">
        <v>476</v>
      </c>
      <c r="C2350" s="3" t="s">
        <v>477</v>
      </c>
      <c r="D2350" s="3" t="s">
        <v>478</v>
      </c>
      <c r="E2350" s="3" t="s">
        <v>479</v>
      </c>
    </row>
    <row r="2351" spans="1:5" ht="16.5" hidden="1" customHeight="1" x14ac:dyDescent="0.3">
      <c r="A2351" s="14" t="s">
        <v>22</v>
      </c>
      <c r="B2351" s="2">
        <v>14.88</v>
      </c>
      <c r="C2351" s="2">
        <v>3</v>
      </c>
      <c r="D2351" s="2">
        <v>2795</v>
      </c>
      <c r="E2351" s="2" t="s">
        <v>482</v>
      </c>
    </row>
    <row r="2352" spans="1:5" ht="16.5" hidden="1" customHeight="1" thickBot="1" x14ac:dyDescent="0.3"/>
    <row r="2353" spans="1:8" ht="16.5" hidden="1" customHeight="1" x14ac:dyDescent="0.3">
      <c r="A2353" s="24" t="s">
        <v>487</v>
      </c>
      <c r="B2353" s="26"/>
      <c r="C2353" s="26"/>
      <c r="D2353" s="26"/>
      <c r="E2353" s="26"/>
      <c r="F2353" s="26"/>
    </row>
    <row r="2354" spans="1:8" ht="16.5" hidden="1" customHeight="1" x14ac:dyDescent="0.3">
      <c r="A2354" s="25" t="s">
        <v>488</v>
      </c>
      <c r="B2354" s="27"/>
      <c r="C2354" s="27" t="s">
        <v>489</v>
      </c>
      <c r="D2354" s="3" t="s">
        <v>490</v>
      </c>
      <c r="E2354" s="27" t="s">
        <v>492</v>
      </c>
      <c r="F2354" s="27" t="s">
        <v>493</v>
      </c>
    </row>
    <row r="2355" spans="1:8" ht="16.5" hidden="1" customHeight="1" x14ac:dyDescent="0.3">
      <c r="A2355" s="25"/>
      <c r="B2355" s="27"/>
      <c r="C2355" s="27"/>
      <c r="D2355" s="3" t="s">
        <v>491</v>
      </c>
      <c r="E2355" s="27"/>
      <c r="F2355" s="27"/>
    </row>
    <row r="2356" spans="1:8" ht="16.5" hidden="1" customHeight="1" x14ac:dyDescent="0.3">
      <c r="A2356" s="25" t="s">
        <v>590</v>
      </c>
      <c r="B2356" s="27"/>
      <c r="C2356" s="27"/>
      <c r="D2356" s="27"/>
      <c r="E2356" s="27"/>
      <c r="F2356" s="27"/>
    </row>
    <row r="2357" spans="1:8" ht="16.5" hidden="1" customHeight="1" thickBot="1" x14ac:dyDescent="0.35">
      <c r="A2357" s="13" t="s">
        <v>495</v>
      </c>
      <c r="B2357" s="12"/>
      <c r="C2357" s="16">
        <v>-4.6353999999999997</v>
      </c>
      <c r="D2357" s="2">
        <v>0.1258</v>
      </c>
      <c r="E2357" s="16">
        <v>-36.840000000000003</v>
      </c>
      <c r="F2357" s="2" t="s">
        <v>482</v>
      </c>
    </row>
    <row r="2358" spans="1:8" ht="16.5" hidden="1" customHeight="1" thickBot="1" x14ac:dyDescent="0.35">
      <c r="A2358" s="13" t="s">
        <v>22</v>
      </c>
      <c r="B2358" s="12">
        <v>2</v>
      </c>
      <c r="C2358" s="2">
        <v>0.37409999999999999</v>
      </c>
      <c r="D2358" s="2">
        <v>0.1605</v>
      </c>
      <c r="E2358" s="2">
        <v>2.33</v>
      </c>
      <c r="F2358" s="2">
        <v>1.9900000000000001E-2</v>
      </c>
    </row>
    <row r="2359" spans="1:8" ht="16.5" hidden="1" customHeight="1" thickBot="1" x14ac:dyDescent="0.35">
      <c r="A2359" s="13" t="s">
        <v>22</v>
      </c>
      <c r="B2359" s="12">
        <v>3</v>
      </c>
      <c r="C2359" s="2">
        <v>0.8417</v>
      </c>
      <c r="D2359" s="2">
        <v>0.1535</v>
      </c>
      <c r="E2359" s="2">
        <v>5.48</v>
      </c>
      <c r="F2359" s="2" t="s">
        <v>482</v>
      </c>
    </row>
    <row r="2360" spans="1:8" ht="16.5" hidden="1" customHeight="1" x14ac:dyDescent="0.3">
      <c r="A2360" s="14" t="s">
        <v>22</v>
      </c>
      <c r="B2360" s="15">
        <v>4</v>
      </c>
      <c r="C2360" s="2">
        <v>0.88080000000000003</v>
      </c>
      <c r="D2360" s="2">
        <v>0.15629999999999999</v>
      </c>
      <c r="E2360" s="2">
        <v>5.64</v>
      </c>
      <c r="F2360" s="2" t="s">
        <v>482</v>
      </c>
    </row>
    <row r="2361" spans="1:8" ht="17.25" hidden="1" customHeight="1" thickBot="1" x14ac:dyDescent="0.3"/>
    <row r="2362" spans="1:8" ht="17.25" hidden="1" customHeight="1" x14ac:dyDescent="0.3">
      <c r="A2362" s="24" t="s">
        <v>496</v>
      </c>
      <c r="B2362" s="26"/>
      <c r="C2362" s="26"/>
      <c r="D2362" s="26"/>
      <c r="H2362">
        <f>F2362</f>
        <v>0</v>
      </c>
    </row>
    <row r="2363" spans="1:8" ht="17.25" hidden="1" customHeight="1" x14ac:dyDescent="0.3">
      <c r="A2363" s="6" t="s">
        <v>486</v>
      </c>
      <c r="B2363" s="3" t="s">
        <v>497</v>
      </c>
      <c r="C2363" s="27" t="s">
        <v>91</v>
      </c>
      <c r="D2363" s="27"/>
      <c r="H2363">
        <f t="shared" ref="H2363:H2364" si="81">F2363</f>
        <v>0</v>
      </c>
    </row>
    <row r="2364" spans="1:8" ht="16.5" hidden="1" customHeight="1" x14ac:dyDescent="0.3">
      <c r="A2364" s="25" t="s">
        <v>591</v>
      </c>
      <c r="B2364" s="27"/>
      <c r="C2364" s="27"/>
      <c r="D2364" s="27"/>
      <c r="H2364">
        <f t="shared" si="81"/>
        <v>0</v>
      </c>
    </row>
    <row r="2365" spans="1:8" ht="16.5" hidden="1" customHeight="1" thickBot="1" x14ac:dyDescent="0.35">
      <c r="A2365" s="13" t="s">
        <v>499</v>
      </c>
      <c r="B2365" s="2">
        <v>1.454</v>
      </c>
      <c r="C2365" s="2">
        <v>1.0609999999999999</v>
      </c>
      <c r="D2365" s="2">
        <v>1.992</v>
      </c>
    </row>
    <row r="2366" spans="1:8" ht="16.5" hidden="1" customHeight="1" thickBot="1" x14ac:dyDescent="0.35">
      <c r="A2366" s="13" t="s">
        <v>500</v>
      </c>
      <c r="B2366" s="2">
        <v>2.3199999999999998</v>
      </c>
      <c r="C2366" s="2">
        <v>1.7170000000000001</v>
      </c>
      <c r="D2366" s="2">
        <v>3.1349999999999998</v>
      </c>
    </row>
    <row r="2367" spans="1:8" ht="33" hidden="1" customHeight="1" thickBot="1" x14ac:dyDescent="0.35">
      <c r="A2367" s="14" t="s">
        <v>501</v>
      </c>
      <c r="B2367" s="2">
        <v>2.4129999999999998</v>
      </c>
      <c r="C2367" s="2">
        <v>1.776</v>
      </c>
      <c r="D2367" s="2">
        <v>3.278</v>
      </c>
    </row>
    <row r="2368" spans="1:8" ht="49.5" hidden="1" customHeight="1" thickBot="1" x14ac:dyDescent="0.3"/>
    <row r="2369" spans="1:9" ht="33" customHeight="1" x14ac:dyDescent="0.3">
      <c r="A2369" s="24" t="s">
        <v>502</v>
      </c>
      <c r="B2369" s="26"/>
      <c r="C2369" s="26"/>
      <c r="D2369" s="26"/>
      <c r="H2369" s="8" t="str">
        <f t="shared" ref="H2369:H2371" si="82">TEXT(B2369,"0.00")&amp;" ("&amp;TEXT(C2369,"0.00")&amp;" to "&amp;TEXT(D2369,"0.00")&amp;")"</f>
        <v>0.00 (0.00 to 0.00)</v>
      </c>
      <c r="I2369">
        <f t="shared" ref="I2369:I2371" si="83">F2362</f>
        <v>0</v>
      </c>
    </row>
    <row r="2370" spans="1:9" ht="26.25" customHeight="1" thickBot="1" x14ac:dyDescent="0.35">
      <c r="A2370" s="13" t="s">
        <v>503</v>
      </c>
      <c r="B2370" s="2">
        <v>37.5</v>
      </c>
      <c r="C2370" s="12" t="s">
        <v>504</v>
      </c>
      <c r="D2370" s="2">
        <v>0.14599999999999999</v>
      </c>
      <c r="H2370" s="8" t="str">
        <f t="shared" si="82"/>
        <v>37.50 (Somers' D to 0.15)</v>
      </c>
      <c r="I2370">
        <f t="shared" si="83"/>
        <v>0</v>
      </c>
    </row>
    <row r="2371" spans="1:9" ht="25.5" customHeight="1" thickBot="1" x14ac:dyDescent="0.35">
      <c r="A2371" s="13" t="s">
        <v>505</v>
      </c>
      <c r="B2371" s="2">
        <v>22.9</v>
      </c>
      <c r="C2371" s="12" t="s">
        <v>506</v>
      </c>
      <c r="D2371" s="2">
        <v>0.24199999999999999</v>
      </c>
      <c r="H2371" s="8" t="str">
        <f t="shared" si="82"/>
        <v>22.90 (Gamma to 0.24)</v>
      </c>
      <c r="I2371">
        <f t="shared" si="83"/>
        <v>0</v>
      </c>
    </row>
    <row r="2372" spans="1:9" ht="16.5" hidden="1" customHeight="1" thickBot="1" x14ac:dyDescent="0.35">
      <c r="A2372" s="13" t="s">
        <v>507</v>
      </c>
      <c r="B2372" s="2">
        <v>39.700000000000003</v>
      </c>
      <c r="C2372" s="12" t="s">
        <v>508</v>
      </c>
      <c r="D2372" s="2">
        <v>6.0000000000000001E-3</v>
      </c>
    </row>
    <row r="2373" spans="1:9" ht="33" hidden="1" customHeight="1" x14ac:dyDescent="0.3">
      <c r="A2373" s="14" t="s">
        <v>509</v>
      </c>
      <c r="B2373" s="2">
        <v>15707667</v>
      </c>
      <c r="C2373" s="15" t="s">
        <v>510</v>
      </c>
      <c r="D2373" s="2">
        <v>0.57299999999999995</v>
      </c>
    </row>
    <row r="2374" spans="1:9" ht="39" hidden="1" customHeight="1" x14ac:dyDescent="0.3"/>
    <row r="2375" spans="1:9" ht="26.25" hidden="1" customHeight="1" x14ac:dyDescent="0.3"/>
    <row r="2376" spans="1:9" ht="26.25" hidden="1" customHeight="1" x14ac:dyDescent="0.3"/>
    <row r="2377" spans="1:9" ht="16.5" hidden="1" customHeight="1" x14ac:dyDescent="0.3">
      <c r="A2377" s="1" t="s">
        <v>436</v>
      </c>
    </row>
    <row r="2378" spans="1:9" ht="16.5" hidden="1" customHeight="1" x14ac:dyDescent="0.3"/>
    <row r="2379" spans="1:9" ht="16.5" hidden="1" customHeight="1" x14ac:dyDescent="0.3">
      <c r="A2379" s="1" t="s">
        <v>422</v>
      </c>
    </row>
    <row r="2380" spans="1:9" ht="16.5" hidden="1" customHeight="1" thickBot="1" x14ac:dyDescent="0.3"/>
    <row r="2381" spans="1:9" ht="16.5" hidden="1" customHeight="1" x14ac:dyDescent="0.3">
      <c r="A2381" s="24" t="s">
        <v>437</v>
      </c>
      <c r="B2381" s="26"/>
    </row>
    <row r="2382" spans="1:9" ht="16.5" hidden="1" customHeight="1" thickBot="1" x14ac:dyDescent="0.35">
      <c r="A2382" s="13" t="s">
        <v>438</v>
      </c>
      <c r="B2382" s="18" t="s">
        <v>439</v>
      </c>
    </row>
    <row r="2383" spans="1:9" ht="16.5" hidden="1" customHeight="1" thickBot="1" x14ac:dyDescent="0.35">
      <c r="A2383" s="13" t="s">
        <v>440</v>
      </c>
      <c r="B2383" s="18" t="s">
        <v>19</v>
      </c>
    </row>
    <row r="2384" spans="1:9" ht="16.5" hidden="1" customHeight="1" thickBot="1" x14ac:dyDescent="0.35">
      <c r="A2384" s="13" t="s">
        <v>441</v>
      </c>
      <c r="B2384" s="18">
        <v>2</v>
      </c>
    </row>
    <row r="2385" spans="1:2" ht="16.5" hidden="1" customHeight="1" thickBot="1" x14ac:dyDescent="0.35">
      <c r="A2385" s="13" t="s">
        <v>442</v>
      </c>
      <c r="B2385" s="18" t="s">
        <v>443</v>
      </c>
    </row>
    <row r="2386" spans="1:2" ht="26.25" hidden="1" customHeight="1" thickBot="1" x14ac:dyDescent="0.35">
      <c r="A2386" s="13" t="s">
        <v>76</v>
      </c>
      <c r="B2386" s="18">
        <v>183</v>
      </c>
    </row>
    <row r="2387" spans="1:2" ht="26.25" hidden="1" customHeight="1" thickBot="1" x14ac:dyDescent="0.35">
      <c r="A2387" s="13" t="s">
        <v>444</v>
      </c>
      <c r="B2387" s="18" t="s">
        <v>445</v>
      </c>
    </row>
    <row r="2388" spans="1:2" ht="39" hidden="1" customHeight="1" thickBot="1" x14ac:dyDescent="0.35">
      <c r="A2388" s="13" t="s">
        <v>77</v>
      </c>
      <c r="B2388" s="18">
        <v>2969</v>
      </c>
    </row>
    <row r="2389" spans="1:2" ht="26.25" hidden="1" customHeight="1" thickBot="1" x14ac:dyDescent="0.35">
      <c r="A2389" s="13" t="s">
        <v>446</v>
      </c>
      <c r="B2389" s="18" t="s">
        <v>447</v>
      </c>
    </row>
    <row r="2390" spans="1:2" ht="26.25" hidden="1" customHeight="1" thickBot="1" x14ac:dyDescent="0.35">
      <c r="A2390" s="13" t="s">
        <v>448</v>
      </c>
      <c r="B2390" s="18" t="s">
        <v>449</v>
      </c>
    </row>
    <row r="2391" spans="1:2" ht="26.25" hidden="1" customHeight="1" thickBot="1" x14ac:dyDescent="0.35">
      <c r="A2391" s="13" t="s">
        <v>450</v>
      </c>
      <c r="B2391" s="18" t="s">
        <v>451</v>
      </c>
    </row>
    <row r="2392" spans="1:2" ht="26.25" hidden="1" customHeight="1" x14ac:dyDescent="0.3">
      <c r="A2392" s="14" t="s">
        <v>452</v>
      </c>
      <c r="B2392" s="19" t="s">
        <v>453</v>
      </c>
    </row>
    <row r="2393" spans="1:2" ht="26.25" hidden="1" customHeight="1" thickBot="1" x14ac:dyDescent="0.3"/>
    <row r="2394" spans="1:2" ht="26.25" hidden="1" customHeight="1" x14ac:dyDescent="0.3">
      <c r="A2394" s="24" t="s">
        <v>80</v>
      </c>
      <c r="B2394" s="26"/>
    </row>
    <row r="2395" spans="1:2" ht="39" hidden="1" customHeight="1" thickBot="1" x14ac:dyDescent="0.35">
      <c r="A2395" s="13" t="s">
        <v>81</v>
      </c>
      <c r="B2395" s="2" t="s">
        <v>82</v>
      </c>
    </row>
    <row r="2396" spans="1:2" ht="38.25" hidden="1" customHeight="1" x14ac:dyDescent="0.3">
      <c r="A2396" s="14" t="s">
        <v>452</v>
      </c>
      <c r="B2396" s="2" t="s">
        <v>453</v>
      </c>
    </row>
    <row r="2397" spans="1:2" ht="16.5" hidden="1" customHeight="1" thickBot="1" x14ac:dyDescent="0.3"/>
    <row r="2398" spans="1:2" ht="33" hidden="1" customHeight="1" thickBot="1" x14ac:dyDescent="0.35">
      <c r="A2398" s="20" t="s">
        <v>454</v>
      </c>
      <c r="B2398" s="21">
        <v>24999</v>
      </c>
    </row>
    <row r="2399" spans="1:2" ht="33.75" hidden="1" customHeight="1" thickBot="1" x14ac:dyDescent="0.35">
      <c r="A2399" s="13" t="s">
        <v>455</v>
      </c>
      <c r="B2399" s="2">
        <v>24999</v>
      </c>
    </row>
    <row r="2400" spans="1:2" ht="66" hidden="1" customHeight="1" thickBot="1" x14ac:dyDescent="0.35">
      <c r="A2400" s="13" t="s">
        <v>456</v>
      </c>
      <c r="B2400" s="2">
        <v>11740558</v>
      </c>
    </row>
    <row r="2401" spans="1:5" ht="16.5" hidden="1" customHeight="1" x14ac:dyDescent="0.3">
      <c r="A2401" s="14" t="s">
        <v>457</v>
      </c>
      <c r="B2401" s="2">
        <v>11740558</v>
      </c>
    </row>
    <row r="2402" spans="1:5" ht="39" hidden="1" customHeight="1" thickBot="1" x14ac:dyDescent="0.3"/>
    <row r="2403" spans="1:5" ht="39" hidden="1" customHeight="1" x14ac:dyDescent="0.3">
      <c r="A2403" s="24" t="s">
        <v>458</v>
      </c>
      <c r="B2403" s="26"/>
      <c r="C2403" s="26"/>
      <c r="D2403" s="26"/>
    </row>
    <row r="2404" spans="1:5" ht="39" hidden="1" customHeight="1" x14ac:dyDescent="0.3">
      <c r="A2404" s="6" t="s">
        <v>459</v>
      </c>
      <c r="B2404" s="27" t="s">
        <v>19</v>
      </c>
      <c r="C2404" s="3" t="s">
        <v>93</v>
      </c>
      <c r="D2404" s="3" t="s">
        <v>93</v>
      </c>
    </row>
    <row r="2405" spans="1:5" ht="38.25" hidden="1" customHeight="1" x14ac:dyDescent="0.3">
      <c r="A2405" s="6" t="s">
        <v>460</v>
      </c>
      <c r="B2405" s="27"/>
      <c r="C2405" s="3" t="s">
        <v>86</v>
      </c>
      <c r="D2405" s="3" t="s">
        <v>461</v>
      </c>
    </row>
    <row r="2406" spans="1:5" ht="16.5" hidden="1" customHeight="1" thickBot="1" x14ac:dyDescent="0.35">
      <c r="A2406" s="6">
        <v>1</v>
      </c>
      <c r="B2406" s="17">
        <v>0</v>
      </c>
      <c r="C2406" s="2">
        <v>24660</v>
      </c>
      <c r="D2406" s="2">
        <v>11632656</v>
      </c>
    </row>
    <row r="2407" spans="1:5" ht="16.5" hidden="1" customHeight="1" x14ac:dyDescent="0.3">
      <c r="A2407" s="6">
        <v>2</v>
      </c>
      <c r="B2407" s="22">
        <v>1</v>
      </c>
      <c r="C2407" s="2">
        <v>339</v>
      </c>
      <c r="D2407" s="2">
        <v>107902</v>
      </c>
    </row>
    <row r="2408" spans="1:5" ht="16.5" hidden="1" customHeight="1" x14ac:dyDescent="0.3"/>
    <row r="2409" spans="1:5" ht="33" hidden="1" customHeight="1" x14ac:dyDescent="0.3">
      <c r="A2409" s="1" t="s">
        <v>513</v>
      </c>
    </row>
    <row r="2410" spans="1:5" ht="17.25" hidden="1" customHeight="1" thickBot="1" x14ac:dyDescent="0.3"/>
    <row r="2411" spans="1:5" ht="16.5" hidden="1" customHeight="1" x14ac:dyDescent="0.3">
      <c r="A2411" s="24" t="s">
        <v>462</v>
      </c>
      <c r="B2411" s="26"/>
      <c r="C2411" s="26"/>
      <c r="D2411" s="26"/>
      <c r="E2411" s="26"/>
    </row>
    <row r="2412" spans="1:5" ht="16.5" hidden="1" customHeight="1" x14ac:dyDescent="0.3">
      <c r="A2412" s="6" t="s">
        <v>463</v>
      </c>
      <c r="B2412" s="3" t="s">
        <v>460</v>
      </c>
      <c r="C2412" s="27" t="s">
        <v>464</v>
      </c>
      <c r="D2412" s="27"/>
      <c r="E2412" s="27"/>
    </row>
    <row r="2413" spans="1:5" ht="16.5" hidden="1" customHeight="1" thickBot="1" x14ac:dyDescent="0.35">
      <c r="A2413" s="13" t="s">
        <v>22</v>
      </c>
      <c r="B2413" s="12">
        <v>1</v>
      </c>
      <c r="C2413" s="2">
        <v>0</v>
      </c>
      <c r="D2413" s="2">
        <v>0</v>
      </c>
      <c r="E2413" s="2">
        <v>0</v>
      </c>
    </row>
    <row r="2414" spans="1:5" ht="16.5" hidden="1" customHeight="1" thickBot="1" x14ac:dyDescent="0.35">
      <c r="A2414" s="13"/>
      <c r="B2414" s="12">
        <v>2</v>
      </c>
      <c r="C2414" s="2">
        <v>1</v>
      </c>
      <c r="D2414" s="2">
        <v>0</v>
      </c>
      <c r="E2414" s="2">
        <v>0</v>
      </c>
    </row>
    <row r="2415" spans="1:5" ht="16.5" hidden="1" customHeight="1" thickBot="1" x14ac:dyDescent="0.35">
      <c r="A2415" s="13"/>
      <c r="B2415" s="12">
        <v>3</v>
      </c>
      <c r="C2415" s="2">
        <v>0</v>
      </c>
      <c r="D2415" s="2">
        <v>1</v>
      </c>
      <c r="E2415" s="2">
        <v>0</v>
      </c>
    </row>
    <row r="2416" spans="1:5" ht="16.5" hidden="1" customHeight="1" x14ac:dyDescent="0.3">
      <c r="A2416" s="14"/>
      <c r="B2416" s="15">
        <v>4</v>
      </c>
      <c r="C2416" s="2">
        <v>0</v>
      </c>
      <c r="D2416" s="2">
        <v>0</v>
      </c>
      <c r="E2416" s="2">
        <v>1</v>
      </c>
    </row>
    <row r="2417" spans="1:5" ht="17.25" hidden="1" customHeight="1" thickBot="1" x14ac:dyDescent="0.3"/>
    <row r="2418" spans="1:5" ht="17.25" hidden="1" customHeight="1" x14ac:dyDescent="0.3">
      <c r="A2418" s="4" t="s">
        <v>465</v>
      </c>
    </row>
    <row r="2419" spans="1:5" ht="17.25" hidden="1" customHeight="1" x14ac:dyDescent="0.3">
      <c r="A2419" s="23" t="s">
        <v>466</v>
      </c>
    </row>
    <row r="2420" spans="1:5" ht="16.5" hidden="1" customHeight="1" thickBot="1" x14ac:dyDescent="0.3"/>
    <row r="2421" spans="1:5" ht="16.5" hidden="1" customHeight="1" x14ac:dyDescent="0.3">
      <c r="A2421" s="24" t="s">
        <v>467</v>
      </c>
      <c r="B2421" s="26"/>
      <c r="C2421" s="26"/>
    </row>
    <row r="2422" spans="1:5" ht="66" hidden="1" customHeight="1" x14ac:dyDescent="0.3">
      <c r="A2422" s="6" t="s">
        <v>468</v>
      </c>
      <c r="B2422" s="3" t="s">
        <v>469</v>
      </c>
      <c r="C2422" s="3" t="s">
        <v>470</v>
      </c>
    </row>
    <row r="2423" spans="1:5" ht="99" hidden="1" customHeight="1" thickBot="1" x14ac:dyDescent="0.35">
      <c r="A2423" s="13" t="s">
        <v>471</v>
      </c>
      <c r="B2423" s="2">
        <v>1226839.6000000001</v>
      </c>
      <c r="C2423" s="2">
        <v>1217978.8</v>
      </c>
    </row>
    <row r="2424" spans="1:5" ht="16.5" hidden="1" customHeight="1" thickBot="1" x14ac:dyDescent="0.35">
      <c r="A2424" s="13" t="s">
        <v>472</v>
      </c>
      <c r="B2424" s="2">
        <v>1226853.8999999999</v>
      </c>
      <c r="C2424" s="2">
        <v>1218035.8999999999</v>
      </c>
    </row>
    <row r="2425" spans="1:5" ht="16.5" hidden="1" customHeight="1" x14ac:dyDescent="0.3">
      <c r="A2425" s="14" t="s">
        <v>473</v>
      </c>
      <c r="B2425" s="2" t="s">
        <v>646</v>
      </c>
      <c r="C2425" s="2">
        <v>1217970.8</v>
      </c>
    </row>
    <row r="2426" spans="1:5" ht="66" hidden="1" customHeight="1" thickBot="1" x14ac:dyDescent="0.3"/>
    <row r="2427" spans="1:5" ht="17.25" hidden="1" customHeight="1" x14ac:dyDescent="0.3">
      <c r="A2427" s="24" t="s">
        <v>474</v>
      </c>
      <c r="B2427" s="26"/>
      <c r="C2427" s="26"/>
      <c r="D2427" s="26"/>
      <c r="E2427" s="26"/>
    </row>
    <row r="2428" spans="1:5" ht="17.25" hidden="1" customHeight="1" x14ac:dyDescent="0.3">
      <c r="A2428" s="6" t="s">
        <v>475</v>
      </c>
      <c r="B2428" s="3" t="s">
        <v>476</v>
      </c>
      <c r="C2428" s="3" t="s">
        <v>477</v>
      </c>
      <c r="D2428" s="3" t="s">
        <v>478</v>
      </c>
      <c r="E2428" s="3" t="s">
        <v>479</v>
      </c>
    </row>
    <row r="2429" spans="1:5" ht="16.5" hidden="1" customHeight="1" x14ac:dyDescent="0.3">
      <c r="A2429" s="25" t="s">
        <v>560</v>
      </c>
      <c r="B2429" s="27"/>
      <c r="C2429" s="27"/>
      <c r="D2429" s="27"/>
      <c r="E2429" s="27"/>
    </row>
    <row r="2430" spans="1:5" ht="16.5" hidden="1" customHeight="1" thickBot="1" x14ac:dyDescent="0.35">
      <c r="A2430" s="13" t="s">
        <v>481</v>
      </c>
      <c r="B2430" s="2">
        <v>6.36</v>
      </c>
      <c r="C2430" s="2">
        <v>2.9954000000000001</v>
      </c>
      <c r="D2430" s="2">
        <v>8345.2999999999993</v>
      </c>
      <c r="E2430" s="2">
        <v>2.9999999999999997E-4</v>
      </c>
    </row>
    <row r="2431" spans="1:5" ht="16.5" hidden="1" customHeight="1" thickBot="1" x14ac:dyDescent="0.35">
      <c r="A2431" s="13" t="s">
        <v>483</v>
      </c>
      <c r="B2431" s="2">
        <v>7.14</v>
      </c>
      <c r="C2431" s="2">
        <v>3</v>
      </c>
      <c r="D2431" s="2">
        <v>2784</v>
      </c>
      <c r="E2431" s="2" t="s">
        <v>482</v>
      </c>
    </row>
    <row r="2432" spans="1:5" ht="16.5" hidden="1" customHeight="1" x14ac:dyDescent="0.3">
      <c r="A2432" s="14" t="s">
        <v>484</v>
      </c>
      <c r="B2432" s="2">
        <v>6.09</v>
      </c>
      <c r="C2432" s="2">
        <v>3</v>
      </c>
      <c r="D2432" s="2">
        <v>2784</v>
      </c>
      <c r="E2432" s="2">
        <v>4.0000000000000002E-4</v>
      </c>
    </row>
    <row r="2433" spans="1:8" ht="33" hidden="1" customHeight="1" thickBot="1" x14ac:dyDescent="0.3"/>
    <row r="2434" spans="1:8" ht="26.25" hidden="1" customHeight="1" x14ac:dyDescent="0.3">
      <c r="A2434" s="24" t="s">
        <v>485</v>
      </c>
      <c r="B2434" s="26"/>
      <c r="C2434" s="26"/>
      <c r="D2434" s="26"/>
      <c r="E2434" s="26"/>
    </row>
    <row r="2435" spans="1:8" ht="17.25" hidden="1" customHeight="1" x14ac:dyDescent="0.3">
      <c r="A2435" s="6" t="s">
        <v>486</v>
      </c>
      <c r="B2435" s="3" t="s">
        <v>476</v>
      </c>
      <c r="C2435" s="3" t="s">
        <v>477</v>
      </c>
      <c r="D2435" s="3" t="s">
        <v>478</v>
      </c>
      <c r="E2435" s="3" t="s">
        <v>479</v>
      </c>
    </row>
    <row r="2436" spans="1:8" ht="16.5" hidden="1" customHeight="1" x14ac:dyDescent="0.3">
      <c r="A2436" s="14" t="s">
        <v>22</v>
      </c>
      <c r="B2436" s="2">
        <v>6.09</v>
      </c>
      <c r="C2436" s="2">
        <v>3</v>
      </c>
      <c r="D2436" s="2">
        <v>2784</v>
      </c>
      <c r="E2436" s="2">
        <v>4.0000000000000002E-4</v>
      </c>
    </row>
    <row r="2437" spans="1:8" ht="16.5" hidden="1" customHeight="1" thickBot="1" x14ac:dyDescent="0.3"/>
    <row r="2438" spans="1:8" ht="16.5" hidden="1" customHeight="1" x14ac:dyDescent="0.3">
      <c r="A2438" s="24" t="s">
        <v>487</v>
      </c>
      <c r="B2438" s="26"/>
      <c r="C2438" s="26"/>
      <c r="D2438" s="26"/>
      <c r="E2438" s="26"/>
      <c r="F2438" s="26"/>
    </row>
    <row r="2439" spans="1:8" ht="16.5" hidden="1" customHeight="1" x14ac:dyDescent="0.3">
      <c r="A2439" s="25" t="s">
        <v>488</v>
      </c>
      <c r="B2439" s="27"/>
      <c r="C2439" s="27" t="s">
        <v>489</v>
      </c>
      <c r="D2439" s="3" t="s">
        <v>490</v>
      </c>
      <c r="E2439" s="27" t="s">
        <v>492</v>
      </c>
      <c r="F2439" s="27" t="s">
        <v>493</v>
      </c>
    </row>
    <row r="2440" spans="1:8" ht="16.5" hidden="1" customHeight="1" x14ac:dyDescent="0.3">
      <c r="A2440" s="25"/>
      <c r="B2440" s="27"/>
      <c r="C2440" s="27"/>
      <c r="D2440" s="3" t="s">
        <v>491</v>
      </c>
      <c r="E2440" s="27"/>
      <c r="F2440" s="27"/>
    </row>
    <row r="2441" spans="1:8" ht="16.5" hidden="1" customHeight="1" x14ac:dyDescent="0.3">
      <c r="A2441" s="25" t="s">
        <v>531</v>
      </c>
      <c r="B2441" s="27"/>
      <c r="C2441" s="27"/>
      <c r="D2441" s="27"/>
      <c r="E2441" s="27"/>
      <c r="F2441" s="27"/>
    </row>
    <row r="2442" spans="1:8" ht="16.5" hidden="1" customHeight="1" thickBot="1" x14ac:dyDescent="0.35">
      <c r="A2442" s="13" t="s">
        <v>495</v>
      </c>
      <c r="B2442" s="12"/>
      <c r="C2442" s="16">
        <v>-5.1317000000000004</v>
      </c>
      <c r="D2442" s="2">
        <v>0.15340000000000001</v>
      </c>
      <c r="E2442" s="16">
        <v>-33.46</v>
      </c>
      <c r="F2442" s="2" t="s">
        <v>482</v>
      </c>
    </row>
    <row r="2443" spans="1:8" ht="16.5" hidden="1" customHeight="1" thickBot="1" x14ac:dyDescent="0.35">
      <c r="A2443" s="13" t="s">
        <v>22</v>
      </c>
      <c r="B2443" s="12">
        <v>2</v>
      </c>
      <c r="C2443" s="2">
        <v>0.32479999999999998</v>
      </c>
      <c r="D2443" s="2">
        <v>0.20480000000000001</v>
      </c>
      <c r="E2443" s="2">
        <v>1.59</v>
      </c>
      <c r="F2443" s="2">
        <v>0.1129</v>
      </c>
    </row>
    <row r="2444" spans="1:8" ht="16.5" hidden="1" customHeight="1" thickBot="1" x14ac:dyDescent="0.35">
      <c r="A2444" s="13" t="s">
        <v>22</v>
      </c>
      <c r="B2444" s="12">
        <v>3</v>
      </c>
      <c r="C2444" s="2">
        <v>0.61660000000000004</v>
      </c>
      <c r="D2444" s="2">
        <v>0.19450000000000001</v>
      </c>
      <c r="E2444" s="2">
        <v>3.17</v>
      </c>
      <c r="F2444" s="2">
        <v>1.5E-3</v>
      </c>
    </row>
    <row r="2445" spans="1:8" ht="16.5" hidden="1" customHeight="1" x14ac:dyDescent="0.3">
      <c r="A2445" s="14" t="s">
        <v>22</v>
      </c>
      <c r="B2445" s="15">
        <v>4</v>
      </c>
      <c r="C2445" s="2">
        <v>0.77439999999999998</v>
      </c>
      <c r="D2445" s="2">
        <v>0.1963</v>
      </c>
      <c r="E2445" s="2">
        <v>3.94</v>
      </c>
      <c r="F2445" s="2" t="s">
        <v>482</v>
      </c>
    </row>
    <row r="2446" spans="1:8" ht="17.25" hidden="1" customHeight="1" thickBot="1" x14ac:dyDescent="0.3"/>
    <row r="2447" spans="1:8" ht="17.25" hidden="1" customHeight="1" x14ac:dyDescent="0.3">
      <c r="A2447" s="24" t="s">
        <v>496</v>
      </c>
      <c r="B2447" s="26"/>
      <c r="C2447" s="26"/>
      <c r="D2447" s="26"/>
      <c r="H2447">
        <f>F2447</f>
        <v>0</v>
      </c>
    </row>
    <row r="2448" spans="1:8" ht="17.25" hidden="1" customHeight="1" x14ac:dyDescent="0.3">
      <c r="A2448" s="6" t="s">
        <v>486</v>
      </c>
      <c r="B2448" s="3" t="s">
        <v>497</v>
      </c>
      <c r="C2448" s="27" t="s">
        <v>91</v>
      </c>
      <c r="D2448" s="27"/>
      <c r="H2448">
        <f t="shared" ref="H2448:H2449" si="84">F2448</f>
        <v>0</v>
      </c>
    </row>
    <row r="2449" spans="1:9" ht="16.5" hidden="1" customHeight="1" x14ac:dyDescent="0.3">
      <c r="A2449" s="25" t="s">
        <v>532</v>
      </c>
      <c r="B2449" s="27"/>
      <c r="C2449" s="27"/>
      <c r="D2449" s="27"/>
      <c r="H2449">
        <f t="shared" si="84"/>
        <v>0</v>
      </c>
    </row>
    <row r="2450" spans="1:9" ht="16.5" hidden="1" customHeight="1" thickBot="1" x14ac:dyDescent="0.35">
      <c r="A2450" s="13" t="s">
        <v>499</v>
      </c>
      <c r="B2450" s="2">
        <v>1.3839999999999999</v>
      </c>
      <c r="C2450" s="2">
        <v>0.92600000000000005</v>
      </c>
      <c r="D2450" s="2">
        <v>2.0670000000000002</v>
      </c>
    </row>
    <row r="2451" spans="1:9" ht="16.5" hidden="1" customHeight="1" thickBot="1" x14ac:dyDescent="0.35">
      <c r="A2451" s="13" t="s">
        <v>500</v>
      </c>
      <c r="B2451" s="2">
        <v>1.853</v>
      </c>
      <c r="C2451" s="2">
        <v>1.2649999999999999</v>
      </c>
      <c r="D2451" s="2">
        <v>2.7130000000000001</v>
      </c>
    </row>
    <row r="2452" spans="1:9" ht="33" hidden="1" customHeight="1" thickBot="1" x14ac:dyDescent="0.35">
      <c r="A2452" s="14" t="s">
        <v>501</v>
      </c>
      <c r="B2452" s="2">
        <v>2.169</v>
      </c>
      <c r="C2452" s="2">
        <v>1.476</v>
      </c>
      <c r="D2452" s="2">
        <v>3.1880000000000002</v>
      </c>
    </row>
    <row r="2453" spans="1:9" ht="49.5" hidden="1" customHeight="1" thickBot="1" x14ac:dyDescent="0.3"/>
    <row r="2454" spans="1:9" ht="33" customHeight="1" x14ac:dyDescent="0.3">
      <c r="A2454" s="24" t="s">
        <v>502</v>
      </c>
      <c r="B2454" s="26"/>
      <c r="C2454" s="26"/>
      <c r="D2454" s="26"/>
      <c r="H2454" s="8" t="str">
        <f t="shared" ref="H2454:H2456" si="85">TEXT(B2454,"0.00")&amp;" ("&amp;TEXT(C2454,"0.00")&amp;" to "&amp;TEXT(D2454,"0.00")&amp;")"</f>
        <v>0.00 (0.00 to 0.00)</v>
      </c>
      <c r="I2454">
        <f t="shared" ref="I2454:I2456" si="86">F2447</f>
        <v>0</v>
      </c>
    </row>
    <row r="2455" spans="1:9" ht="26.25" customHeight="1" thickBot="1" x14ac:dyDescent="0.35">
      <c r="A2455" s="13" t="s">
        <v>503</v>
      </c>
      <c r="B2455" s="2">
        <v>45.1</v>
      </c>
      <c r="C2455" s="12" t="s">
        <v>504</v>
      </c>
      <c r="D2455" s="2">
        <v>0.14899999999999999</v>
      </c>
      <c r="H2455" s="8" t="str">
        <f t="shared" si="85"/>
        <v>45.10 (Somers' D to 0.15)</v>
      </c>
      <c r="I2455">
        <f t="shared" si="86"/>
        <v>0</v>
      </c>
    </row>
    <row r="2456" spans="1:9" ht="25.5" customHeight="1" thickBot="1" x14ac:dyDescent="0.35">
      <c r="A2456" s="13" t="s">
        <v>505</v>
      </c>
      <c r="B2456" s="2">
        <v>30.2</v>
      </c>
      <c r="C2456" s="12" t="s">
        <v>506</v>
      </c>
      <c r="D2456" s="2">
        <v>0.19700000000000001</v>
      </c>
      <c r="H2456" s="8" t="str">
        <f t="shared" si="85"/>
        <v>30.20 (Gamma to 0.20)</v>
      </c>
      <c r="I2456">
        <f t="shared" si="86"/>
        <v>0</v>
      </c>
    </row>
    <row r="2457" spans="1:9" ht="16.5" hidden="1" customHeight="1" thickBot="1" x14ac:dyDescent="0.35">
      <c r="A2457" s="13" t="s">
        <v>507</v>
      </c>
      <c r="B2457" s="2">
        <v>24.7</v>
      </c>
      <c r="C2457" s="12" t="s">
        <v>508</v>
      </c>
      <c r="D2457" s="2">
        <v>4.0000000000000001E-3</v>
      </c>
    </row>
    <row r="2458" spans="1:9" ht="33" hidden="1" customHeight="1" x14ac:dyDescent="0.3">
      <c r="A2458" s="14" t="s">
        <v>509</v>
      </c>
      <c r="B2458" s="2">
        <v>8359740</v>
      </c>
      <c r="C2458" s="15" t="s">
        <v>510</v>
      </c>
      <c r="D2458" s="2">
        <v>0.57399999999999995</v>
      </c>
    </row>
    <row r="2459" spans="1:9" ht="39" hidden="1" customHeight="1" x14ac:dyDescent="0.3"/>
    <row r="2460" spans="1:9" ht="26.25" hidden="1" customHeight="1" x14ac:dyDescent="0.3"/>
    <row r="2461" spans="1:9" ht="26.25" hidden="1" customHeight="1" x14ac:dyDescent="0.3"/>
    <row r="2462" spans="1:9" ht="16.5" hidden="1" customHeight="1" x14ac:dyDescent="0.3">
      <c r="A2462" s="1" t="s">
        <v>436</v>
      </c>
    </row>
    <row r="2463" spans="1:9" ht="16.5" hidden="1" customHeight="1" x14ac:dyDescent="0.3"/>
    <row r="2464" spans="1:9" ht="16.5" hidden="1" customHeight="1" x14ac:dyDescent="0.3">
      <c r="A2464" s="1" t="s">
        <v>423</v>
      </c>
    </row>
    <row r="2465" spans="1:2" ht="16.5" hidden="1" customHeight="1" thickBot="1" x14ac:dyDescent="0.3"/>
    <row r="2466" spans="1:2" ht="16.5" hidden="1" customHeight="1" x14ac:dyDescent="0.3">
      <c r="A2466" s="24" t="s">
        <v>437</v>
      </c>
      <c r="B2466" s="26"/>
    </row>
    <row r="2467" spans="1:2" ht="16.5" hidden="1" customHeight="1" thickBot="1" x14ac:dyDescent="0.35">
      <c r="A2467" s="13" t="s">
        <v>438</v>
      </c>
      <c r="B2467" s="18" t="s">
        <v>439</v>
      </c>
    </row>
    <row r="2468" spans="1:2" ht="16.5" hidden="1" customHeight="1" thickBot="1" x14ac:dyDescent="0.35">
      <c r="A2468" s="13" t="s">
        <v>440</v>
      </c>
      <c r="B2468" s="18" t="s">
        <v>19</v>
      </c>
    </row>
    <row r="2469" spans="1:2" ht="16.5" hidden="1" customHeight="1" thickBot="1" x14ac:dyDescent="0.35">
      <c r="A2469" s="13" t="s">
        <v>441</v>
      </c>
      <c r="B2469" s="18">
        <v>2</v>
      </c>
    </row>
    <row r="2470" spans="1:2" ht="16.5" hidden="1" customHeight="1" thickBot="1" x14ac:dyDescent="0.35">
      <c r="A2470" s="13" t="s">
        <v>442</v>
      </c>
      <c r="B2470" s="18" t="s">
        <v>443</v>
      </c>
    </row>
    <row r="2471" spans="1:2" ht="26.25" hidden="1" customHeight="1" thickBot="1" x14ac:dyDescent="0.35">
      <c r="A2471" s="13" t="s">
        <v>76</v>
      </c>
      <c r="B2471" s="18">
        <v>183</v>
      </c>
    </row>
    <row r="2472" spans="1:2" ht="26.25" hidden="1" customHeight="1" thickBot="1" x14ac:dyDescent="0.35">
      <c r="A2472" s="13" t="s">
        <v>444</v>
      </c>
      <c r="B2472" s="18" t="s">
        <v>445</v>
      </c>
    </row>
    <row r="2473" spans="1:2" ht="39" hidden="1" customHeight="1" thickBot="1" x14ac:dyDescent="0.35">
      <c r="A2473" s="13" t="s">
        <v>77</v>
      </c>
      <c r="B2473" s="18">
        <v>2955</v>
      </c>
    </row>
    <row r="2474" spans="1:2" ht="26.25" hidden="1" customHeight="1" thickBot="1" x14ac:dyDescent="0.35">
      <c r="A2474" s="13" t="s">
        <v>446</v>
      </c>
      <c r="B2474" s="18" t="s">
        <v>447</v>
      </c>
    </row>
    <row r="2475" spans="1:2" ht="26.25" hidden="1" customHeight="1" thickBot="1" x14ac:dyDescent="0.35">
      <c r="A2475" s="13" t="s">
        <v>448</v>
      </c>
      <c r="B2475" s="18" t="s">
        <v>449</v>
      </c>
    </row>
    <row r="2476" spans="1:2" ht="26.25" hidden="1" customHeight="1" thickBot="1" x14ac:dyDescent="0.35">
      <c r="A2476" s="13" t="s">
        <v>450</v>
      </c>
      <c r="B2476" s="18" t="s">
        <v>451</v>
      </c>
    </row>
    <row r="2477" spans="1:2" ht="26.25" hidden="1" customHeight="1" x14ac:dyDescent="0.3">
      <c r="A2477" s="14" t="s">
        <v>452</v>
      </c>
      <c r="B2477" s="19" t="s">
        <v>453</v>
      </c>
    </row>
    <row r="2478" spans="1:2" ht="26.25" hidden="1" customHeight="1" thickBot="1" x14ac:dyDescent="0.3"/>
    <row r="2479" spans="1:2" ht="26.25" hidden="1" customHeight="1" x14ac:dyDescent="0.3">
      <c r="A2479" s="24" t="s">
        <v>80</v>
      </c>
      <c r="B2479" s="26"/>
    </row>
    <row r="2480" spans="1:2" ht="39" hidden="1" customHeight="1" thickBot="1" x14ac:dyDescent="0.35">
      <c r="A2480" s="13" t="s">
        <v>81</v>
      </c>
      <c r="B2480" s="2" t="s">
        <v>82</v>
      </c>
    </row>
    <row r="2481" spans="1:5" ht="38.25" hidden="1" customHeight="1" x14ac:dyDescent="0.3">
      <c r="A2481" s="14" t="s">
        <v>452</v>
      </c>
      <c r="B2481" s="2" t="s">
        <v>453</v>
      </c>
    </row>
    <row r="2482" spans="1:5" ht="16.5" hidden="1" customHeight="1" thickBot="1" x14ac:dyDescent="0.3"/>
    <row r="2483" spans="1:5" ht="33" hidden="1" customHeight="1" thickBot="1" x14ac:dyDescent="0.35">
      <c r="A2483" s="20" t="s">
        <v>454</v>
      </c>
      <c r="B2483" s="21">
        <v>16728</v>
      </c>
    </row>
    <row r="2484" spans="1:5" ht="33.75" hidden="1" customHeight="1" thickBot="1" x14ac:dyDescent="0.35">
      <c r="A2484" s="13" t="s">
        <v>455</v>
      </c>
      <c r="B2484" s="2">
        <v>16728</v>
      </c>
    </row>
    <row r="2485" spans="1:5" ht="66" hidden="1" customHeight="1" thickBot="1" x14ac:dyDescent="0.35">
      <c r="A2485" s="13" t="s">
        <v>456</v>
      </c>
      <c r="B2485" s="2">
        <v>7772308</v>
      </c>
    </row>
    <row r="2486" spans="1:5" ht="16.5" hidden="1" customHeight="1" x14ac:dyDescent="0.3">
      <c r="A2486" s="14" t="s">
        <v>457</v>
      </c>
      <c r="B2486" s="2">
        <v>7772308</v>
      </c>
    </row>
    <row r="2487" spans="1:5" ht="39" hidden="1" customHeight="1" thickBot="1" x14ac:dyDescent="0.3"/>
    <row r="2488" spans="1:5" ht="39" hidden="1" customHeight="1" x14ac:dyDescent="0.3">
      <c r="A2488" s="24" t="s">
        <v>458</v>
      </c>
      <c r="B2488" s="26"/>
      <c r="C2488" s="26"/>
      <c r="D2488" s="26"/>
    </row>
    <row r="2489" spans="1:5" ht="39" hidden="1" customHeight="1" x14ac:dyDescent="0.3">
      <c r="A2489" s="6" t="s">
        <v>459</v>
      </c>
      <c r="B2489" s="27" t="s">
        <v>19</v>
      </c>
      <c r="C2489" s="3" t="s">
        <v>93</v>
      </c>
      <c r="D2489" s="3" t="s">
        <v>93</v>
      </c>
    </row>
    <row r="2490" spans="1:5" ht="38.25" hidden="1" customHeight="1" x14ac:dyDescent="0.3">
      <c r="A2490" s="6" t="s">
        <v>460</v>
      </c>
      <c r="B2490" s="27"/>
      <c r="C2490" s="3" t="s">
        <v>86</v>
      </c>
      <c r="D2490" s="3" t="s">
        <v>461</v>
      </c>
    </row>
    <row r="2491" spans="1:5" ht="16.5" hidden="1" customHeight="1" thickBot="1" x14ac:dyDescent="0.35">
      <c r="A2491" s="6">
        <v>1</v>
      </c>
      <c r="B2491" s="17">
        <v>0</v>
      </c>
      <c r="C2491" s="2">
        <v>16463</v>
      </c>
      <c r="D2491" s="2">
        <v>7682112.7000000002</v>
      </c>
    </row>
    <row r="2492" spans="1:5" ht="16.5" hidden="1" customHeight="1" x14ac:dyDescent="0.3">
      <c r="A2492" s="6">
        <v>2</v>
      </c>
      <c r="B2492" s="22">
        <v>1</v>
      </c>
      <c r="C2492" s="2">
        <v>265</v>
      </c>
      <c r="D2492" s="2">
        <v>90195.199999999997</v>
      </c>
    </row>
    <row r="2493" spans="1:5" ht="16.5" hidden="1" customHeight="1" x14ac:dyDescent="0.3"/>
    <row r="2494" spans="1:5" ht="33" hidden="1" customHeight="1" x14ac:dyDescent="0.3">
      <c r="A2494" s="1" t="s">
        <v>513</v>
      </c>
    </row>
    <row r="2495" spans="1:5" ht="17.25" hidden="1" customHeight="1" thickBot="1" x14ac:dyDescent="0.3"/>
    <row r="2496" spans="1:5" ht="16.5" hidden="1" customHeight="1" x14ac:dyDescent="0.3">
      <c r="A2496" s="24" t="s">
        <v>462</v>
      </c>
      <c r="B2496" s="26"/>
      <c r="C2496" s="26"/>
      <c r="D2496" s="26"/>
      <c r="E2496" s="26"/>
    </row>
    <row r="2497" spans="1:5" ht="16.5" hidden="1" customHeight="1" x14ac:dyDescent="0.3">
      <c r="A2497" s="6" t="s">
        <v>463</v>
      </c>
      <c r="B2497" s="3" t="s">
        <v>460</v>
      </c>
      <c r="C2497" s="27" t="s">
        <v>464</v>
      </c>
      <c r="D2497" s="27"/>
      <c r="E2497" s="27"/>
    </row>
    <row r="2498" spans="1:5" ht="16.5" hidden="1" customHeight="1" thickBot="1" x14ac:dyDescent="0.35">
      <c r="A2498" s="13" t="s">
        <v>22</v>
      </c>
      <c r="B2498" s="12">
        <v>1</v>
      </c>
      <c r="C2498" s="2">
        <v>0</v>
      </c>
      <c r="D2498" s="2">
        <v>0</v>
      </c>
      <c r="E2498" s="2">
        <v>0</v>
      </c>
    </row>
    <row r="2499" spans="1:5" ht="16.5" hidden="1" customHeight="1" thickBot="1" x14ac:dyDescent="0.35">
      <c r="A2499" s="13"/>
      <c r="B2499" s="12">
        <v>2</v>
      </c>
      <c r="C2499" s="2">
        <v>1</v>
      </c>
      <c r="D2499" s="2">
        <v>0</v>
      </c>
      <c r="E2499" s="2">
        <v>0</v>
      </c>
    </row>
    <row r="2500" spans="1:5" ht="16.5" hidden="1" customHeight="1" thickBot="1" x14ac:dyDescent="0.35">
      <c r="A2500" s="13"/>
      <c r="B2500" s="12">
        <v>3</v>
      </c>
      <c r="C2500" s="2">
        <v>0</v>
      </c>
      <c r="D2500" s="2">
        <v>1</v>
      </c>
      <c r="E2500" s="2">
        <v>0</v>
      </c>
    </row>
    <row r="2501" spans="1:5" ht="16.5" hidden="1" customHeight="1" x14ac:dyDescent="0.3">
      <c r="A2501" s="14"/>
      <c r="B2501" s="15">
        <v>4</v>
      </c>
      <c r="C2501" s="2">
        <v>0</v>
      </c>
      <c r="D2501" s="2">
        <v>0</v>
      </c>
      <c r="E2501" s="2">
        <v>1</v>
      </c>
    </row>
    <row r="2502" spans="1:5" ht="17.25" hidden="1" customHeight="1" thickBot="1" x14ac:dyDescent="0.3"/>
    <row r="2503" spans="1:5" ht="17.25" hidden="1" customHeight="1" x14ac:dyDescent="0.3">
      <c r="A2503" s="4" t="s">
        <v>465</v>
      </c>
    </row>
    <row r="2504" spans="1:5" ht="17.25" hidden="1" customHeight="1" x14ac:dyDescent="0.3">
      <c r="A2504" s="23" t="s">
        <v>466</v>
      </c>
    </row>
    <row r="2505" spans="1:5" ht="16.5" hidden="1" customHeight="1" thickBot="1" x14ac:dyDescent="0.3"/>
    <row r="2506" spans="1:5" ht="16.5" hidden="1" customHeight="1" x14ac:dyDescent="0.3">
      <c r="A2506" s="24" t="s">
        <v>467</v>
      </c>
      <c r="B2506" s="26"/>
      <c r="C2506" s="26"/>
    </row>
    <row r="2507" spans="1:5" ht="66" hidden="1" customHeight="1" x14ac:dyDescent="0.3">
      <c r="A2507" s="6" t="s">
        <v>468</v>
      </c>
      <c r="B2507" s="3" t="s">
        <v>469</v>
      </c>
      <c r="C2507" s="3" t="s">
        <v>470</v>
      </c>
    </row>
    <row r="2508" spans="1:5" ht="99" hidden="1" customHeight="1" thickBot="1" x14ac:dyDescent="0.35">
      <c r="A2508" s="13" t="s">
        <v>471</v>
      </c>
      <c r="B2508" s="2">
        <v>983224.16</v>
      </c>
      <c r="C2508" s="2">
        <v>975926.37</v>
      </c>
    </row>
    <row r="2509" spans="1:5" ht="16.5" hidden="1" customHeight="1" thickBot="1" x14ac:dyDescent="0.35">
      <c r="A2509" s="13" t="s">
        <v>472</v>
      </c>
      <c r="B2509" s="2">
        <v>983238.03</v>
      </c>
      <c r="C2509" s="2">
        <v>975981.83</v>
      </c>
    </row>
    <row r="2510" spans="1:5" ht="16.5" hidden="1" customHeight="1" x14ac:dyDescent="0.3">
      <c r="A2510" s="14" t="s">
        <v>473</v>
      </c>
      <c r="B2510" s="2" t="s">
        <v>647</v>
      </c>
      <c r="C2510" s="2">
        <v>975918.37</v>
      </c>
    </row>
    <row r="2511" spans="1:5" ht="66" hidden="1" customHeight="1" thickBot="1" x14ac:dyDescent="0.3"/>
    <row r="2512" spans="1:5" ht="17.25" hidden="1" customHeight="1" x14ac:dyDescent="0.3">
      <c r="A2512" s="24" t="s">
        <v>474</v>
      </c>
      <c r="B2512" s="26"/>
      <c r="C2512" s="26"/>
      <c r="D2512" s="26"/>
      <c r="E2512" s="26"/>
    </row>
    <row r="2513" spans="1:6" ht="17.25" hidden="1" customHeight="1" x14ac:dyDescent="0.3">
      <c r="A2513" s="6" t="s">
        <v>475</v>
      </c>
      <c r="B2513" s="3" t="s">
        <v>476</v>
      </c>
      <c r="C2513" s="3" t="s">
        <v>477</v>
      </c>
      <c r="D2513" s="3" t="s">
        <v>478</v>
      </c>
      <c r="E2513" s="3" t="s">
        <v>479</v>
      </c>
    </row>
    <row r="2514" spans="1:6" ht="16.5" hidden="1" customHeight="1" x14ac:dyDescent="0.3">
      <c r="A2514" s="25" t="s">
        <v>530</v>
      </c>
      <c r="B2514" s="27"/>
      <c r="C2514" s="27"/>
      <c r="D2514" s="27"/>
      <c r="E2514" s="27"/>
    </row>
    <row r="2515" spans="1:6" ht="16.5" hidden="1" customHeight="1" thickBot="1" x14ac:dyDescent="0.35">
      <c r="A2515" s="13" t="s">
        <v>481</v>
      </c>
      <c r="B2515" s="2">
        <v>5.3</v>
      </c>
      <c r="C2515" s="2">
        <v>2.9946999999999999</v>
      </c>
      <c r="D2515" s="2">
        <v>8301.2999999999993</v>
      </c>
      <c r="E2515" s="2">
        <v>1.1999999999999999E-3</v>
      </c>
    </row>
    <row r="2516" spans="1:6" ht="16.5" hidden="1" customHeight="1" thickBot="1" x14ac:dyDescent="0.35">
      <c r="A2516" s="13" t="s">
        <v>483</v>
      </c>
      <c r="B2516" s="2">
        <v>6.87</v>
      </c>
      <c r="C2516" s="2">
        <v>3</v>
      </c>
      <c r="D2516" s="2">
        <v>2770</v>
      </c>
      <c r="E2516" s="2">
        <v>1E-4</v>
      </c>
    </row>
    <row r="2517" spans="1:6" ht="16.5" hidden="1" customHeight="1" x14ac:dyDescent="0.3">
      <c r="A2517" s="14" t="s">
        <v>484</v>
      </c>
      <c r="B2517" s="2">
        <v>3.08</v>
      </c>
      <c r="C2517" s="2">
        <v>3</v>
      </c>
      <c r="D2517" s="2">
        <v>2770</v>
      </c>
      <c r="E2517" s="2">
        <v>2.63E-2</v>
      </c>
    </row>
    <row r="2518" spans="1:6" ht="33" hidden="1" customHeight="1" thickBot="1" x14ac:dyDescent="0.3"/>
    <row r="2519" spans="1:6" ht="26.25" hidden="1" customHeight="1" x14ac:dyDescent="0.3">
      <c r="A2519" s="24" t="s">
        <v>485</v>
      </c>
      <c r="B2519" s="26"/>
      <c r="C2519" s="26"/>
      <c r="D2519" s="26"/>
      <c r="E2519" s="26"/>
    </row>
    <row r="2520" spans="1:6" ht="17.25" hidden="1" customHeight="1" x14ac:dyDescent="0.3">
      <c r="A2520" s="6" t="s">
        <v>486</v>
      </c>
      <c r="B2520" s="3" t="s">
        <v>476</v>
      </c>
      <c r="C2520" s="3" t="s">
        <v>477</v>
      </c>
      <c r="D2520" s="3" t="s">
        <v>478</v>
      </c>
      <c r="E2520" s="3" t="s">
        <v>479</v>
      </c>
    </row>
    <row r="2521" spans="1:6" ht="16.5" hidden="1" customHeight="1" x14ac:dyDescent="0.3">
      <c r="A2521" s="14" t="s">
        <v>22</v>
      </c>
      <c r="B2521" s="2">
        <v>3.08</v>
      </c>
      <c r="C2521" s="2">
        <v>3</v>
      </c>
      <c r="D2521" s="2">
        <v>2770</v>
      </c>
      <c r="E2521" s="2">
        <v>2.63E-2</v>
      </c>
    </row>
    <row r="2522" spans="1:6" ht="16.5" hidden="1" customHeight="1" thickBot="1" x14ac:dyDescent="0.3"/>
    <row r="2523" spans="1:6" ht="16.5" hidden="1" customHeight="1" x14ac:dyDescent="0.3">
      <c r="A2523" s="24" t="s">
        <v>487</v>
      </c>
      <c r="B2523" s="26"/>
      <c r="C2523" s="26"/>
      <c r="D2523" s="26"/>
      <c r="E2523" s="26"/>
      <c r="F2523" s="26"/>
    </row>
    <row r="2524" spans="1:6" ht="16.5" hidden="1" customHeight="1" x14ac:dyDescent="0.3">
      <c r="A2524" s="25" t="s">
        <v>488</v>
      </c>
      <c r="B2524" s="27"/>
      <c r="C2524" s="27" t="s">
        <v>489</v>
      </c>
      <c r="D2524" s="3" t="s">
        <v>490</v>
      </c>
      <c r="E2524" s="27" t="s">
        <v>492</v>
      </c>
      <c r="F2524" s="27" t="s">
        <v>493</v>
      </c>
    </row>
    <row r="2525" spans="1:6" ht="16.5" hidden="1" customHeight="1" x14ac:dyDescent="0.3">
      <c r="A2525" s="25"/>
      <c r="B2525" s="27"/>
      <c r="C2525" s="27"/>
      <c r="D2525" s="3" t="s">
        <v>491</v>
      </c>
      <c r="E2525" s="27"/>
      <c r="F2525" s="27"/>
    </row>
    <row r="2526" spans="1:6" ht="16.5" hidden="1" customHeight="1" x14ac:dyDescent="0.3">
      <c r="A2526" s="25" t="s">
        <v>593</v>
      </c>
      <c r="B2526" s="27"/>
      <c r="C2526" s="27"/>
      <c r="D2526" s="27"/>
      <c r="E2526" s="27"/>
      <c r="F2526" s="27"/>
    </row>
    <row r="2527" spans="1:6" ht="16.5" hidden="1" customHeight="1" thickBot="1" x14ac:dyDescent="0.35">
      <c r="A2527" s="13" t="s">
        <v>495</v>
      </c>
      <c r="B2527" s="12"/>
      <c r="C2527" s="16">
        <v>-5.3049999999999997</v>
      </c>
      <c r="D2527" s="2">
        <v>0.31040000000000001</v>
      </c>
      <c r="E2527" s="16">
        <v>-17.09</v>
      </c>
      <c r="F2527" s="2" t="s">
        <v>482</v>
      </c>
    </row>
    <row r="2528" spans="1:6" ht="16.5" hidden="1" customHeight="1" thickBot="1" x14ac:dyDescent="0.35">
      <c r="A2528" s="13" t="s">
        <v>22</v>
      </c>
      <c r="B2528" s="12">
        <v>2</v>
      </c>
      <c r="C2528" s="2">
        <v>0.98140000000000005</v>
      </c>
      <c r="D2528" s="2">
        <v>0.34079999999999999</v>
      </c>
      <c r="E2528" s="2">
        <v>2.88</v>
      </c>
      <c r="F2528" s="2">
        <v>4.0000000000000001E-3</v>
      </c>
    </row>
    <row r="2529" spans="1:9" ht="16.5" hidden="1" customHeight="1" thickBot="1" x14ac:dyDescent="0.35">
      <c r="A2529" s="13" t="s">
        <v>22</v>
      </c>
      <c r="B2529" s="12">
        <v>3</v>
      </c>
      <c r="C2529" s="2">
        <v>0.9395</v>
      </c>
      <c r="D2529" s="2">
        <v>0.34239999999999998</v>
      </c>
      <c r="E2529" s="2">
        <v>2.74</v>
      </c>
      <c r="F2529" s="2">
        <v>6.1000000000000004E-3</v>
      </c>
    </row>
    <row r="2530" spans="1:9" ht="16.5" hidden="1" customHeight="1" x14ac:dyDescent="0.3">
      <c r="A2530" s="14" t="s">
        <v>22</v>
      </c>
      <c r="B2530" s="15">
        <v>4</v>
      </c>
      <c r="C2530" s="2">
        <v>0.98199999999999998</v>
      </c>
      <c r="D2530" s="2">
        <v>0.33210000000000001</v>
      </c>
      <c r="E2530" s="2">
        <v>2.96</v>
      </c>
      <c r="F2530" s="2">
        <v>3.0999999999999999E-3</v>
      </c>
    </row>
    <row r="2531" spans="1:9" ht="17.25" hidden="1" customHeight="1" thickBot="1" x14ac:dyDescent="0.3"/>
    <row r="2532" spans="1:9" ht="17.25" hidden="1" customHeight="1" x14ac:dyDescent="0.3">
      <c r="A2532" s="24" t="s">
        <v>496</v>
      </c>
      <c r="B2532" s="26"/>
      <c r="C2532" s="26"/>
      <c r="D2532" s="26"/>
      <c r="H2532">
        <f>F2532</f>
        <v>0</v>
      </c>
    </row>
    <row r="2533" spans="1:9" ht="17.25" hidden="1" customHeight="1" x14ac:dyDescent="0.3">
      <c r="A2533" s="6" t="s">
        <v>486</v>
      </c>
      <c r="B2533" s="3" t="s">
        <v>497</v>
      </c>
      <c r="C2533" s="27" t="s">
        <v>91</v>
      </c>
      <c r="D2533" s="27"/>
      <c r="H2533">
        <f t="shared" ref="H2533:H2534" si="87">F2533</f>
        <v>0</v>
      </c>
    </row>
    <row r="2534" spans="1:9" ht="16.5" hidden="1" customHeight="1" x14ac:dyDescent="0.3">
      <c r="A2534" s="25" t="s">
        <v>594</v>
      </c>
      <c r="B2534" s="27"/>
      <c r="C2534" s="27"/>
      <c r="D2534" s="27"/>
      <c r="H2534">
        <f t="shared" si="87"/>
        <v>0</v>
      </c>
    </row>
    <row r="2535" spans="1:9" ht="16.5" hidden="1" customHeight="1" thickBot="1" x14ac:dyDescent="0.35">
      <c r="A2535" s="13" t="s">
        <v>499</v>
      </c>
      <c r="B2535" s="2">
        <v>2.6680000000000001</v>
      </c>
      <c r="C2535" s="2">
        <v>1.3680000000000001</v>
      </c>
      <c r="D2535" s="2">
        <v>5.2050000000000001</v>
      </c>
    </row>
    <row r="2536" spans="1:9" ht="16.5" hidden="1" customHeight="1" thickBot="1" x14ac:dyDescent="0.35">
      <c r="A2536" s="13" t="s">
        <v>500</v>
      </c>
      <c r="B2536" s="2">
        <v>2.5590000000000002</v>
      </c>
      <c r="C2536" s="2">
        <v>1.3080000000000001</v>
      </c>
      <c r="D2536" s="2">
        <v>5.0069999999999997</v>
      </c>
    </row>
    <row r="2537" spans="1:9" ht="33" hidden="1" customHeight="1" thickBot="1" x14ac:dyDescent="0.35">
      <c r="A2537" s="14" t="s">
        <v>501</v>
      </c>
      <c r="B2537" s="2">
        <v>2.67</v>
      </c>
      <c r="C2537" s="2">
        <v>1.3919999999999999</v>
      </c>
      <c r="D2537" s="2">
        <v>5.12</v>
      </c>
    </row>
    <row r="2538" spans="1:9" ht="49.5" hidden="1" customHeight="1" thickBot="1" x14ac:dyDescent="0.3"/>
    <row r="2539" spans="1:9" ht="33" customHeight="1" x14ac:dyDescent="0.3">
      <c r="A2539" s="24" t="s">
        <v>502</v>
      </c>
      <c r="B2539" s="26"/>
      <c r="C2539" s="26"/>
      <c r="D2539" s="26"/>
      <c r="H2539" s="8" t="str">
        <f t="shared" ref="H2539:H2541" si="88">TEXT(B2539,"0.00")&amp;" ("&amp;TEXT(C2539,"0.00")&amp;" to "&amp;TEXT(D2539,"0.00")&amp;")"</f>
        <v>0.00 (0.00 to 0.00)</v>
      </c>
      <c r="I2539">
        <f t="shared" ref="I2539:I2541" si="89">F2532</f>
        <v>0</v>
      </c>
    </row>
    <row r="2540" spans="1:9" ht="26.25" customHeight="1" thickBot="1" x14ac:dyDescent="0.35">
      <c r="A2540" s="13" t="s">
        <v>503</v>
      </c>
      <c r="B2540" s="2">
        <v>15.5</v>
      </c>
      <c r="C2540" s="12" t="s">
        <v>504</v>
      </c>
      <c r="D2540" s="2">
        <v>8.8999999999999996E-2</v>
      </c>
      <c r="H2540" s="8" t="str">
        <f t="shared" si="88"/>
        <v>15.50 (Somers' D to 0.09)</v>
      </c>
      <c r="I2540">
        <f t="shared" si="89"/>
        <v>0</v>
      </c>
    </row>
    <row r="2541" spans="1:9" ht="25.5" customHeight="1" thickBot="1" x14ac:dyDescent="0.35">
      <c r="A2541" s="13" t="s">
        <v>505</v>
      </c>
      <c r="B2541" s="2">
        <v>6.6</v>
      </c>
      <c r="C2541" s="12" t="s">
        <v>506</v>
      </c>
      <c r="D2541" s="2">
        <v>0.40200000000000002</v>
      </c>
      <c r="H2541" s="8" t="str">
        <f t="shared" si="88"/>
        <v>6.60 (Gamma to 0.40)</v>
      </c>
      <c r="I2541">
        <f t="shared" si="89"/>
        <v>0</v>
      </c>
    </row>
    <row r="2542" spans="1:9" ht="16.5" hidden="1" customHeight="1" thickBot="1" x14ac:dyDescent="0.35">
      <c r="A2542" s="13" t="s">
        <v>507</v>
      </c>
      <c r="B2542" s="2">
        <v>78</v>
      </c>
      <c r="C2542" s="12" t="s">
        <v>508</v>
      </c>
      <c r="D2542" s="2">
        <v>3.0000000000000001E-3</v>
      </c>
    </row>
    <row r="2543" spans="1:9" ht="33" hidden="1" customHeight="1" x14ac:dyDescent="0.3">
      <c r="A2543" s="14" t="s">
        <v>509</v>
      </c>
      <c r="B2543" s="2">
        <v>4362695</v>
      </c>
      <c r="C2543" s="15" t="s">
        <v>510</v>
      </c>
      <c r="D2543" s="2">
        <v>0.54400000000000004</v>
      </c>
    </row>
    <row r="2544" spans="1:9" ht="39" hidden="1" customHeight="1" x14ac:dyDescent="0.3"/>
    <row r="2545" spans="1:2" ht="26.25" hidden="1" customHeight="1" x14ac:dyDescent="0.3"/>
    <row r="2546" spans="1:2" ht="26.25" hidden="1" customHeight="1" x14ac:dyDescent="0.3"/>
    <row r="2547" spans="1:2" ht="16.5" hidden="1" customHeight="1" x14ac:dyDescent="0.3">
      <c r="A2547" s="1" t="s">
        <v>436</v>
      </c>
    </row>
    <row r="2548" spans="1:2" ht="16.5" hidden="1" customHeight="1" x14ac:dyDescent="0.3"/>
    <row r="2549" spans="1:2" ht="16.5" hidden="1" customHeight="1" x14ac:dyDescent="0.3">
      <c r="A2549" s="1" t="s">
        <v>424</v>
      </c>
    </row>
    <row r="2550" spans="1:2" ht="16.5" hidden="1" customHeight="1" thickBot="1" x14ac:dyDescent="0.3"/>
    <row r="2551" spans="1:2" ht="16.5" hidden="1" customHeight="1" x14ac:dyDescent="0.3">
      <c r="A2551" s="24" t="s">
        <v>437</v>
      </c>
      <c r="B2551" s="26"/>
    </row>
    <row r="2552" spans="1:2" ht="16.5" hidden="1" customHeight="1" thickBot="1" x14ac:dyDescent="0.35">
      <c r="A2552" s="13" t="s">
        <v>438</v>
      </c>
      <c r="B2552" s="18" t="s">
        <v>439</v>
      </c>
    </row>
    <row r="2553" spans="1:2" ht="16.5" hidden="1" customHeight="1" thickBot="1" x14ac:dyDescent="0.35">
      <c r="A2553" s="13" t="s">
        <v>440</v>
      </c>
      <c r="B2553" s="18" t="s">
        <v>19</v>
      </c>
    </row>
    <row r="2554" spans="1:2" ht="16.5" hidden="1" customHeight="1" thickBot="1" x14ac:dyDescent="0.35">
      <c r="A2554" s="13" t="s">
        <v>441</v>
      </c>
      <c r="B2554" s="18">
        <v>2</v>
      </c>
    </row>
    <row r="2555" spans="1:2" ht="16.5" hidden="1" customHeight="1" thickBot="1" x14ac:dyDescent="0.35">
      <c r="A2555" s="13" t="s">
        <v>442</v>
      </c>
      <c r="B2555" s="18" t="s">
        <v>443</v>
      </c>
    </row>
    <row r="2556" spans="1:2" ht="26.25" hidden="1" customHeight="1" thickBot="1" x14ac:dyDescent="0.35">
      <c r="A2556" s="13" t="s">
        <v>76</v>
      </c>
      <c r="B2556" s="18">
        <v>183</v>
      </c>
    </row>
    <row r="2557" spans="1:2" ht="26.25" hidden="1" customHeight="1" thickBot="1" x14ac:dyDescent="0.35">
      <c r="A2557" s="13" t="s">
        <v>444</v>
      </c>
      <c r="B2557" s="18" t="s">
        <v>445</v>
      </c>
    </row>
    <row r="2558" spans="1:2" ht="39" hidden="1" customHeight="1" thickBot="1" x14ac:dyDescent="0.35">
      <c r="A2558" s="13" t="s">
        <v>77</v>
      </c>
      <c r="B2558" s="18">
        <v>2982</v>
      </c>
    </row>
    <row r="2559" spans="1:2" ht="26.25" hidden="1" customHeight="1" thickBot="1" x14ac:dyDescent="0.35">
      <c r="A2559" s="13" t="s">
        <v>446</v>
      </c>
      <c r="B2559" s="18" t="s">
        <v>447</v>
      </c>
    </row>
    <row r="2560" spans="1:2" ht="26.25" hidden="1" customHeight="1" thickBot="1" x14ac:dyDescent="0.35">
      <c r="A2560" s="13" t="s">
        <v>448</v>
      </c>
      <c r="B2560" s="18" t="s">
        <v>449</v>
      </c>
    </row>
    <row r="2561" spans="1:4" ht="26.25" hidden="1" customHeight="1" thickBot="1" x14ac:dyDescent="0.35">
      <c r="A2561" s="13" t="s">
        <v>450</v>
      </c>
      <c r="B2561" s="18" t="s">
        <v>451</v>
      </c>
    </row>
    <row r="2562" spans="1:4" ht="26.25" hidden="1" customHeight="1" x14ac:dyDescent="0.3">
      <c r="A2562" s="14" t="s">
        <v>452</v>
      </c>
      <c r="B2562" s="19" t="s">
        <v>453</v>
      </c>
    </row>
    <row r="2563" spans="1:4" ht="26.25" hidden="1" customHeight="1" thickBot="1" x14ac:dyDescent="0.3"/>
    <row r="2564" spans="1:4" ht="26.25" hidden="1" customHeight="1" x14ac:dyDescent="0.3">
      <c r="A2564" s="24" t="s">
        <v>80</v>
      </c>
      <c r="B2564" s="26"/>
    </row>
    <row r="2565" spans="1:4" ht="39" hidden="1" customHeight="1" thickBot="1" x14ac:dyDescent="0.35">
      <c r="A2565" s="13" t="s">
        <v>81</v>
      </c>
      <c r="B2565" s="2" t="s">
        <v>82</v>
      </c>
    </row>
    <row r="2566" spans="1:4" ht="38.25" hidden="1" customHeight="1" x14ac:dyDescent="0.3">
      <c r="A2566" s="14" t="s">
        <v>452</v>
      </c>
      <c r="B2566" s="2" t="s">
        <v>453</v>
      </c>
    </row>
    <row r="2567" spans="1:4" ht="16.5" hidden="1" customHeight="1" thickBot="1" x14ac:dyDescent="0.3"/>
    <row r="2568" spans="1:4" ht="33" hidden="1" customHeight="1" thickBot="1" x14ac:dyDescent="0.35">
      <c r="A2568" s="20" t="s">
        <v>454</v>
      </c>
      <c r="B2568" s="21">
        <v>52064</v>
      </c>
    </row>
    <row r="2569" spans="1:4" ht="33.75" hidden="1" customHeight="1" thickBot="1" x14ac:dyDescent="0.35">
      <c r="A2569" s="13" t="s">
        <v>455</v>
      </c>
      <c r="B2569" s="2">
        <v>52064</v>
      </c>
    </row>
    <row r="2570" spans="1:4" ht="66" hidden="1" customHeight="1" thickBot="1" x14ac:dyDescent="0.35">
      <c r="A2570" s="13" t="s">
        <v>456</v>
      </c>
      <c r="B2570" s="2">
        <v>22068163</v>
      </c>
    </row>
    <row r="2571" spans="1:4" ht="16.5" hidden="1" customHeight="1" x14ac:dyDescent="0.3">
      <c r="A2571" s="14" t="s">
        <v>457</v>
      </c>
      <c r="B2571" s="2">
        <v>22068163</v>
      </c>
    </row>
    <row r="2572" spans="1:4" ht="39" hidden="1" customHeight="1" thickBot="1" x14ac:dyDescent="0.3"/>
    <row r="2573" spans="1:4" ht="39" hidden="1" customHeight="1" x14ac:dyDescent="0.3">
      <c r="A2573" s="24" t="s">
        <v>458</v>
      </c>
      <c r="B2573" s="26"/>
      <c r="C2573" s="26"/>
      <c r="D2573" s="26"/>
    </row>
    <row r="2574" spans="1:4" ht="39" hidden="1" customHeight="1" x14ac:dyDescent="0.3">
      <c r="A2574" s="6" t="s">
        <v>459</v>
      </c>
      <c r="B2574" s="27" t="s">
        <v>19</v>
      </c>
      <c r="C2574" s="3" t="s">
        <v>93</v>
      </c>
      <c r="D2574" s="3" t="s">
        <v>93</v>
      </c>
    </row>
    <row r="2575" spans="1:4" ht="38.25" hidden="1" customHeight="1" x14ac:dyDescent="0.3">
      <c r="A2575" s="6" t="s">
        <v>460</v>
      </c>
      <c r="B2575" s="27"/>
      <c r="C2575" s="3" t="s">
        <v>86</v>
      </c>
      <c r="D2575" s="3" t="s">
        <v>461</v>
      </c>
    </row>
    <row r="2576" spans="1:4" ht="16.5" hidden="1" customHeight="1" thickBot="1" x14ac:dyDescent="0.35">
      <c r="A2576" s="6">
        <v>1</v>
      </c>
      <c r="B2576" s="17">
        <v>0</v>
      </c>
      <c r="C2576" s="2">
        <v>51102</v>
      </c>
      <c r="D2576" s="2">
        <v>21772651</v>
      </c>
    </row>
    <row r="2577" spans="1:5" ht="16.5" hidden="1" customHeight="1" x14ac:dyDescent="0.3">
      <c r="A2577" s="6">
        <v>2</v>
      </c>
      <c r="B2577" s="22">
        <v>1</v>
      </c>
      <c r="C2577" s="2">
        <v>962</v>
      </c>
      <c r="D2577" s="2">
        <v>295512</v>
      </c>
    </row>
    <row r="2578" spans="1:5" ht="16.5" hidden="1" customHeight="1" x14ac:dyDescent="0.3"/>
    <row r="2579" spans="1:5" ht="33" hidden="1" customHeight="1" x14ac:dyDescent="0.3">
      <c r="A2579" s="1" t="s">
        <v>513</v>
      </c>
    </row>
    <row r="2580" spans="1:5" ht="17.25" hidden="1" customHeight="1" thickBot="1" x14ac:dyDescent="0.3"/>
    <row r="2581" spans="1:5" ht="16.5" hidden="1" customHeight="1" x14ac:dyDescent="0.3">
      <c r="A2581" s="24" t="s">
        <v>462</v>
      </c>
      <c r="B2581" s="26"/>
      <c r="C2581" s="26"/>
      <c r="D2581" s="26"/>
      <c r="E2581" s="26"/>
    </row>
    <row r="2582" spans="1:5" ht="16.5" hidden="1" customHeight="1" x14ac:dyDescent="0.3">
      <c r="A2582" s="6" t="s">
        <v>463</v>
      </c>
      <c r="B2582" s="3" t="s">
        <v>460</v>
      </c>
      <c r="C2582" s="27" t="s">
        <v>464</v>
      </c>
      <c r="D2582" s="27"/>
      <c r="E2582" s="27"/>
    </row>
    <row r="2583" spans="1:5" ht="16.5" hidden="1" customHeight="1" thickBot="1" x14ac:dyDescent="0.35">
      <c r="A2583" s="13" t="s">
        <v>22</v>
      </c>
      <c r="B2583" s="12">
        <v>1</v>
      </c>
      <c r="C2583" s="2">
        <v>0</v>
      </c>
      <c r="D2583" s="2">
        <v>0</v>
      </c>
      <c r="E2583" s="2">
        <v>0</v>
      </c>
    </row>
    <row r="2584" spans="1:5" ht="16.5" hidden="1" customHeight="1" thickBot="1" x14ac:dyDescent="0.35">
      <c r="A2584" s="13"/>
      <c r="B2584" s="12">
        <v>2</v>
      </c>
      <c r="C2584" s="2">
        <v>1</v>
      </c>
      <c r="D2584" s="2">
        <v>0</v>
      </c>
      <c r="E2584" s="2">
        <v>0</v>
      </c>
    </row>
    <row r="2585" spans="1:5" ht="16.5" hidden="1" customHeight="1" thickBot="1" x14ac:dyDescent="0.35">
      <c r="A2585" s="13"/>
      <c r="B2585" s="12">
        <v>3</v>
      </c>
      <c r="C2585" s="2">
        <v>0</v>
      </c>
      <c r="D2585" s="2">
        <v>1</v>
      </c>
      <c r="E2585" s="2">
        <v>0</v>
      </c>
    </row>
    <row r="2586" spans="1:5" ht="16.5" hidden="1" customHeight="1" x14ac:dyDescent="0.3">
      <c r="A2586" s="14"/>
      <c r="B2586" s="15">
        <v>4</v>
      </c>
      <c r="C2586" s="2">
        <v>0</v>
      </c>
      <c r="D2586" s="2">
        <v>0</v>
      </c>
      <c r="E2586" s="2">
        <v>1</v>
      </c>
    </row>
    <row r="2587" spans="1:5" ht="17.25" hidden="1" customHeight="1" thickBot="1" x14ac:dyDescent="0.3"/>
    <row r="2588" spans="1:5" ht="17.25" hidden="1" customHeight="1" x14ac:dyDescent="0.3">
      <c r="A2588" s="4" t="s">
        <v>465</v>
      </c>
    </row>
    <row r="2589" spans="1:5" ht="17.25" hidden="1" customHeight="1" x14ac:dyDescent="0.3">
      <c r="A2589" s="23" t="s">
        <v>466</v>
      </c>
    </row>
    <row r="2590" spans="1:5" ht="16.5" hidden="1" customHeight="1" thickBot="1" x14ac:dyDescent="0.3"/>
    <row r="2591" spans="1:5" ht="16.5" hidden="1" customHeight="1" x14ac:dyDescent="0.3">
      <c r="A2591" s="24" t="s">
        <v>467</v>
      </c>
      <c r="B2591" s="26"/>
      <c r="C2591" s="26"/>
    </row>
    <row r="2592" spans="1:5" ht="66" hidden="1" customHeight="1" x14ac:dyDescent="0.3">
      <c r="A2592" s="6" t="s">
        <v>468</v>
      </c>
      <c r="B2592" s="3" t="s">
        <v>469</v>
      </c>
      <c r="C2592" s="3" t="s">
        <v>470</v>
      </c>
    </row>
    <row r="2593" spans="1:6" ht="99" hidden="1" customHeight="1" thickBot="1" x14ac:dyDescent="0.35">
      <c r="A2593" s="13" t="s">
        <v>471</v>
      </c>
      <c r="B2593" s="2">
        <v>3136242.8</v>
      </c>
      <c r="C2593" s="2">
        <v>3096261.9</v>
      </c>
    </row>
    <row r="2594" spans="1:6" ht="16.5" hidden="1" customHeight="1" thickBot="1" x14ac:dyDescent="0.35">
      <c r="A2594" s="13" t="s">
        <v>472</v>
      </c>
      <c r="B2594" s="2">
        <v>3136257.7</v>
      </c>
      <c r="C2594" s="2">
        <v>3096321.5</v>
      </c>
    </row>
    <row r="2595" spans="1:6" ht="16.5" hidden="1" customHeight="1" x14ac:dyDescent="0.3">
      <c r="A2595" s="14" t="s">
        <v>473</v>
      </c>
      <c r="B2595" s="2" t="s">
        <v>648</v>
      </c>
      <c r="C2595" s="2">
        <v>3096253.9</v>
      </c>
    </row>
    <row r="2596" spans="1:6" ht="66" hidden="1" customHeight="1" thickBot="1" x14ac:dyDescent="0.3"/>
    <row r="2597" spans="1:6" ht="17.25" hidden="1" customHeight="1" x14ac:dyDescent="0.3">
      <c r="A2597" s="24" t="s">
        <v>474</v>
      </c>
      <c r="B2597" s="26"/>
      <c r="C2597" s="26"/>
      <c r="D2597" s="26"/>
      <c r="E2597" s="26"/>
    </row>
    <row r="2598" spans="1:6" ht="17.25" hidden="1" customHeight="1" x14ac:dyDescent="0.3">
      <c r="A2598" s="6" t="s">
        <v>475</v>
      </c>
      <c r="B2598" s="3" t="s">
        <v>476</v>
      </c>
      <c r="C2598" s="3" t="s">
        <v>477</v>
      </c>
      <c r="D2598" s="3" t="s">
        <v>478</v>
      </c>
      <c r="E2598" s="3" t="s">
        <v>479</v>
      </c>
    </row>
    <row r="2599" spans="1:6" ht="16.5" hidden="1" customHeight="1" x14ac:dyDescent="0.3">
      <c r="A2599" s="25" t="s">
        <v>580</v>
      </c>
      <c r="B2599" s="27"/>
      <c r="C2599" s="27"/>
      <c r="D2599" s="27"/>
      <c r="E2599" s="27"/>
    </row>
    <row r="2600" spans="1:6" ht="16.5" hidden="1" customHeight="1" thickBot="1" x14ac:dyDescent="0.35">
      <c r="A2600" s="13" t="s">
        <v>481</v>
      </c>
      <c r="B2600" s="2">
        <v>31.74</v>
      </c>
      <c r="C2600" s="2">
        <v>2.9980000000000002</v>
      </c>
      <c r="D2600" s="2">
        <v>8391.2999999999993</v>
      </c>
      <c r="E2600" s="2" t="s">
        <v>482</v>
      </c>
    </row>
    <row r="2601" spans="1:6" ht="16.5" hidden="1" customHeight="1" thickBot="1" x14ac:dyDescent="0.35">
      <c r="A2601" s="13" t="s">
        <v>483</v>
      </c>
      <c r="B2601" s="2">
        <v>39.61</v>
      </c>
      <c r="C2601" s="2">
        <v>3</v>
      </c>
      <c r="D2601" s="2">
        <v>2797</v>
      </c>
      <c r="E2601" s="2" t="s">
        <v>482</v>
      </c>
    </row>
    <row r="2602" spans="1:6" ht="16.5" hidden="1" customHeight="1" x14ac:dyDescent="0.3">
      <c r="A2602" s="14" t="s">
        <v>484</v>
      </c>
      <c r="B2602" s="2">
        <v>26.98</v>
      </c>
      <c r="C2602" s="2">
        <v>3</v>
      </c>
      <c r="D2602" s="2">
        <v>2797</v>
      </c>
      <c r="E2602" s="2" t="s">
        <v>482</v>
      </c>
    </row>
    <row r="2603" spans="1:6" ht="33" hidden="1" customHeight="1" thickBot="1" x14ac:dyDescent="0.3"/>
    <row r="2604" spans="1:6" ht="26.25" hidden="1" customHeight="1" x14ac:dyDescent="0.3">
      <c r="A2604" s="24" t="s">
        <v>485</v>
      </c>
      <c r="B2604" s="26"/>
      <c r="C2604" s="26"/>
      <c r="D2604" s="26"/>
      <c r="E2604" s="26"/>
    </row>
    <row r="2605" spans="1:6" ht="17.25" hidden="1" customHeight="1" x14ac:dyDescent="0.3">
      <c r="A2605" s="6" t="s">
        <v>486</v>
      </c>
      <c r="B2605" s="3" t="s">
        <v>476</v>
      </c>
      <c r="C2605" s="3" t="s">
        <v>477</v>
      </c>
      <c r="D2605" s="3" t="s">
        <v>478</v>
      </c>
      <c r="E2605" s="3" t="s">
        <v>479</v>
      </c>
    </row>
    <row r="2606" spans="1:6" ht="16.5" hidden="1" customHeight="1" x14ac:dyDescent="0.3">
      <c r="A2606" s="14" t="s">
        <v>22</v>
      </c>
      <c r="B2606" s="2">
        <v>26.98</v>
      </c>
      <c r="C2606" s="2">
        <v>3</v>
      </c>
      <c r="D2606" s="2">
        <v>2797</v>
      </c>
      <c r="E2606" s="2" t="s">
        <v>482</v>
      </c>
    </row>
    <row r="2607" spans="1:6" ht="16.5" hidden="1" customHeight="1" thickBot="1" x14ac:dyDescent="0.3"/>
    <row r="2608" spans="1:6" ht="16.5" hidden="1" customHeight="1" x14ac:dyDescent="0.3">
      <c r="A2608" s="24" t="s">
        <v>487</v>
      </c>
      <c r="B2608" s="26"/>
      <c r="C2608" s="26"/>
      <c r="D2608" s="26"/>
      <c r="E2608" s="26"/>
      <c r="F2608" s="26"/>
    </row>
    <row r="2609" spans="1:9" ht="16.5" hidden="1" customHeight="1" x14ac:dyDescent="0.3">
      <c r="A2609" s="25" t="s">
        <v>488</v>
      </c>
      <c r="B2609" s="27"/>
      <c r="C2609" s="27" t="s">
        <v>489</v>
      </c>
      <c r="D2609" s="3" t="s">
        <v>490</v>
      </c>
      <c r="E2609" s="27" t="s">
        <v>492</v>
      </c>
      <c r="F2609" s="27" t="s">
        <v>493</v>
      </c>
    </row>
    <row r="2610" spans="1:9" ht="16.5" hidden="1" customHeight="1" x14ac:dyDescent="0.3">
      <c r="A2610" s="25"/>
      <c r="B2610" s="27"/>
      <c r="C2610" s="27"/>
      <c r="D2610" s="3" t="s">
        <v>491</v>
      </c>
      <c r="E2610" s="27"/>
      <c r="F2610" s="27"/>
    </row>
    <row r="2611" spans="1:9" ht="16.5" hidden="1" customHeight="1" x14ac:dyDescent="0.3">
      <c r="A2611" s="25" t="s">
        <v>494</v>
      </c>
      <c r="B2611" s="27"/>
      <c r="C2611" s="27"/>
      <c r="D2611" s="27"/>
      <c r="E2611" s="27"/>
      <c r="F2611" s="27"/>
    </row>
    <row r="2612" spans="1:9" ht="16.5" hidden="1" customHeight="1" thickBot="1" x14ac:dyDescent="0.35">
      <c r="A2612" s="13" t="s">
        <v>495</v>
      </c>
      <c r="B2612" s="12"/>
      <c r="C2612" s="16">
        <v>-4.9863999999999997</v>
      </c>
      <c r="D2612" s="2">
        <v>0.10150000000000001</v>
      </c>
      <c r="E2612" s="16">
        <v>-49.12</v>
      </c>
      <c r="F2612" s="2" t="s">
        <v>482</v>
      </c>
    </row>
    <row r="2613" spans="1:9" ht="16.5" hidden="1" customHeight="1" thickBot="1" x14ac:dyDescent="0.35">
      <c r="A2613" s="13" t="s">
        <v>22</v>
      </c>
      <c r="B2613" s="12">
        <v>2</v>
      </c>
      <c r="C2613" s="2">
        <v>0.61099999999999999</v>
      </c>
      <c r="D2613" s="2">
        <v>0.12709999999999999</v>
      </c>
      <c r="E2613" s="2">
        <v>4.8099999999999996</v>
      </c>
      <c r="F2613" s="2" t="s">
        <v>482</v>
      </c>
    </row>
    <row r="2614" spans="1:9" ht="16.5" hidden="1" customHeight="1" thickBot="1" x14ac:dyDescent="0.35">
      <c r="A2614" s="13" t="s">
        <v>22</v>
      </c>
      <c r="B2614" s="12">
        <v>3</v>
      </c>
      <c r="C2614" s="2">
        <v>0.95679999999999998</v>
      </c>
      <c r="D2614" s="2">
        <v>0.1222</v>
      </c>
      <c r="E2614" s="2">
        <v>7.83</v>
      </c>
      <c r="F2614" s="2" t="s">
        <v>482</v>
      </c>
    </row>
    <row r="2615" spans="1:9" ht="16.5" hidden="1" customHeight="1" x14ac:dyDescent="0.3">
      <c r="A2615" s="14" t="s">
        <v>22</v>
      </c>
      <c r="B2615" s="15">
        <v>4</v>
      </c>
      <c r="C2615" s="2">
        <v>1.0133000000000001</v>
      </c>
      <c r="D2615" s="2">
        <v>0.12429999999999999</v>
      </c>
      <c r="E2615" s="2">
        <v>8.15</v>
      </c>
      <c r="F2615" s="2" t="s">
        <v>482</v>
      </c>
    </row>
    <row r="2616" spans="1:9" ht="17.25" hidden="1" customHeight="1" thickBot="1" x14ac:dyDescent="0.3"/>
    <row r="2617" spans="1:9" ht="17.25" hidden="1" customHeight="1" x14ac:dyDescent="0.3">
      <c r="A2617" s="24" t="s">
        <v>496</v>
      </c>
      <c r="B2617" s="26"/>
      <c r="C2617" s="26"/>
      <c r="D2617" s="26"/>
      <c r="H2617">
        <f>F2617</f>
        <v>0</v>
      </c>
    </row>
    <row r="2618" spans="1:9" ht="17.25" hidden="1" customHeight="1" x14ac:dyDescent="0.3">
      <c r="A2618" s="6" t="s">
        <v>486</v>
      </c>
      <c r="B2618" s="3" t="s">
        <v>497</v>
      </c>
      <c r="C2618" s="27" t="s">
        <v>91</v>
      </c>
      <c r="D2618" s="27"/>
      <c r="H2618">
        <f t="shared" ref="H2618:H2619" si="90">F2618</f>
        <v>0</v>
      </c>
    </row>
    <row r="2619" spans="1:9" ht="16.5" hidden="1" customHeight="1" x14ac:dyDescent="0.3">
      <c r="A2619" s="25" t="s">
        <v>498</v>
      </c>
      <c r="B2619" s="27"/>
      <c r="C2619" s="27"/>
      <c r="D2619" s="27"/>
      <c r="H2619">
        <f t="shared" si="90"/>
        <v>0</v>
      </c>
    </row>
    <row r="2620" spans="1:9" ht="16.5" hidden="1" customHeight="1" thickBot="1" x14ac:dyDescent="0.35">
      <c r="A2620" s="13" t="s">
        <v>499</v>
      </c>
      <c r="B2620" s="2">
        <v>1.8420000000000001</v>
      </c>
      <c r="C2620" s="2">
        <v>1.4359999999999999</v>
      </c>
      <c r="D2620" s="2">
        <v>2.3639999999999999</v>
      </c>
    </row>
    <row r="2621" spans="1:9" ht="16.5" hidden="1" customHeight="1" thickBot="1" x14ac:dyDescent="0.35">
      <c r="A2621" s="13" t="s">
        <v>500</v>
      </c>
      <c r="B2621" s="2">
        <v>2.6030000000000002</v>
      </c>
      <c r="C2621" s="2">
        <v>2.0489999999999999</v>
      </c>
      <c r="D2621" s="2">
        <v>3.3079999999999998</v>
      </c>
    </row>
    <row r="2622" spans="1:9" ht="33" hidden="1" customHeight="1" thickBot="1" x14ac:dyDescent="0.35">
      <c r="A2622" s="14" t="s">
        <v>501</v>
      </c>
      <c r="B2622" s="2">
        <v>2.7549999999999999</v>
      </c>
      <c r="C2622" s="2">
        <v>2.1589999999999998</v>
      </c>
      <c r="D2622" s="2">
        <v>3.5150000000000001</v>
      </c>
    </row>
    <row r="2623" spans="1:9" ht="49.5" hidden="1" customHeight="1" thickBot="1" x14ac:dyDescent="0.3"/>
    <row r="2624" spans="1:9" ht="33" customHeight="1" x14ac:dyDescent="0.3">
      <c r="A2624" s="24" t="s">
        <v>502</v>
      </c>
      <c r="B2624" s="26"/>
      <c r="C2624" s="26"/>
      <c r="D2624" s="26"/>
      <c r="H2624" s="8" t="str">
        <f t="shared" ref="H2624:H2626" si="91">TEXT(B2624,"0.00")&amp;" ("&amp;TEXT(C2624,"0.00")&amp;" to "&amp;TEXT(D2624,"0.00")&amp;")"</f>
        <v>0.00 (0.00 to 0.00)</v>
      </c>
      <c r="I2624">
        <f t="shared" ref="I2624:I2626" si="92">F2617</f>
        <v>0</v>
      </c>
    </row>
    <row r="2625" spans="1:9" ht="26.25" customHeight="1" thickBot="1" x14ac:dyDescent="0.35">
      <c r="A2625" s="13" t="s">
        <v>503</v>
      </c>
      <c r="B2625" s="2">
        <v>45.6</v>
      </c>
      <c r="C2625" s="12" t="s">
        <v>504</v>
      </c>
      <c r="D2625" s="2">
        <v>0.158</v>
      </c>
      <c r="H2625" s="8" t="str">
        <f t="shared" si="91"/>
        <v>45.60 (Somers' D to 0.16)</v>
      </c>
      <c r="I2625">
        <f t="shared" si="92"/>
        <v>0</v>
      </c>
    </row>
    <row r="2626" spans="1:9" ht="25.5" customHeight="1" thickBot="1" x14ac:dyDescent="0.35">
      <c r="A2626" s="13" t="s">
        <v>505</v>
      </c>
      <c r="B2626" s="2">
        <v>29.7</v>
      </c>
      <c r="C2626" s="12" t="s">
        <v>506</v>
      </c>
      <c r="D2626" s="2">
        <v>0.21</v>
      </c>
      <c r="H2626" s="8" t="str">
        <f t="shared" si="91"/>
        <v>29.70 (Gamma to 0.21)</v>
      </c>
      <c r="I2626">
        <f t="shared" si="92"/>
        <v>0</v>
      </c>
    </row>
    <row r="2627" spans="1:9" ht="16.5" hidden="1" customHeight="1" thickBot="1" x14ac:dyDescent="0.35">
      <c r="A2627" s="13" t="s">
        <v>507</v>
      </c>
      <c r="B2627" s="2">
        <v>24.7</v>
      </c>
      <c r="C2627" s="12" t="s">
        <v>508</v>
      </c>
      <c r="D2627" s="2">
        <v>6.0000000000000001E-3</v>
      </c>
    </row>
    <row r="2628" spans="1:9" ht="33" hidden="1" customHeight="1" x14ac:dyDescent="0.3">
      <c r="A2628" s="14" t="s">
        <v>509</v>
      </c>
      <c r="B2628" s="2">
        <v>49160124</v>
      </c>
      <c r="C2628" s="15" t="s">
        <v>510</v>
      </c>
      <c r="D2628" s="2">
        <v>0.57899999999999996</v>
      </c>
    </row>
    <row r="2629" spans="1:9" ht="39" hidden="1" customHeight="1" x14ac:dyDescent="0.3"/>
    <row r="2630" spans="1:9" ht="26.25" hidden="1" customHeight="1" x14ac:dyDescent="0.3"/>
    <row r="2631" spans="1:9" ht="26.25" hidden="1" customHeight="1" x14ac:dyDescent="0.3"/>
    <row r="2632" spans="1:9" ht="16.5" hidden="1" customHeight="1" x14ac:dyDescent="0.3">
      <c r="A2632" s="1" t="s">
        <v>436</v>
      </c>
    </row>
    <row r="2633" spans="1:9" ht="16.5" hidden="1" customHeight="1" x14ac:dyDescent="0.3"/>
    <row r="2634" spans="1:9" ht="16.5" hidden="1" customHeight="1" x14ac:dyDescent="0.3">
      <c r="A2634" s="1" t="s">
        <v>425</v>
      </c>
    </row>
    <row r="2635" spans="1:9" ht="16.5" hidden="1" customHeight="1" thickBot="1" x14ac:dyDescent="0.3"/>
    <row r="2636" spans="1:9" ht="16.5" hidden="1" customHeight="1" x14ac:dyDescent="0.3">
      <c r="A2636" s="24" t="s">
        <v>437</v>
      </c>
      <c r="B2636" s="26"/>
    </row>
    <row r="2637" spans="1:9" ht="16.5" hidden="1" customHeight="1" thickBot="1" x14ac:dyDescent="0.35">
      <c r="A2637" s="13" t="s">
        <v>438</v>
      </c>
      <c r="B2637" s="18" t="s">
        <v>439</v>
      </c>
    </row>
    <row r="2638" spans="1:9" ht="16.5" hidden="1" customHeight="1" thickBot="1" x14ac:dyDescent="0.35">
      <c r="A2638" s="13" t="s">
        <v>440</v>
      </c>
      <c r="B2638" s="18" t="s">
        <v>19</v>
      </c>
    </row>
    <row r="2639" spans="1:9" ht="16.5" hidden="1" customHeight="1" thickBot="1" x14ac:dyDescent="0.35">
      <c r="A2639" s="13" t="s">
        <v>441</v>
      </c>
      <c r="B2639" s="18">
        <v>2</v>
      </c>
    </row>
    <row r="2640" spans="1:9" ht="16.5" hidden="1" customHeight="1" thickBot="1" x14ac:dyDescent="0.35">
      <c r="A2640" s="13" t="s">
        <v>442</v>
      </c>
      <c r="B2640" s="18" t="s">
        <v>443</v>
      </c>
    </row>
    <row r="2641" spans="1:2" ht="26.25" hidden="1" customHeight="1" thickBot="1" x14ac:dyDescent="0.35">
      <c r="A2641" s="13" t="s">
        <v>76</v>
      </c>
      <c r="B2641" s="18">
        <v>183</v>
      </c>
    </row>
    <row r="2642" spans="1:2" ht="26.25" hidden="1" customHeight="1" thickBot="1" x14ac:dyDescent="0.35">
      <c r="A2642" s="13" t="s">
        <v>444</v>
      </c>
      <c r="B2642" s="18" t="s">
        <v>445</v>
      </c>
    </row>
    <row r="2643" spans="1:2" ht="39" hidden="1" customHeight="1" thickBot="1" x14ac:dyDescent="0.35">
      <c r="A2643" s="13" t="s">
        <v>77</v>
      </c>
      <c r="B2643" s="18">
        <v>2929</v>
      </c>
    </row>
    <row r="2644" spans="1:2" ht="26.25" hidden="1" customHeight="1" thickBot="1" x14ac:dyDescent="0.35">
      <c r="A2644" s="13" t="s">
        <v>446</v>
      </c>
      <c r="B2644" s="18" t="s">
        <v>447</v>
      </c>
    </row>
    <row r="2645" spans="1:2" ht="26.25" hidden="1" customHeight="1" thickBot="1" x14ac:dyDescent="0.35">
      <c r="A2645" s="13" t="s">
        <v>448</v>
      </c>
      <c r="B2645" s="18" t="s">
        <v>449</v>
      </c>
    </row>
    <row r="2646" spans="1:2" ht="26.25" hidden="1" customHeight="1" thickBot="1" x14ac:dyDescent="0.35">
      <c r="A2646" s="13" t="s">
        <v>450</v>
      </c>
      <c r="B2646" s="18" t="s">
        <v>451</v>
      </c>
    </row>
    <row r="2647" spans="1:2" ht="26.25" hidden="1" customHeight="1" x14ac:dyDescent="0.3">
      <c r="A2647" s="14" t="s">
        <v>452</v>
      </c>
      <c r="B2647" s="19" t="s">
        <v>453</v>
      </c>
    </row>
    <row r="2648" spans="1:2" ht="26.25" hidden="1" customHeight="1" thickBot="1" x14ac:dyDescent="0.3"/>
    <row r="2649" spans="1:2" ht="26.25" hidden="1" customHeight="1" x14ac:dyDescent="0.3">
      <c r="A2649" s="24" t="s">
        <v>80</v>
      </c>
      <c r="B2649" s="26"/>
    </row>
    <row r="2650" spans="1:2" ht="39" hidden="1" customHeight="1" thickBot="1" x14ac:dyDescent="0.35">
      <c r="A2650" s="13" t="s">
        <v>81</v>
      </c>
      <c r="B2650" s="2" t="s">
        <v>82</v>
      </c>
    </row>
    <row r="2651" spans="1:2" ht="38.25" hidden="1" customHeight="1" x14ac:dyDescent="0.3">
      <c r="A2651" s="14" t="s">
        <v>452</v>
      </c>
      <c r="B2651" s="2" t="s">
        <v>453</v>
      </c>
    </row>
    <row r="2652" spans="1:2" ht="16.5" hidden="1" customHeight="1" thickBot="1" x14ac:dyDescent="0.3"/>
    <row r="2653" spans="1:2" ht="33" hidden="1" customHeight="1" thickBot="1" x14ac:dyDescent="0.35">
      <c r="A2653" s="20" t="s">
        <v>454</v>
      </c>
      <c r="B2653" s="21">
        <v>16571</v>
      </c>
    </row>
    <row r="2654" spans="1:2" ht="33.75" hidden="1" customHeight="1" thickBot="1" x14ac:dyDescent="0.35">
      <c r="A2654" s="13" t="s">
        <v>455</v>
      </c>
      <c r="B2654" s="2">
        <v>16571</v>
      </c>
    </row>
    <row r="2655" spans="1:2" ht="66" hidden="1" customHeight="1" thickBot="1" x14ac:dyDescent="0.35">
      <c r="A2655" s="13" t="s">
        <v>456</v>
      </c>
      <c r="B2655" s="2">
        <v>8183773</v>
      </c>
    </row>
    <row r="2656" spans="1:2" ht="16.5" hidden="1" customHeight="1" x14ac:dyDescent="0.3">
      <c r="A2656" s="14" t="s">
        <v>457</v>
      </c>
      <c r="B2656" s="2">
        <v>8183773</v>
      </c>
    </row>
    <row r="2657" spans="1:5" ht="39" hidden="1" customHeight="1" thickBot="1" x14ac:dyDescent="0.3"/>
    <row r="2658" spans="1:5" ht="39" hidden="1" customHeight="1" x14ac:dyDescent="0.3">
      <c r="A2658" s="24" t="s">
        <v>458</v>
      </c>
      <c r="B2658" s="26"/>
      <c r="C2658" s="26"/>
      <c r="D2658" s="26"/>
    </row>
    <row r="2659" spans="1:5" ht="39" hidden="1" customHeight="1" x14ac:dyDescent="0.3">
      <c r="A2659" s="6" t="s">
        <v>459</v>
      </c>
      <c r="B2659" s="27" t="s">
        <v>19</v>
      </c>
      <c r="C2659" s="3" t="s">
        <v>93</v>
      </c>
      <c r="D2659" s="3" t="s">
        <v>93</v>
      </c>
    </row>
    <row r="2660" spans="1:5" ht="38.25" hidden="1" customHeight="1" x14ac:dyDescent="0.3">
      <c r="A2660" s="6" t="s">
        <v>460</v>
      </c>
      <c r="B2660" s="27"/>
      <c r="C2660" s="3" t="s">
        <v>86</v>
      </c>
      <c r="D2660" s="3" t="s">
        <v>461</v>
      </c>
    </row>
    <row r="2661" spans="1:5" ht="16.5" hidden="1" customHeight="1" thickBot="1" x14ac:dyDescent="0.35">
      <c r="A2661" s="6">
        <v>1</v>
      </c>
      <c r="B2661" s="17">
        <v>0</v>
      </c>
      <c r="C2661" s="2">
        <v>16332</v>
      </c>
      <c r="D2661" s="2">
        <v>8101540</v>
      </c>
    </row>
    <row r="2662" spans="1:5" ht="16.5" hidden="1" customHeight="1" x14ac:dyDescent="0.3">
      <c r="A2662" s="6">
        <v>2</v>
      </c>
      <c r="B2662" s="22">
        <v>1</v>
      </c>
      <c r="C2662" s="2">
        <v>239</v>
      </c>
      <c r="D2662" s="2">
        <v>82233.100000000006</v>
      </c>
    </row>
    <row r="2663" spans="1:5" ht="16.5" hidden="1" customHeight="1" x14ac:dyDescent="0.3"/>
    <row r="2664" spans="1:5" ht="33" hidden="1" customHeight="1" x14ac:dyDescent="0.3">
      <c r="A2664" s="1" t="s">
        <v>513</v>
      </c>
    </row>
    <row r="2665" spans="1:5" ht="17.25" hidden="1" customHeight="1" thickBot="1" x14ac:dyDescent="0.3"/>
    <row r="2666" spans="1:5" ht="16.5" hidden="1" customHeight="1" x14ac:dyDescent="0.3">
      <c r="A2666" s="24" t="s">
        <v>462</v>
      </c>
      <c r="B2666" s="26"/>
      <c r="C2666" s="26"/>
      <c r="D2666" s="26"/>
      <c r="E2666" s="26"/>
    </row>
    <row r="2667" spans="1:5" ht="16.5" hidden="1" customHeight="1" x14ac:dyDescent="0.3">
      <c r="A2667" s="6" t="s">
        <v>463</v>
      </c>
      <c r="B2667" s="3" t="s">
        <v>460</v>
      </c>
      <c r="C2667" s="27" t="s">
        <v>464</v>
      </c>
      <c r="D2667" s="27"/>
      <c r="E2667" s="27"/>
    </row>
    <row r="2668" spans="1:5" ht="16.5" hidden="1" customHeight="1" thickBot="1" x14ac:dyDescent="0.35">
      <c r="A2668" s="13" t="s">
        <v>22</v>
      </c>
      <c r="B2668" s="12">
        <v>1</v>
      </c>
      <c r="C2668" s="2">
        <v>0</v>
      </c>
      <c r="D2668" s="2">
        <v>0</v>
      </c>
      <c r="E2668" s="2">
        <v>0</v>
      </c>
    </row>
    <row r="2669" spans="1:5" ht="16.5" hidden="1" customHeight="1" thickBot="1" x14ac:dyDescent="0.35">
      <c r="A2669" s="13"/>
      <c r="B2669" s="12">
        <v>2</v>
      </c>
      <c r="C2669" s="2">
        <v>1</v>
      </c>
      <c r="D2669" s="2">
        <v>0</v>
      </c>
      <c r="E2669" s="2">
        <v>0</v>
      </c>
    </row>
    <row r="2670" spans="1:5" ht="16.5" hidden="1" customHeight="1" thickBot="1" x14ac:dyDescent="0.35">
      <c r="A2670" s="13"/>
      <c r="B2670" s="12">
        <v>3</v>
      </c>
      <c r="C2670" s="2">
        <v>0</v>
      </c>
      <c r="D2670" s="2">
        <v>1</v>
      </c>
      <c r="E2670" s="2">
        <v>0</v>
      </c>
    </row>
    <row r="2671" spans="1:5" ht="16.5" hidden="1" customHeight="1" x14ac:dyDescent="0.3">
      <c r="A2671" s="14"/>
      <c r="B2671" s="15">
        <v>4</v>
      </c>
      <c r="C2671" s="2">
        <v>0</v>
      </c>
      <c r="D2671" s="2">
        <v>0</v>
      </c>
      <c r="E2671" s="2">
        <v>1</v>
      </c>
    </row>
    <row r="2672" spans="1:5" ht="17.25" hidden="1" customHeight="1" thickBot="1" x14ac:dyDescent="0.3"/>
    <row r="2673" spans="1:5" ht="17.25" hidden="1" customHeight="1" x14ac:dyDescent="0.3">
      <c r="A2673" s="4" t="s">
        <v>465</v>
      </c>
    </row>
    <row r="2674" spans="1:5" ht="17.25" hidden="1" customHeight="1" x14ac:dyDescent="0.3">
      <c r="A2674" s="23" t="s">
        <v>466</v>
      </c>
    </row>
    <row r="2675" spans="1:5" ht="16.5" hidden="1" customHeight="1" thickBot="1" x14ac:dyDescent="0.3"/>
    <row r="2676" spans="1:5" ht="16.5" hidden="1" customHeight="1" x14ac:dyDescent="0.3">
      <c r="A2676" s="24" t="s">
        <v>467</v>
      </c>
      <c r="B2676" s="26"/>
      <c r="C2676" s="26"/>
    </row>
    <row r="2677" spans="1:5" ht="66" hidden="1" customHeight="1" x14ac:dyDescent="0.3">
      <c r="A2677" s="6" t="s">
        <v>468</v>
      </c>
      <c r="B2677" s="3" t="s">
        <v>469</v>
      </c>
      <c r="C2677" s="3" t="s">
        <v>470</v>
      </c>
    </row>
    <row r="2678" spans="1:5" ht="99" hidden="1" customHeight="1" thickBot="1" x14ac:dyDescent="0.35">
      <c r="A2678" s="13" t="s">
        <v>471</v>
      </c>
      <c r="B2678" s="2">
        <v>920241.44</v>
      </c>
      <c r="C2678" s="2">
        <v>918460.42</v>
      </c>
    </row>
    <row r="2679" spans="1:5" ht="16.5" hidden="1" customHeight="1" thickBot="1" x14ac:dyDescent="0.35">
      <c r="A2679" s="13" t="s">
        <v>472</v>
      </c>
      <c r="B2679" s="2">
        <v>920255.35</v>
      </c>
      <c r="C2679" s="2">
        <v>918516.09</v>
      </c>
    </row>
    <row r="2680" spans="1:5" ht="16.5" hidden="1" customHeight="1" x14ac:dyDescent="0.3">
      <c r="A2680" s="14" t="s">
        <v>473</v>
      </c>
      <c r="B2680" s="2" t="s">
        <v>649</v>
      </c>
      <c r="C2680" s="2">
        <v>918452.42</v>
      </c>
    </row>
    <row r="2681" spans="1:5" ht="66" hidden="1" customHeight="1" thickBot="1" x14ac:dyDescent="0.3"/>
    <row r="2682" spans="1:5" ht="17.25" hidden="1" customHeight="1" x14ac:dyDescent="0.3">
      <c r="A2682" s="24" t="s">
        <v>474</v>
      </c>
      <c r="B2682" s="26"/>
      <c r="C2682" s="26"/>
      <c r="D2682" s="26"/>
      <c r="E2682" s="26"/>
    </row>
    <row r="2683" spans="1:5" ht="17.25" hidden="1" customHeight="1" x14ac:dyDescent="0.3">
      <c r="A2683" s="6" t="s">
        <v>475</v>
      </c>
      <c r="B2683" s="3" t="s">
        <v>476</v>
      </c>
      <c r="C2683" s="3" t="s">
        <v>477</v>
      </c>
      <c r="D2683" s="3" t="s">
        <v>478</v>
      </c>
      <c r="E2683" s="3" t="s">
        <v>479</v>
      </c>
    </row>
    <row r="2684" spans="1:5" ht="16.5" hidden="1" customHeight="1" x14ac:dyDescent="0.3">
      <c r="A2684" s="25" t="s">
        <v>604</v>
      </c>
      <c r="B2684" s="27"/>
      <c r="C2684" s="27"/>
      <c r="D2684" s="27"/>
      <c r="E2684" s="27"/>
    </row>
    <row r="2685" spans="1:5" ht="16.5" hidden="1" customHeight="1" thickBot="1" x14ac:dyDescent="0.35">
      <c r="A2685" s="13" t="s">
        <v>481</v>
      </c>
      <c r="B2685" s="2">
        <v>1.2</v>
      </c>
      <c r="C2685" s="2">
        <v>2.9916</v>
      </c>
      <c r="D2685" s="2">
        <v>8214.91</v>
      </c>
      <c r="E2685" s="2">
        <v>0.30769999999999997</v>
      </c>
    </row>
    <row r="2686" spans="1:5" ht="16.5" hidden="1" customHeight="1" thickBot="1" x14ac:dyDescent="0.35">
      <c r="A2686" s="13" t="s">
        <v>483</v>
      </c>
      <c r="B2686" s="2">
        <v>1.21</v>
      </c>
      <c r="C2686" s="2">
        <v>3</v>
      </c>
      <c r="D2686" s="2">
        <v>2744</v>
      </c>
      <c r="E2686" s="2">
        <v>0.30470000000000003</v>
      </c>
    </row>
    <row r="2687" spans="1:5" ht="16.5" hidden="1" customHeight="1" x14ac:dyDescent="0.3">
      <c r="A2687" s="14" t="s">
        <v>484</v>
      </c>
      <c r="B2687" s="2">
        <v>1.1399999999999999</v>
      </c>
      <c r="C2687" s="2">
        <v>3</v>
      </c>
      <c r="D2687" s="2">
        <v>2744</v>
      </c>
      <c r="E2687" s="2">
        <v>0.33200000000000002</v>
      </c>
    </row>
    <row r="2688" spans="1:5" ht="33" hidden="1" customHeight="1" thickBot="1" x14ac:dyDescent="0.3"/>
    <row r="2689" spans="1:8" ht="26.25" hidden="1" customHeight="1" x14ac:dyDescent="0.3">
      <c r="A2689" s="24" t="s">
        <v>485</v>
      </c>
      <c r="B2689" s="26"/>
      <c r="C2689" s="26"/>
      <c r="D2689" s="26"/>
      <c r="E2689" s="26"/>
    </row>
    <row r="2690" spans="1:8" ht="17.25" hidden="1" customHeight="1" x14ac:dyDescent="0.3">
      <c r="A2690" s="6" t="s">
        <v>486</v>
      </c>
      <c r="B2690" s="3" t="s">
        <v>476</v>
      </c>
      <c r="C2690" s="3" t="s">
        <v>477</v>
      </c>
      <c r="D2690" s="3" t="s">
        <v>478</v>
      </c>
      <c r="E2690" s="3" t="s">
        <v>479</v>
      </c>
    </row>
    <row r="2691" spans="1:8" ht="16.5" hidden="1" customHeight="1" x14ac:dyDescent="0.3">
      <c r="A2691" s="14" t="s">
        <v>22</v>
      </c>
      <c r="B2691" s="2">
        <v>1.1399999999999999</v>
      </c>
      <c r="C2691" s="2">
        <v>3</v>
      </c>
      <c r="D2691" s="2">
        <v>2744</v>
      </c>
      <c r="E2691" s="2">
        <v>0.33200000000000002</v>
      </c>
    </row>
    <row r="2692" spans="1:8" ht="16.5" hidden="1" customHeight="1" thickBot="1" x14ac:dyDescent="0.3"/>
    <row r="2693" spans="1:8" ht="16.5" hidden="1" customHeight="1" x14ac:dyDescent="0.3">
      <c r="A2693" s="24" t="s">
        <v>487</v>
      </c>
      <c r="B2693" s="26"/>
      <c r="C2693" s="26"/>
      <c r="D2693" s="26"/>
      <c r="E2693" s="26"/>
      <c r="F2693" s="26"/>
    </row>
    <row r="2694" spans="1:8" ht="16.5" hidden="1" customHeight="1" x14ac:dyDescent="0.3">
      <c r="A2694" s="25" t="s">
        <v>488</v>
      </c>
      <c r="B2694" s="27"/>
      <c r="C2694" s="27" t="s">
        <v>489</v>
      </c>
      <c r="D2694" s="3" t="s">
        <v>490</v>
      </c>
      <c r="E2694" s="27" t="s">
        <v>492</v>
      </c>
      <c r="F2694" s="27" t="s">
        <v>493</v>
      </c>
    </row>
    <row r="2695" spans="1:8" ht="16.5" hidden="1" customHeight="1" x14ac:dyDescent="0.3">
      <c r="A2695" s="25"/>
      <c r="B2695" s="27"/>
      <c r="C2695" s="27"/>
      <c r="D2695" s="3" t="s">
        <v>491</v>
      </c>
      <c r="E2695" s="27"/>
      <c r="F2695" s="27"/>
    </row>
    <row r="2696" spans="1:8" ht="16.5" hidden="1" customHeight="1" x14ac:dyDescent="0.3">
      <c r="A2696" s="25" t="s">
        <v>595</v>
      </c>
      <c r="B2696" s="27"/>
      <c r="C2696" s="27"/>
      <c r="D2696" s="27"/>
      <c r="E2696" s="27"/>
      <c r="F2696" s="27"/>
    </row>
    <row r="2697" spans="1:8" ht="16.5" hidden="1" customHeight="1" thickBot="1" x14ac:dyDescent="0.35">
      <c r="A2697" s="13" t="s">
        <v>495</v>
      </c>
      <c r="B2697" s="12"/>
      <c r="C2697" s="16">
        <v>-4.6889000000000003</v>
      </c>
      <c r="D2697" s="2">
        <v>0.22309999999999999</v>
      </c>
      <c r="E2697" s="16">
        <v>-21.02</v>
      </c>
      <c r="F2697" s="2" t="s">
        <v>482</v>
      </c>
    </row>
    <row r="2698" spans="1:8" ht="16.5" hidden="1" customHeight="1" thickBot="1" x14ac:dyDescent="0.35">
      <c r="A2698" s="13" t="s">
        <v>22</v>
      </c>
      <c r="B2698" s="12">
        <v>2</v>
      </c>
      <c r="C2698" s="16">
        <v>-0.14299999999999999</v>
      </c>
      <c r="D2698" s="2">
        <v>0.29530000000000001</v>
      </c>
      <c r="E2698" s="16">
        <v>-0.48</v>
      </c>
      <c r="F2698" s="2">
        <v>0.62819999999999998</v>
      </c>
    </row>
    <row r="2699" spans="1:8" ht="16.5" hidden="1" customHeight="1" thickBot="1" x14ac:dyDescent="0.35">
      <c r="A2699" s="13" t="s">
        <v>22</v>
      </c>
      <c r="B2699" s="12">
        <v>3</v>
      </c>
      <c r="C2699" s="2">
        <v>7.7100000000000002E-2</v>
      </c>
      <c r="D2699" s="2">
        <v>0.2732</v>
      </c>
      <c r="E2699" s="2">
        <v>0.28000000000000003</v>
      </c>
      <c r="F2699" s="2">
        <v>0.77769999999999995</v>
      </c>
    </row>
    <row r="2700" spans="1:8" ht="16.5" hidden="1" customHeight="1" x14ac:dyDescent="0.3">
      <c r="A2700" s="14" t="s">
        <v>22</v>
      </c>
      <c r="B2700" s="15">
        <v>4</v>
      </c>
      <c r="C2700" s="2">
        <v>0.25409999999999999</v>
      </c>
      <c r="D2700" s="2">
        <v>0.25600000000000001</v>
      </c>
      <c r="E2700" s="2">
        <v>0.99</v>
      </c>
      <c r="F2700" s="2">
        <v>0.32100000000000001</v>
      </c>
    </row>
    <row r="2701" spans="1:8" ht="17.25" hidden="1" customHeight="1" thickBot="1" x14ac:dyDescent="0.3"/>
    <row r="2702" spans="1:8" ht="17.25" hidden="1" customHeight="1" x14ac:dyDescent="0.3">
      <c r="A2702" s="24" t="s">
        <v>496</v>
      </c>
      <c r="B2702" s="26"/>
      <c r="C2702" s="26"/>
      <c r="D2702" s="26"/>
      <c r="H2702">
        <f>F2702</f>
        <v>0</v>
      </c>
    </row>
    <row r="2703" spans="1:8" ht="17.25" hidden="1" customHeight="1" x14ac:dyDescent="0.3">
      <c r="A2703" s="6" t="s">
        <v>486</v>
      </c>
      <c r="B2703" s="3" t="s">
        <v>497</v>
      </c>
      <c r="C2703" s="27" t="s">
        <v>91</v>
      </c>
      <c r="D2703" s="27"/>
      <c r="H2703">
        <f t="shared" ref="H2703:H2704" si="93">F2703</f>
        <v>0</v>
      </c>
    </row>
    <row r="2704" spans="1:8" ht="16.5" hidden="1" customHeight="1" x14ac:dyDescent="0.3">
      <c r="A2704" s="25" t="s">
        <v>596</v>
      </c>
      <c r="B2704" s="27"/>
      <c r="C2704" s="27"/>
      <c r="D2704" s="27"/>
      <c r="H2704">
        <f t="shared" si="93"/>
        <v>0</v>
      </c>
    </row>
    <row r="2705" spans="1:9" ht="16.5" hidden="1" customHeight="1" thickBot="1" x14ac:dyDescent="0.35">
      <c r="A2705" s="13" t="s">
        <v>499</v>
      </c>
      <c r="B2705" s="2">
        <v>0.86699999999999999</v>
      </c>
      <c r="C2705" s="2">
        <v>0.48599999999999999</v>
      </c>
      <c r="D2705" s="2">
        <v>1.5469999999999999</v>
      </c>
    </row>
    <row r="2706" spans="1:9" ht="16.5" hidden="1" customHeight="1" thickBot="1" x14ac:dyDescent="0.35">
      <c r="A2706" s="13" t="s">
        <v>500</v>
      </c>
      <c r="B2706" s="2">
        <v>1.08</v>
      </c>
      <c r="C2706" s="2">
        <v>0.63200000000000001</v>
      </c>
      <c r="D2706" s="2">
        <v>1.8460000000000001</v>
      </c>
    </row>
    <row r="2707" spans="1:9" ht="33" hidden="1" customHeight="1" thickBot="1" x14ac:dyDescent="0.35">
      <c r="A2707" s="14" t="s">
        <v>501</v>
      </c>
      <c r="B2707" s="2">
        <v>1.2889999999999999</v>
      </c>
      <c r="C2707" s="2">
        <v>0.78</v>
      </c>
      <c r="D2707" s="2">
        <v>2.13</v>
      </c>
    </row>
    <row r="2708" spans="1:9" ht="49.5" hidden="1" customHeight="1" thickBot="1" x14ac:dyDescent="0.3"/>
    <row r="2709" spans="1:9" ht="33" customHeight="1" x14ac:dyDescent="0.3">
      <c r="A2709" s="24" t="s">
        <v>502</v>
      </c>
      <c r="B2709" s="26"/>
      <c r="C2709" s="26"/>
      <c r="D2709" s="26"/>
      <c r="H2709" s="8" t="str">
        <f t="shared" ref="H2709:H2711" si="94">TEXT(B2709,"0.00")&amp;" ("&amp;TEXT(C2709,"0.00")&amp;" to "&amp;TEXT(D2709,"0.00")&amp;")"</f>
        <v>0.00 (0.00 to 0.00)</v>
      </c>
      <c r="I2709">
        <f t="shared" ref="I2709:I2711" si="95">F2702</f>
        <v>0</v>
      </c>
    </row>
    <row r="2710" spans="1:9" ht="26.25" customHeight="1" thickBot="1" x14ac:dyDescent="0.35">
      <c r="A2710" s="13" t="s">
        <v>503</v>
      </c>
      <c r="B2710" s="2">
        <v>35.5</v>
      </c>
      <c r="C2710" s="12" t="s">
        <v>504</v>
      </c>
      <c r="D2710" s="2">
        <v>7.6999999999999999E-2</v>
      </c>
      <c r="H2710" s="8" t="str">
        <f t="shared" si="94"/>
        <v>35.50 (Somers' D to 0.08)</v>
      </c>
      <c r="I2710">
        <f t="shared" si="95"/>
        <v>0</v>
      </c>
    </row>
    <row r="2711" spans="1:9" ht="25.5" customHeight="1" thickBot="1" x14ac:dyDescent="0.35">
      <c r="A2711" s="13" t="s">
        <v>505</v>
      </c>
      <c r="B2711" s="2">
        <v>27.9</v>
      </c>
      <c r="C2711" s="12" t="s">
        <v>506</v>
      </c>
      <c r="D2711" s="2">
        <v>0.121</v>
      </c>
      <c r="H2711" s="8" t="str">
        <f t="shared" si="94"/>
        <v>27.90 (Gamma to 0.12)</v>
      </c>
      <c r="I2711">
        <f t="shared" si="95"/>
        <v>0</v>
      </c>
    </row>
    <row r="2712" spans="1:9" ht="16.5" hidden="1" customHeight="1" thickBot="1" x14ac:dyDescent="0.35">
      <c r="A2712" s="13" t="s">
        <v>507</v>
      </c>
      <c r="B2712" s="2">
        <v>36.6</v>
      </c>
      <c r="C2712" s="12" t="s">
        <v>508</v>
      </c>
      <c r="D2712" s="2">
        <v>2E-3</v>
      </c>
    </row>
    <row r="2713" spans="1:9" ht="33" hidden="1" customHeight="1" x14ac:dyDescent="0.3">
      <c r="A2713" s="14" t="s">
        <v>509</v>
      </c>
      <c r="B2713" s="2">
        <v>3903348</v>
      </c>
      <c r="C2713" s="15" t="s">
        <v>510</v>
      </c>
      <c r="D2713" s="2">
        <v>0.53800000000000003</v>
      </c>
    </row>
    <row r="2714" spans="1:9" ht="39" hidden="1" customHeight="1" thickBot="1" x14ac:dyDescent="0.35">
      <c r="A2714" s="13" t="s">
        <v>503</v>
      </c>
      <c r="B2714" s="2">
        <v>38.200000000000003</v>
      </c>
      <c r="C2714" s="12" t="s">
        <v>504</v>
      </c>
      <c r="D2714" s="2">
        <v>0.107</v>
      </c>
    </row>
    <row r="2715" spans="1:9" ht="26.25" hidden="1" customHeight="1" thickBot="1" x14ac:dyDescent="0.35">
      <c r="A2715" s="13" t="s">
        <v>505</v>
      </c>
      <c r="B2715" s="2">
        <v>27.5</v>
      </c>
      <c r="C2715" s="12" t="s">
        <v>506</v>
      </c>
      <c r="D2715" s="2">
        <v>0.16300000000000001</v>
      </c>
    </row>
    <row r="2716" spans="1:9" ht="26.25" hidden="1" customHeight="1" thickBot="1" x14ac:dyDescent="0.35">
      <c r="A2716" s="13" t="s">
        <v>507</v>
      </c>
      <c r="B2716" s="2">
        <v>34.299999999999997</v>
      </c>
      <c r="C2716" s="12" t="s">
        <v>508</v>
      </c>
      <c r="D2716" s="2">
        <v>4.0000000000000001E-3</v>
      </c>
    </row>
    <row r="2717" spans="1:9" ht="16.5" hidden="1" customHeight="1" x14ac:dyDescent="0.3">
      <c r="A2717" s="14" t="s">
        <v>509</v>
      </c>
      <c r="B2717" s="2">
        <v>5024958</v>
      </c>
      <c r="C2717" s="15" t="s">
        <v>510</v>
      </c>
      <c r="D2717" s="2">
        <v>0.55400000000000005</v>
      </c>
    </row>
  </sheetData>
  <autoFilter ref="A1:A2717" xr:uid="{21AAB5B3-B705-4344-8ABB-5F9079BB6A53}">
    <filterColumn colId="0">
      <filters>
        <filter val="aip_g 2 vs 1"/>
        <filter val="aip_g 3 vs 1"/>
        <filter val="aip_g 4 vs 1"/>
      </filters>
    </filterColumn>
  </autoFilter>
  <mergeCells count="671">
    <mergeCell ref="A5:B5"/>
    <mergeCell ref="A18:B18"/>
    <mergeCell ref="A27:D27"/>
    <mergeCell ref="B28:B29"/>
    <mergeCell ref="A35:E35"/>
    <mergeCell ref="C36:E36"/>
    <mergeCell ref="A45:C45"/>
    <mergeCell ref="A51:E51"/>
    <mergeCell ref="A53:E53"/>
    <mergeCell ref="A58:E58"/>
    <mergeCell ref="A62:F62"/>
    <mergeCell ref="A63:A64"/>
    <mergeCell ref="B63:B64"/>
    <mergeCell ref="C63:C64"/>
    <mergeCell ref="E63:E64"/>
    <mergeCell ref="F63:F64"/>
    <mergeCell ref="A211:C211"/>
    <mergeCell ref="A152:D152"/>
    <mergeCell ref="C153:D153"/>
    <mergeCell ref="A154:D154"/>
    <mergeCell ref="A159:D159"/>
    <mergeCell ref="A146:F146"/>
    <mergeCell ref="C117:E117"/>
    <mergeCell ref="A126:C126"/>
    <mergeCell ref="A65:F65"/>
    <mergeCell ref="A71:D71"/>
    <mergeCell ref="C72:D72"/>
    <mergeCell ref="A73:D73"/>
    <mergeCell ref="A381:C381"/>
    <mergeCell ref="A322:D322"/>
    <mergeCell ref="C323:D323"/>
    <mergeCell ref="A324:D324"/>
    <mergeCell ref="A329:D329"/>
    <mergeCell ref="A316:F316"/>
    <mergeCell ref="A296:C296"/>
    <mergeCell ref="A237:D237"/>
    <mergeCell ref="C238:D238"/>
    <mergeCell ref="A239:D239"/>
    <mergeCell ref="A244:D244"/>
    <mergeCell ref="A551:C551"/>
    <mergeCell ref="A492:D492"/>
    <mergeCell ref="C493:D493"/>
    <mergeCell ref="A494:D494"/>
    <mergeCell ref="A499:D499"/>
    <mergeCell ref="A486:F486"/>
    <mergeCell ref="A466:C466"/>
    <mergeCell ref="A407:D407"/>
    <mergeCell ref="C408:D408"/>
    <mergeCell ref="A409:D409"/>
    <mergeCell ref="A414:D414"/>
    <mergeCell ref="A721:C721"/>
    <mergeCell ref="A662:D662"/>
    <mergeCell ref="C663:D663"/>
    <mergeCell ref="A664:D664"/>
    <mergeCell ref="A669:D669"/>
    <mergeCell ref="A656:F656"/>
    <mergeCell ref="A636:C636"/>
    <mergeCell ref="A577:D577"/>
    <mergeCell ref="C578:D578"/>
    <mergeCell ref="A579:D579"/>
    <mergeCell ref="A584:D584"/>
    <mergeCell ref="A891:C891"/>
    <mergeCell ref="A832:D832"/>
    <mergeCell ref="C833:D833"/>
    <mergeCell ref="A834:D834"/>
    <mergeCell ref="A839:D839"/>
    <mergeCell ref="A826:F826"/>
    <mergeCell ref="A806:C806"/>
    <mergeCell ref="A747:D747"/>
    <mergeCell ref="C748:D748"/>
    <mergeCell ref="A749:D749"/>
    <mergeCell ref="A754:D754"/>
    <mergeCell ref="A1061:C1061"/>
    <mergeCell ref="A1002:D1002"/>
    <mergeCell ref="C1003:D1003"/>
    <mergeCell ref="A1004:D1004"/>
    <mergeCell ref="A1009:D1009"/>
    <mergeCell ref="A996:F996"/>
    <mergeCell ref="A976:C976"/>
    <mergeCell ref="A917:D917"/>
    <mergeCell ref="C918:D918"/>
    <mergeCell ref="A919:D919"/>
    <mergeCell ref="A924:D924"/>
    <mergeCell ref="A1231:C1231"/>
    <mergeCell ref="A1172:D1172"/>
    <mergeCell ref="C1173:D1173"/>
    <mergeCell ref="A1174:D1174"/>
    <mergeCell ref="A1179:D1179"/>
    <mergeCell ref="A1166:F1166"/>
    <mergeCell ref="A1146:C1146"/>
    <mergeCell ref="A1087:D1087"/>
    <mergeCell ref="C1088:D1088"/>
    <mergeCell ref="A1089:D1089"/>
    <mergeCell ref="A1094:D1094"/>
    <mergeCell ref="A1401:C1401"/>
    <mergeCell ref="A1342:D1342"/>
    <mergeCell ref="C1343:D1343"/>
    <mergeCell ref="A1344:D1344"/>
    <mergeCell ref="A1349:D1349"/>
    <mergeCell ref="A1336:F1336"/>
    <mergeCell ref="A1316:C1316"/>
    <mergeCell ref="A1257:D1257"/>
    <mergeCell ref="C1258:D1258"/>
    <mergeCell ref="A1259:D1259"/>
    <mergeCell ref="A1264:D1264"/>
    <mergeCell ref="A1571:C1571"/>
    <mergeCell ref="A1512:D1512"/>
    <mergeCell ref="C1513:D1513"/>
    <mergeCell ref="A1514:D1514"/>
    <mergeCell ref="A1519:D1519"/>
    <mergeCell ref="A1506:F1506"/>
    <mergeCell ref="A1486:C1486"/>
    <mergeCell ref="A1427:D1427"/>
    <mergeCell ref="C1428:D1428"/>
    <mergeCell ref="A1429:D1429"/>
    <mergeCell ref="A1434:D1434"/>
    <mergeCell ref="A1741:C1741"/>
    <mergeCell ref="A1682:D1682"/>
    <mergeCell ref="C1683:D1683"/>
    <mergeCell ref="A1684:D1684"/>
    <mergeCell ref="A1689:D1689"/>
    <mergeCell ref="A1676:F1676"/>
    <mergeCell ref="A1656:C1656"/>
    <mergeCell ref="A1597:D1597"/>
    <mergeCell ref="C1598:D1598"/>
    <mergeCell ref="A1599:D1599"/>
    <mergeCell ref="A1604:D1604"/>
    <mergeCell ref="A1911:C1911"/>
    <mergeCell ref="A1852:D1852"/>
    <mergeCell ref="C1853:D1853"/>
    <mergeCell ref="A1854:D1854"/>
    <mergeCell ref="A1859:D1859"/>
    <mergeCell ref="A1846:F1846"/>
    <mergeCell ref="A1826:C1826"/>
    <mergeCell ref="A1767:D1767"/>
    <mergeCell ref="C1768:D1768"/>
    <mergeCell ref="A1769:D1769"/>
    <mergeCell ref="A1774:D1774"/>
    <mergeCell ref="A2081:C2081"/>
    <mergeCell ref="A2022:D2022"/>
    <mergeCell ref="C2023:D2023"/>
    <mergeCell ref="A2024:D2024"/>
    <mergeCell ref="A2029:D2029"/>
    <mergeCell ref="A2016:F2016"/>
    <mergeCell ref="A1996:C1996"/>
    <mergeCell ref="A1937:D1937"/>
    <mergeCell ref="C1938:D1938"/>
    <mergeCell ref="A1939:D1939"/>
    <mergeCell ref="A1944:D1944"/>
    <mergeCell ref="A2251:C2251"/>
    <mergeCell ref="A2192:D2192"/>
    <mergeCell ref="C2193:D2193"/>
    <mergeCell ref="A2194:D2194"/>
    <mergeCell ref="A2199:D2199"/>
    <mergeCell ref="A2186:F2186"/>
    <mergeCell ref="A2166:C2166"/>
    <mergeCell ref="A2107:D2107"/>
    <mergeCell ref="C2108:D2108"/>
    <mergeCell ref="A2109:D2109"/>
    <mergeCell ref="A2114:D2114"/>
    <mergeCell ref="A2421:C2421"/>
    <mergeCell ref="A2362:D2362"/>
    <mergeCell ref="C2363:D2363"/>
    <mergeCell ref="A2364:D2364"/>
    <mergeCell ref="A2369:D2369"/>
    <mergeCell ref="A2356:F2356"/>
    <mergeCell ref="A2336:C2336"/>
    <mergeCell ref="A2277:D2277"/>
    <mergeCell ref="C2278:D2278"/>
    <mergeCell ref="A2279:D2279"/>
    <mergeCell ref="A2284:D2284"/>
    <mergeCell ref="A86:B86"/>
    <mergeCell ref="A99:B99"/>
    <mergeCell ref="A108:D108"/>
    <mergeCell ref="B109:B110"/>
    <mergeCell ref="A116:E116"/>
    <mergeCell ref="A2696:F2696"/>
    <mergeCell ref="A2676:C2676"/>
    <mergeCell ref="A2617:D2617"/>
    <mergeCell ref="C2618:D2618"/>
    <mergeCell ref="A2619:D2619"/>
    <mergeCell ref="A2624:D2624"/>
    <mergeCell ref="A2611:F2611"/>
    <mergeCell ref="A2591:C2591"/>
    <mergeCell ref="A2532:D2532"/>
    <mergeCell ref="C2533:D2533"/>
    <mergeCell ref="A2534:D2534"/>
    <mergeCell ref="A2539:D2539"/>
    <mergeCell ref="A2526:F2526"/>
    <mergeCell ref="A2506:C2506"/>
    <mergeCell ref="A2447:D2447"/>
    <mergeCell ref="C2448:D2448"/>
    <mergeCell ref="A2449:D2449"/>
    <mergeCell ref="A2454:D2454"/>
    <mergeCell ref="A2441:F2441"/>
    <mergeCell ref="A171:B171"/>
    <mergeCell ref="A184:B184"/>
    <mergeCell ref="A193:D193"/>
    <mergeCell ref="B194:B195"/>
    <mergeCell ref="A201:E201"/>
    <mergeCell ref="C202:E202"/>
    <mergeCell ref="A132:E132"/>
    <mergeCell ref="A134:E134"/>
    <mergeCell ref="A139:E139"/>
    <mergeCell ref="A143:F143"/>
    <mergeCell ref="A144:A145"/>
    <mergeCell ref="B144:B145"/>
    <mergeCell ref="C144:C145"/>
    <mergeCell ref="E144:E145"/>
    <mergeCell ref="F144:F145"/>
    <mergeCell ref="A256:B256"/>
    <mergeCell ref="A269:B269"/>
    <mergeCell ref="A278:D278"/>
    <mergeCell ref="B279:B280"/>
    <mergeCell ref="A286:E286"/>
    <mergeCell ref="C287:E287"/>
    <mergeCell ref="A217:E217"/>
    <mergeCell ref="A219:E219"/>
    <mergeCell ref="A224:E224"/>
    <mergeCell ref="A228:F228"/>
    <mergeCell ref="A229:A230"/>
    <mergeCell ref="B229:B230"/>
    <mergeCell ref="C229:C230"/>
    <mergeCell ref="E229:E230"/>
    <mergeCell ref="F229:F230"/>
    <mergeCell ref="A231:F231"/>
    <mergeCell ref="A341:B341"/>
    <mergeCell ref="A354:B354"/>
    <mergeCell ref="A363:D363"/>
    <mergeCell ref="B364:B365"/>
    <mergeCell ref="A371:E371"/>
    <mergeCell ref="C372:E372"/>
    <mergeCell ref="A302:E302"/>
    <mergeCell ref="A304:E304"/>
    <mergeCell ref="A309:E309"/>
    <mergeCell ref="A313:F313"/>
    <mergeCell ref="A314:A315"/>
    <mergeCell ref="B314:B315"/>
    <mergeCell ref="C314:C315"/>
    <mergeCell ref="E314:E315"/>
    <mergeCell ref="F314:F315"/>
    <mergeCell ref="A426:B426"/>
    <mergeCell ref="A439:B439"/>
    <mergeCell ref="A448:D448"/>
    <mergeCell ref="B449:B450"/>
    <mergeCell ref="A456:E456"/>
    <mergeCell ref="C457:E457"/>
    <mergeCell ref="A387:E387"/>
    <mergeCell ref="A389:E389"/>
    <mergeCell ref="A394:E394"/>
    <mergeCell ref="A398:F398"/>
    <mergeCell ref="A399:A400"/>
    <mergeCell ref="B399:B400"/>
    <mergeCell ref="C399:C400"/>
    <mergeCell ref="E399:E400"/>
    <mergeCell ref="F399:F400"/>
    <mergeCell ref="A401:F401"/>
    <mergeCell ref="A511:B511"/>
    <mergeCell ref="A524:B524"/>
    <mergeCell ref="A533:D533"/>
    <mergeCell ref="B534:B535"/>
    <mergeCell ref="A541:E541"/>
    <mergeCell ref="C542:E542"/>
    <mergeCell ref="A472:E472"/>
    <mergeCell ref="A474:E474"/>
    <mergeCell ref="A479:E479"/>
    <mergeCell ref="A483:F483"/>
    <mergeCell ref="A484:A485"/>
    <mergeCell ref="B484:B485"/>
    <mergeCell ref="C484:C485"/>
    <mergeCell ref="E484:E485"/>
    <mergeCell ref="F484:F485"/>
    <mergeCell ref="A596:B596"/>
    <mergeCell ref="A609:B609"/>
    <mergeCell ref="A618:D618"/>
    <mergeCell ref="B619:B620"/>
    <mergeCell ref="A626:E626"/>
    <mergeCell ref="C627:E627"/>
    <mergeCell ref="A557:E557"/>
    <mergeCell ref="A559:E559"/>
    <mergeCell ref="A564:E564"/>
    <mergeCell ref="A568:F568"/>
    <mergeCell ref="A569:A570"/>
    <mergeCell ref="B569:B570"/>
    <mergeCell ref="C569:C570"/>
    <mergeCell ref="E569:E570"/>
    <mergeCell ref="F569:F570"/>
    <mergeCell ref="A571:F571"/>
    <mergeCell ref="A681:B681"/>
    <mergeCell ref="A694:B694"/>
    <mergeCell ref="A703:D703"/>
    <mergeCell ref="B704:B705"/>
    <mergeCell ref="A711:E711"/>
    <mergeCell ref="C712:E712"/>
    <mergeCell ref="A642:E642"/>
    <mergeCell ref="A644:E644"/>
    <mergeCell ref="A649:E649"/>
    <mergeCell ref="A653:F653"/>
    <mergeCell ref="A654:A655"/>
    <mergeCell ref="B654:B655"/>
    <mergeCell ref="C654:C655"/>
    <mergeCell ref="E654:E655"/>
    <mergeCell ref="F654:F655"/>
    <mergeCell ref="A766:B766"/>
    <mergeCell ref="A779:B779"/>
    <mergeCell ref="A788:D788"/>
    <mergeCell ref="B789:B790"/>
    <mergeCell ref="A796:E796"/>
    <mergeCell ref="C797:E797"/>
    <mergeCell ref="A727:E727"/>
    <mergeCell ref="A729:E729"/>
    <mergeCell ref="A734:E734"/>
    <mergeCell ref="A738:F738"/>
    <mergeCell ref="A739:A740"/>
    <mergeCell ref="B739:B740"/>
    <mergeCell ref="C739:C740"/>
    <mergeCell ref="E739:E740"/>
    <mergeCell ref="F739:F740"/>
    <mergeCell ref="A741:F741"/>
    <mergeCell ref="A851:B851"/>
    <mergeCell ref="A864:B864"/>
    <mergeCell ref="A873:D873"/>
    <mergeCell ref="B874:B875"/>
    <mergeCell ref="A881:E881"/>
    <mergeCell ref="C882:E882"/>
    <mergeCell ref="A812:E812"/>
    <mergeCell ref="A814:E814"/>
    <mergeCell ref="A819:E819"/>
    <mergeCell ref="A823:F823"/>
    <mergeCell ref="A824:A825"/>
    <mergeCell ref="B824:B825"/>
    <mergeCell ref="C824:C825"/>
    <mergeCell ref="E824:E825"/>
    <mergeCell ref="F824:F825"/>
    <mergeCell ref="A936:B936"/>
    <mergeCell ref="A949:B949"/>
    <mergeCell ref="A958:D958"/>
    <mergeCell ref="B959:B960"/>
    <mergeCell ref="A966:E966"/>
    <mergeCell ref="C967:E967"/>
    <mergeCell ref="A897:E897"/>
    <mergeCell ref="A899:E899"/>
    <mergeCell ref="A904:E904"/>
    <mergeCell ref="A908:F908"/>
    <mergeCell ref="A909:A910"/>
    <mergeCell ref="B909:B910"/>
    <mergeCell ref="C909:C910"/>
    <mergeCell ref="E909:E910"/>
    <mergeCell ref="F909:F910"/>
    <mergeCell ref="A911:F911"/>
    <mergeCell ref="A1021:B1021"/>
    <mergeCell ref="A1034:B1034"/>
    <mergeCell ref="A1043:D1043"/>
    <mergeCell ref="B1044:B1045"/>
    <mergeCell ref="A1051:E1051"/>
    <mergeCell ref="C1052:E1052"/>
    <mergeCell ref="A982:E982"/>
    <mergeCell ref="A984:E984"/>
    <mergeCell ref="A989:E989"/>
    <mergeCell ref="A993:F993"/>
    <mergeCell ref="A994:A995"/>
    <mergeCell ref="B994:B995"/>
    <mergeCell ref="C994:C995"/>
    <mergeCell ref="E994:E995"/>
    <mergeCell ref="F994:F995"/>
    <mergeCell ref="A1106:B1106"/>
    <mergeCell ref="A1119:B1119"/>
    <mergeCell ref="A1128:D1128"/>
    <mergeCell ref="B1129:B1130"/>
    <mergeCell ref="A1136:E1136"/>
    <mergeCell ref="C1137:E1137"/>
    <mergeCell ref="A1067:E1067"/>
    <mergeCell ref="A1069:E1069"/>
    <mergeCell ref="A1074:E1074"/>
    <mergeCell ref="A1078:F1078"/>
    <mergeCell ref="A1079:A1080"/>
    <mergeCell ref="B1079:B1080"/>
    <mergeCell ref="C1079:C1080"/>
    <mergeCell ref="E1079:E1080"/>
    <mergeCell ref="F1079:F1080"/>
    <mergeCell ref="A1081:F1081"/>
    <mergeCell ref="A1191:B1191"/>
    <mergeCell ref="A1204:B1204"/>
    <mergeCell ref="A1213:D1213"/>
    <mergeCell ref="B1214:B1215"/>
    <mergeCell ref="A1221:E1221"/>
    <mergeCell ref="C1222:E1222"/>
    <mergeCell ref="A1152:E1152"/>
    <mergeCell ref="A1154:E1154"/>
    <mergeCell ref="A1159:E1159"/>
    <mergeCell ref="A1163:F1163"/>
    <mergeCell ref="A1164:A1165"/>
    <mergeCell ref="B1164:B1165"/>
    <mergeCell ref="C1164:C1165"/>
    <mergeCell ref="E1164:E1165"/>
    <mergeCell ref="F1164:F1165"/>
    <mergeCell ref="A1276:B1276"/>
    <mergeCell ref="A1289:B1289"/>
    <mergeCell ref="A1298:D1298"/>
    <mergeCell ref="B1299:B1300"/>
    <mergeCell ref="A1306:E1306"/>
    <mergeCell ref="C1307:E1307"/>
    <mergeCell ref="A1237:E1237"/>
    <mergeCell ref="A1239:E1239"/>
    <mergeCell ref="A1244:E1244"/>
    <mergeCell ref="A1248:F1248"/>
    <mergeCell ref="A1249:A1250"/>
    <mergeCell ref="B1249:B1250"/>
    <mergeCell ref="C1249:C1250"/>
    <mergeCell ref="E1249:E1250"/>
    <mergeCell ref="F1249:F1250"/>
    <mergeCell ref="A1251:F1251"/>
    <mergeCell ref="A1361:B1361"/>
    <mergeCell ref="A1374:B1374"/>
    <mergeCell ref="A1383:D1383"/>
    <mergeCell ref="B1384:B1385"/>
    <mergeCell ref="A1391:E1391"/>
    <mergeCell ref="C1392:E1392"/>
    <mergeCell ref="A1322:E1322"/>
    <mergeCell ref="A1324:E1324"/>
    <mergeCell ref="A1329:E1329"/>
    <mergeCell ref="A1333:F1333"/>
    <mergeCell ref="A1334:A1335"/>
    <mergeCell ref="B1334:B1335"/>
    <mergeCell ref="C1334:C1335"/>
    <mergeCell ref="E1334:E1335"/>
    <mergeCell ref="F1334:F1335"/>
    <mergeCell ref="A1446:B1446"/>
    <mergeCell ref="A1459:B1459"/>
    <mergeCell ref="A1468:D1468"/>
    <mergeCell ref="B1469:B1470"/>
    <mergeCell ref="A1476:E1476"/>
    <mergeCell ref="C1477:E1477"/>
    <mergeCell ref="A1407:E1407"/>
    <mergeCell ref="A1409:E1409"/>
    <mergeCell ref="A1414:E1414"/>
    <mergeCell ref="A1418:F1418"/>
    <mergeCell ref="A1419:A1420"/>
    <mergeCell ref="B1419:B1420"/>
    <mergeCell ref="C1419:C1420"/>
    <mergeCell ref="E1419:E1420"/>
    <mergeCell ref="F1419:F1420"/>
    <mergeCell ref="A1421:F1421"/>
    <mergeCell ref="A1531:B1531"/>
    <mergeCell ref="A1544:B1544"/>
    <mergeCell ref="A1553:D1553"/>
    <mergeCell ref="B1554:B1555"/>
    <mergeCell ref="A1561:E1561"/>
    <mergeCell ref="C1562:E1562"/>
    <mergeCell ref="A1492:E1492"/>
    <mergeCell ref="A1494:E1494"/>
    <mergeCell ref="A1499:E1499"/>
    <mergeCell ref="A1503:F1503"/>
    <mergeCell ref="A1504:A1505"/>
    <mergeCell ref="B1504:B1505"/>
    <mergeCell ref="C1504:C1505"/>
    <mergeCell ref="E1504:E1505"/>
    <mergeCell ref="F1504:F1505"/>
    <mergeCell ref="A1616:B1616"/>
    <mergeCell ref="A1629:B1629"/>
    <mergeCell ref="A1638:D1638"/>
    <mergeCell ref="B1639:B1640"/>
    <mergeCell ref="A1646:E1646"/>
    <mergeCell ref="C1647:E1647"/>
    <mergeCell ref="A1577:E1577"/>
    <mergeCell ref="A1579:E1579"/>
    <mergeCell ref="A1584:E1584"/>
    <mergeCell ref="A1588:F1588"/>
    <mergeCell ref="A1589:A1590"/>
    <mergeCell ref="B1589:B1590"/>
    <mergeCell ref="C1589:C1590"/>
    <mergeCell ref="E1589:E1590"/>
    <mergeCell ref="F1589:F1590"/>
    <mergeCell ref="A1591:F1591"/>
    <mergeCell ref="A1701:B1701"/>
    <mergeCell ref="A1714:B1714"/>
    <mergeCell ref="A1723:D1723"/>
    <mergeCell ref="B1724:B1725"/>
    <mergeCell ref="A1731:E1731"/>
    <mergeCell ref="C1732:E1732"/>
    <mergeCell ref="A1662:E1662"/>
    <mergeCell ref="A1664:E1664"/>
    <mergeCell ref="A1669:E1669"/>
    <mergeCell ref="A1673:F1673"/>
    <mergeCell ref="A1674:A1675"/>
    <mergeCell ref="B1674:B1675"/>
    <mergeCell ref="C1674:C1675"/>
    <mergeCell ref="E1674:E1675"/>
    <mergeCell ref="F1674:F1675"/>
    <mergeCell ref="A1786:B1786"/>
    <mergeCell ref="A1799:B1799"/>
    <mergeCell ref="A1808:D1808"/>
    <mergeCell ref="B1809:B1810"/>
    <mergeCell ref="A1816:E1816"/>
    <mergeCell ref="C1817:E1817"/>
    <mergeCell ref="A1747:E1747"/>
    <mergeCell ref="A1749:E1749"/>
    <mergeCell ref="A1754:E1754"/>
    <mergeCell ref="A1758:F1758"/>
    <mergeCell ref="A1759:A1760"/>
    <mergeCell ref="B1759:B1760"/>
    <mergeCell ref="C1759:C1760"/>
    <mergeCell ref="E1759:E1760"/>
    <mergeCell ref="F1759:F1760"/>
    <mergeCell ref="A1761:F1761"/>
    <mergeCell ref="A1871:B1871"/>
    <mergeCell ref="A1884:B1884"/>
    <mergeCell ref="A1893:D1893"/>
    <mergeCell ref="B1894:B1895"/>
    <mergeCell ref="A1901:E1901"/>
    <mergeCell ref="C1902:E1902"/>
    <mergeCell ref="A1832:E1832"/>
    <mergeCell ref="A1834:E1834"/>
    <mergeCell ref="A1839:E1839"/>
    <mergeCell ref="A1843:F1843"/>
    <mergeCell ref="A1844:A1845"/>
    <mergeCell ref="B1844:B1845"/>
    <mergeCell ref="C1844:C1845"/>
    <mergeCell ref="E1844:E1845"/>
    <mergeCell ref="F1844:F1845"/>
    <mergeCell ref="A1956:B1956"/>
    <mergeCell ref="A1969:B1969"/>
    <mergeCell ref="A1978:D1978"/>
    <mergeCell ref="B1979:B1980"/>
    <mergeCell ref="A1986:E1986"/>
    <mergeCell ref="C1987:E1987"/>
    <mergeCell ref="A1917:E1917"/>
    <mergeCell ref="A1919:E1919"/>
    <mergeCell ref="A1924:E1924"/>
    <mergeCell ref="A1928:F1928"/>
    <mergeCell ref="A1929:A1930"/>
    <mergeCell ref="B1929:B1930"/>
    <mergeCell ref="C1929:C1930"/>
    <mergeCell ref="E1929:E1930"/>
    <mergeCell ref="F1929:F1930"/>
    <mergeCell ref="A1931:F1931"/>
    <mergeCell ref="A2041:B2041"/>
    <mergeCell ref="A2054:B2054"/>
    <mergeCell ref="A2063:D2063"/>
    <mergeCell ref="B2064:B2065"/>
    <mergeCell ref="A2071:E2071"/>
    <mergeCell ref="C2072:E2072"/>
    <mergeCell ref="A2002:E2002"/>
    <mergeCell ref="A2004:E2004"/>
    <mergeCell ref="A2009:E2009"/>
    <mergeCell ref="A2013:F2013"/>
    <mergeCell ref="A2014:A2015"/>
    <mergeCell ref="B2014:B2015"/>
    <mergeCell ref="C2014:C2015"/>
    <mergeCell ref="E2014:E2015"/>
    <mergeCell ref="F2014:F2015"/>
    <mergeCell ref="A2126:B2126"/>
    <mergeCell ref="A2139:B2139"/>
    <mergeCell ref="A2148:D2148"/>
    <mergeCell ref="B2149:B2150"/>
    <mergeCell ref="A2156:E2156"/>
    <mergeCell ref="C2157:E2157"/>
    <mergeCell ref="A2087:E2087"/>
    <mergeCell ref="A2089:E2089"/>
    <mergeCell ref="A2094:E2094"/>
    <mergeCell ref="A2098:F2098"/>
    <mergeCell ref="A2099:A2100"/>
    <mergeCell ref="B2099:B2100"/>
    <mergeCell ref="C2099:C2100"/>
    <mergeCell ref="E2099:E2100"/>
    <mergeCell ref="F2099:F2100"/>
    <mergeCell ref="A2101:F2101"/>
    <mergeCell ref="A2211:B2211"/>
    <mergeCell ref="A2224:B2224"/>
    <mergeCell ref="A2233:D2233"/>
    <mergeCell ref="B2234:B2235"/>
    <mergeCell ref="A2241:E2241"/>
    <mergeCell ref="C2242:E2242"/>
    <mergeCell ref="A2172:E2172"/>
    <mergeCell ref="A2174:E2174"/>
    <mergeCell ref="A2179:E2179"/>
    <mergeCell ref="A2183:F2183"/>
    <mergeCell ref="A2184:A2185"/>
    <mergeCell ref="B2184:B2185"/>
    <mergeCell ref="C2184:C2185"/>
    <mergeCell ref="E2184:E2185"/>
    <mergeCell ref="F2184:F2185"/>
    <mergeCell ref="A2296:B2296"/>
    <mergeCell ref="A2309:B2309"/>
    <mergeCell ref="A2318:D2318"/>
    <mergeCell ref="B2319:B2320"/>
    <mergeCell ref="A2326:E2326"/>
    <mergeCell ref="C2327:E2327"/>
    <mergeCell ref="A2257:E2257"/>
    <mergeCell ref="A2259:E2259"/>
    <mergeCell ref="A2264:E2264"/>
    <mergeCell ref="A2268:F2268"/>
    <mergeCell ref="A2269:A2270"/>
    <mergeCell ref="B2269:B2270"/>
    <mergeCell ref="C2269:C2270"/>
    <mergeCell ref="E2269:E2270"/>
    <mergeCell ref="F2269:F2270"/>
    <mergeCell ref="A2271:F2271"/>
    <mergeCell ref="A2381:B2381"/>
    <mergeCell ref="A2394:B2394"/>
    <mergeCell ref="A2403:D2403"/>
    <mergeCell ref="B2404:B2405"/>
    <mergeCell ref="A2411:E2411"/>
    <mergeCell ref="C2412:E2412"/>
    <mergeCell ref="A2342:E2342"/>
    <mergeCell ref="A2344:E2344"/>
    <mergeCell ref="A2349:E2349"/>
    <mergeCell ref="A2353:F2353"/>
    <mergeCell ref="A2354:A2355"/>
    <mergeCell ref="B2354:B2355"/>
    <mergeCell ref="C2354:C2355"/>
    <mergeCell ref="E2354:E2355"/>
    <mergeCell ref="F2354:F2355"/>
    <mergeCell ref="A2466:B2466"/>
    <mergeCell ref="A2479:B2479"/>
    <mergeCell ref="A2488:D2488"/>
    <mergeCell ref="B2489:B2490"/>
    <mergeCell ref="A2496:E2496"/>
    <mergeCell ref="C2497:E2497"/>
    <mergeCell ref="A2427:E2427"/>
    <mergeCell ref="A2429:E2429"/>
    <mergeCell ref="A2434:E2434"/>
    <mergeCell ref="A2438:F2438"/>
    <mergeCell ref="A2439:A2440"/>
    <mergeCell ref="B2439:B2440"/>
    <mergeCell ref="C2439:C2440"/>
    <mergeCell ref="E2439:E2440"/>
    <mergeCell ref="F2439:F2440"/>
    <mergeCell ref="A2551:B2551"/>
    <mergeCell ref="A2564:B2564"/>
    <mergeCell ref="A2573:D2573"/>
    <mergeCell ref="B2574:B2575"/>
    <mergeCell ref="A2581:E2581"/>
    <mergeCell ref="C2582:E2582"/>
    <mergeCell ref="A2512:E2512"/>
    <mergeCell ref="A2514:E2514"/>
    <mergeCell ref="A2519:E2519"/>
    <mergeCell ref="A2523:F2523"/>
    <mergeCell ref="A2524:A2525"/>
    <mergeCell ref="B2524:B2525"/>
    <mergeCell ref="C2524:C2525"/>
    <mergeCell ref="E2524:E2525"/>
    <mergeCell ref="F2524:F2525"/>
    <mergeCell ref="A2636:B2636"/>
    <mergeCell ref="A2649:B2649"/>
    <mergeCell ref="A2658:D2658"/>
    <mergeCell ref="B2659:B2660"/>
    <mergeCell ref="A2666:E2666"/>
    <mergeCell ref="C2667:E2667"/>
    <mergeCell ref="A2597:E2597"/>
    <mergeCell ref="A2599:E2599"/>
    <mergeCell ref="A2604:E2604"/>
    <mergeCell ref="A2608:F2608"/>
    <mergeCell ref="A2609:A2610"/>
    <mergeCell ref="B2609:B2610"/>
    <mergeCell ref="C2609:C2610"/>
    <mergeCell ref="E2609:E2610"/>
    <mergeCell ref="F2609:F2610"/>
    <mergeCell ref="A2702:D2702"/>
    <mergeCell ref="C2703:D2703"/>
    <mergeCell ref="A2704:D2704"/>
    <mergeCell ref="A2709:D2709"/>
    <mergeCell ref="A2682:E2682"/>
    <mergeCell ref="A2684:E2684"/>
    <mergeCell ref="A2689:E2689"/>
    <mergeCell ref="A2693:F2693"/>
    <mergeCell ref="A2694:A2695"/>
    <mergeCell ref="B2694:B2695"/>
    <mergeCell ref="C2694:C2695"/>
    <mergeCell ref="E2694:E2695"/>
    <mergeCell ref="F2694:F2695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7B83-D9F5-4E88-9000-5F8666B4415E}">
  <sheetPr filterMode="1"/>
  <dimension ref="A1:I2713"/>
  <sheetViews>
    <sheetView workbookViewId="0">
      <selection activeCell="H74" sqref="H74"/>
    </sheetView>
  </sheetViews>
  <sheetFormatPr defaultRowHeight="16.5" x14ac:dyDescent="0.3"/>
  <cols>
    <col min="6" max="6" width="25.125" bestFit="1" customWidth="1"/>
    <col min="8" max="8" width="25.125" bestFit="1" customWidth="1"/>
    <col min="9" max="9" width="7.5" bestFit="1" customWidth="1"/>
  </cols>
  <sheetData>
    <row r="1" spans="1:2" x14ac:dyDescent="0.3">
      <c r="A1" s="1" t="s">
        <v>436</v>
      </c>
    </row>
    <row r="2" spans="1:2" ht="16.5" hidden="1" customHeight="1" x14ac:dyDescent="0.3"/>
    <row r="3" spans="1:2" ht="16.5" hidden="1" customHeight="1" x14ac:dyDescent="0.3">
      <c r="A3" s="1" t="s">
        <v>394</v>
      </c>
    </row>
    <row r="4" spans="1:2" ht="16.5" hidden="1" customHeight="1" thickBot="1" x14ac:dyDescent="0.35"/>
    <row r="5" spans="1:2" ht="16.5" hidden="1" customHeight="1" x14ac:dyDescent="0.3">
      <c r="A5" s="24" t="s">
        <v>437</v>
      </c>
      <c r="B5" s="26"/>
    </row>
    <row r="6" spans="1:2" ht="26.25" hidden="1" customHeight="1" thickBot="1" x14ac:dyDescent="0.35">
      <c r="A6" s="13" t="s">
        <v>438</v>
      </c>
      <c r="B6" s="18" t="s">
        <v>439</v>
      </c>
    </row>
    <row r="7" spans="1:2" ht="26.25" hidden="1" customHeight="1" thickBot="1" x14ac:dyDescent="0.35">
      <c r="A7" s="13" t="s">
        <v>440</v>
      </c>
      <c r="B7" s="18" t="s">
        <v>19</v>
      </c>
    </row>
    <row r="8" spans="1:2" ht="39" hidden="1" customHeight="1" thickBot="1" x14ac:dyDescent="0.35">
      <c r="A8" s="13" t="s">
        <v>441</v>
      </c>
      <c r="B8" s="18">
        <v>2</v>
      </c>
    </row>
    <row r="9" spans="1:2" ht="26.25" hidden="1" customHeight="1" thickBot="1" x14ac:dyDescent="0.35">
      <c r="A9" s="13" t="s">
        <v>442</v>
      </c>
      <c r="B9" s="18" t="s">
        <v>443</v>
      </c>
    </row>
    <row r="10" spans="1:2" ht="26.25" hidden="1" customHeight="1" thickBot="1" x14ac:dyDescent="0.35">
      <c r="A10" s="13" t="s">
        <v>76</v>
      </c>
      <c r="B10" s="18">
        <v>183</v>
      </c>
    </row>
    <row r="11" spans="1:2" ht="26.25" hidden="1" customHeight="1" thickBot="1" x14ac:dyDescent="0.35">
      <c r="A11" s="13" t="s">
        <v>444</v>
      </c>
      <c r="B11" s="18" t="s">
        <v>445</v>
      </c>
    </row>
    <row r="12" spans="1:2" ht="26.25" hidden="1" customHeight="1" thickBot="1" x14ac:dyDescent="0.35">
      <c r="A12" s="13" t="s">
        <v>77</v>
      </c>
      <c r="B12" s="18">
        <v>2855</v>
      </c>
    </row>
    <row r="13" spans="1:2" ht="26.25" hidden="1" customHeight="1" thickBot="1" x14ac:dyDescent="0.35">
      <c r="A13" s="13" t="s">
        <v>446</v>
      </c>
      <c r="B13" s="18" t="s">
        <v>447</v>
      </c>
    </row>
    <row r="14" spans="1:2" ht="26.25" hidden="1" customHeight="1" thickBot="1" x14ac:dyDescent="0.35">
      <c r="A14" s="13" t="s">
        <v>448</v>
      </c>
      <c r="B14" s="18" t="s">
        <v>449</v>
      </c>
    </row>
    <row r="15" spans="1:2" ht="39" hidden="1" customHeight="1" thickBot="1" x14ac:dyDescent="0.35">
      <c r="A15" s="13" t="s">
        <v>450</v>
      </c>
      <c r="B15" s="18" t="s">
        <v>451</v>
      </c>
    </row>
    <row r="16" spans="1:2" ht="38.25" hidden="1" customHeight="1" x14ac:dyDescent="0.3">
      <c r="A16" s="14" t="s">
        <v>452</v>
      </c>
      <c r="B16" s="19" t="s">
        <v>453</v>
      </c>
    </row>
    <row r="17" spans="1:4" ht="16.5" hidden="1" customHeight="1" thickBot="1" x14ac:dyDescent="0.35"/>
    <row r="18" spans="1:4" ht="33" hidden="1" customHeight="1" x14ac:dyDescent="0.3">
      <c r="A18" s="24" t="s">
        <v>80</v>
      </c>
      <c r="B18" s="26"/>
    </row>
    <row r="19" spans="1:4" ht="33.75" hidden="1" customHeight="1" thickBot="1" x14ac:dyDescent="0.35">
      <c r="A19" s="13" t="s">
        <v>81</v>
      </c>
      <c r="B19" s="2" t="s">
        <v>82</v>
      </c>
    </row>
    <row r="20" spans="1:4" ht="66" hidden="1" customHeight="1" x14ac:dyDescent="0.3">
      <c r="A20" s="14" t="s">
        <v>452</v>
      </c>
      <c r="B20" s="2" t="s">
        <v>453</v>
      </c>
    </row>
    <row r="21" spans="1:4" ht="16.5" hidden="1" customHeight="1" thickBot="1" x14ac:dyDescent="0.35"/>
    <row r="22" spans="1:4" ht="39" hidden="1" customHeight="1" thickBot="1" x14ac:dyDescent="0.35">
      <c r="A22" s="20" t="s">
        <v>454</v>
      </c>
      <c r="B22" s="21">
        <v>21079</v>
      </c>
    </row>
    <row r="23" spans="1:4" ht="39" hidden="1" customHeight="1" thickBot="1" x14ac:dyDescent="0.35">
      <c r="A23" s="13" t="s">
        <v>455</v>
      </c>
      <c r="B23" s="2">
        <v>21079</v>
      </c>
    </row>
    <row r="24" spans="1:4" ht="39" hidden="1" customHeight="1" thickBot="1" x14ac:dyDescent="0.35">
      <c r="A24" s="13" t="s">
        <v>456</v>
      </c>
      <c r="B24" s="2">
        <v>11834513</v>
      </c>
    </row>
    <row r="25" spans="1:4" ht="38.25" hidden="1" customHeight="1" x14ac:dyDescent="0.3">
      <c r="A25" s="14" t="s">
        <v>457</v>
      </c>
      <c r="B25" s="2">
        <v>11834513</v>
      </c>
    </row>
    <row r="26" spans="1:4" ht="16.5" hidden="1" customHeight="1" thickBot="1" x14ac:dyDescent="0.35"/>
    <row r="27" spans="1:4" ht="16.5" hidden="1" customHeight="1" x14ac:dyDescent="0.3">
      <c r="A27" s="24" t="s">
        <v>458</v>
      </c>
      <c r="B27" s="26"/>
      <c r="C27" s="26"/>
      <c r="D27" s="26"/>
    </row>
    <row r="28" spans="1:4" ht="16.5" hidden="1" customHeight="1" x14ac:dyDescent="0.3">
      <c r="A28" s="6" t="s">
        <v>459</v>
      </c>
      <c r="B28" s="27" t="s">
        <v>19</v>
      </c>
      <c r="C28" s="3" t="s">
        <v>93</v>
      </c>
      <c r="D28" s="3" t="s">
        <v>93</v>
      </c>
    </row>
    <row r="29" spans="1:4" ht="33" hidden="1" customHeight="1" x14ac:dyDescent="0.3">
      <c r="A29" s="6" t="s">
        <v>460</v>
      </c>
      <c r="B29" s="27"/>
      <c r="C29" s="3" t="s">
        <v>86</v>
      </c>
      <c r="D29" s="3" t="s">
        <v>461</v>
      </c>
    </row>
    <row r="30" spans="1:4" ht="17.25" hidden="1" customHeight="1" thickBot="1" x14ac:dyDescent="0.35">
      <c r="A30" s="6">
        <v>1</v>
      </c>
      <c r="B30" s="17">
        <v>0</v>
      </c>
      <c r="C30" s="2">
        <v>21070</v>
      </c>
      <c r="D30" s="2">
        <v>11829686</v>
      </c>
    </row>
    <row r="31" spans="1:4" ht="16.5" hidden="1" customHeight="1" x14ac:dyDescent="0.3">
      <c r="A31" s="6">
        <v>2</v>
      </c>
      <c r="B31" s="22">
        <v>1</v>
      </c>
      <c r="C31" s="2">
        <v>9</v>
      </c>
      <c r="D31" s="2">
        <v>4827</v>
      </c>
    </row>
    <row r="32" spans="1:4" ht="16.5" hidden="1" customHeight="1" x14ac:dyDescent="0.3"/>
    <row r="33" spans="1:5" ht="16.5" hidden="1" customHeight="1" x14ac:dyDescent="0.3">
      <c r="A33" s="1" t="s">
        <v>513</v>
      </c>
    </row>
    <row r="34" spans="1:5" ht="16.5" hidden="1" customHeight="1" thickBot="1" x14ac:dyDescent="0.35"/>
    <row r="35" spans="1:5" ht="16.5" hidden="1" customHeight="1" x14ac:dyDescent="0.3">
      <c r="A35" s="24" t="s">
        <v>462</v>
      </c>
      <c r="B35" s="26"/>
      <c r="C35" s="26"/>
      <c r="D35" s="26"/>
      <c r="E35" s="26"/>
    </row>
    <row r="36" spans="1:5" ht="16.5" hidden="1" customHeight="1" x14ac:dyDescent="0.3">
      <c r="A36" s="6" t="s">
        <v>463</v>
      </c>
      <c r="B36" s="3" t="s">
        <v>460</v>
      </c>
      <c r="C36" s="27" t="s">
        <v>464</v>
      </c>
      <c r="D36" s="27"/>
      <c r="E36" s="27"/>
    </row>
    <row r="37" spans="1:5" ht="17.25" hidden="1" customHeight="1" thickBot="1" x14ac:dyDescent="0.35">
      <c r="A37" s="13" t="s">
        <v>28</v>
      </c>
      <c r="B37" s="12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13"/>
      <c r="B38" s="12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13"/>
      <c r="B39" s="12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14"/>
      <c r="B40" s="15">
        <v>4</v>
      </c>
      <c r="C40" s="2">
        <v>0</v>
      </c>
      <c r="D40" s="2">
        <v>0</v>
      </c>
      <c r="E40" s="2">
        <v>1</v>
      </c>
    </row>
    <row r="41" spans="1:5" ht="16.5" hidden="1" customHeight="1" thickBot="1" x14ac:dyDescent="0.35"/>
    <row r="42" spans="1:5" ht="66" hidden="1" customHeight="1" x14ac:dyDescent="0.3">
      <c r="A42" s="4" t="s">
        <v>465</v>
      </c>
    </row>
    <row r="43" spans="1:5" ht="99" hidden="1" customHeight="1" x14ac:dyDescent="0.3">
      <c r="A43" s="23" t="s">
        <v>466</v>
      </c>
    </row>
    <row r="44" spans="1:5" ht="16.5" hidden="1" customHeight="1" thickBot="1" x14ac:dyDescent="0.35"/>
    <row r="45" spans="1:5" ht="16.5" hidden="1" customHeight="1" x14ac:dyDescent="0.3">
      <c r="A45" s="24" t="s">
        <v>467</v>
      </c>
      <c r="B45" s="26"/>
      <c r="C45" s="26"/>
    </row>
    <row r="46" spans="1:5" ht="66" hidden="1" customHeight="1" x14ac:dyDescent="0.3">
      <c r="A46" s="6" t="s">
        <v>468</v>
      </c>
      <c r="B46" s="3" t="s">
        <v>469</v>
      </c>
      <c r="C46" s="3" t="s">
        <v>470</v>
      </c>
    </row>
    <row r="47" spans="1:5" ht="17.25" hidden="1" customHeight="1" thickBot="1" x14ac:dyDescent="0.35">
      <c r="A47" s="13" t="s">
        <v>471</v>
      </c>
      <c r="B47" s="2">
        <v>85001.486000000004</v>
      </c>
      <c r="C47" s="2">
        <v>84273.040999999997</v>
      </c>
    </row>
    <row r="48" spans="1:5" ht="17.25" hidden="1" customHeight="1" thickBot="1" x14ac:dyDescent="0.35">
      <c r="A48" s="13" t="s">
        <v>472</v>
      </c>
      <c r="B48" s="2">
        <v>85015.773000000001</v>
      </c>
      <c r="C48" s="2">
        <v>84330.187000000005</v>
      </c>
    </row>
    <row r="49" spans="1:6" ht="16.5" hidden="1" customHeight="1" x14ac:dyDescent="0.3">
      <c r="A49" s="14" t="s">
        <v>473</v>
      </c>
      <c r="B49" s="2" t="s">
        <v>617</v>
      </c>
      <c r="C49" s="2">
        <v>84265.040999999997</v>
      </c>
    </row>
    <row r="50" spans="1:6" ht="16.5" hidden="1" customHeight="1" thickBot="1" x14ac:dyDescent="0.35"/>
    <row r="51" spans="1:6" ht="16.5" hidden="1" customHeight="1" x14ac:dyDescent="0.3">
      <c r="A51" s="24" t="s">
        <v>474</v>
      </c>
      <c r="B51" s="26"/>
      <c r="C51" s="26"/>
      <c r="D51" s="26"/>
      <c r="E51" s="26"/>
    </row>
    <row r="52" spans="1:6" ht="16.5" hidden="1" customHeight="1" x14ac:dyDescent="0.3">
      <c r="A52" s="6" t="s">
        <v>475</v>
      </c>
      <c r="B52" s="3" t="s">
        <v>476</v>
      </c>
      <c r="C52" s="3" t="s">
        <v>477</v>
      </c>
      <c r="D52" s="3" t="s">
        <v>478</v>
      </c>
      <c r="E52" s="3" t="s">
        <v>479</v>
      </c>
    </row>
    <row r="53" spans="1:6" ht="33" hidden="1" customHeight="1" x14ac:dyDescent="0.3">
      <c r="A53" s="25" t="s">
        <v>615</v>
      </c>
      <c r="B53" s="27"/>
      <c r="C53" s="27"/>
      <c r="D53" s="27"/>
      <c r="E53" s="27"/>
    </row>
    <row r="54" spans="1:6" ht="26.25" hidden="1" customHeight="1" thickBot="1" x14ac:dyDescent="0.35">
      <c r="A54" s="13" t="s">
        <v>481</v>
      </c>
      <c r="B54" s="2">
        <v>0.44</v>
      </c>
      <c r="C54" s="2">
        <v>3</v>
      </c>
      <c r="D54" s="2">
        <v>8015.93</v>
      </c>
      <c r="E54" s="2">
        <v>0.72740000000000005</v>
      </c>
    </row>
    <row r="55" spans="1:6" ht="17.25" hidden="1" customHeight="1" thickBot="1" x14ac:dyDescent="0.35">
      <c r="A55" s="13" t="s">
        <v>483</v>
      </c>
      <c r="B55" s="2">
        <v>0.34</v>
      </c>
      <c r="C55" s="2">
        <v>3</v>
      </c>
      <c r="D55" s="2">
        <v>2670</v>
      </c>
      <c r="E55" s="2">
        <v>0.79569999999999996</v>
      </c>
    </row>
    <row r="56" spans="1:6" ht="16.5" hidden="1" customHeight="1" x14ac:dyDescent="0.3">
      <c r="A56" s="14" t="s">
        <v>484</v>
      </c>
      <c r="B56" s="2">
        <v>0.39</v>
      </c>
      <c r="C56" s="2">
        <v>3</v>
      </c>
      <c r="D56" s="2">
        <v>2670</v>
      </c>
      <c r="E56" s="2">
        <v>0.75690000000000002</v>
      </c>
    </row>
    <row r="57" spans="1:6" ht="16.5" hidden="1" customHeight="1" thickBot="1" x14ac:dyDescent="0.35"/>
    <row r="58" spans="1:6" ht="16.5" hidden="1" customHeight="1" x14ac:dyDescent="0.3">
      <c r="A58" s="24" t="s">
        <v>485</v>
      </c>
      <c r="B58" s="26"/>
      <c r="C58" s="26"/>
      <c r="D58" s="26"/>
      <c r="E58" s="26"/>
    </row>
    <row r="59" spans="1:6" ht="16.5" hidden="1" customHeight="1" x14ac:dyDescent="0.3">
      <c r="A59" s="6" t="s">
        <v>486</v>
      </c>
      <c r="B59" s="3" t="s">
        <v>476</v>
      </c>
      <c r="C59" s="3" t="s">
        <v>477</v>
      </c>
      <c r="D59" s="3" t="s">
        <v>478</v>
      </c>
      <c r="E59" s="3" t="s">
        <v>479</v>
      </c>
    </row>
    <row r="60" spans="1:6" ht="16.5" hidden="1" customHeight="1" x14ac:dyDescent="0.3">
      <c r="A60" s="14" t="s">
        <v>28</v>
      </c>
      <c r="B60" s="2">
        <v>0.39</v>
      </c>
      <c r="C60" s="2">
        <v>3</v>
      </c>
      <c r="D60" s="2">
        <v>2670</v>
      </c>
      <c r="E60" s="2">
        <v>0.75690000000000002</v>
      </c>
    </row>
    <row r="61" spans="1:6" ht="16.5" hidden="1" customHeight="1" thickBot="1" x14ac:dyDescent="0.35"/>
    <row r="62" spans="1:6" ht="16.5" hidden="1" customHeight="1" x14ac:dyDescent="0.3">
      <c r="A62" s="24" t="s">
        <v>487</v>
      </c>
      <c r="B62" s="26"/>
      <c r="C62" s="26"/>
      <c r="D62" s="26"/>
      <c r="E62" s="26"/>
      <c r="F62" s="26"/>
    </row>
    <row r="63" spans="1:6" ht="16.5" hidden="1" customHeight="1" x14ac:dyDescent="0.3">
      <c r="A63" s="25" t="s">
        <v>488</v>
      </c>
      <c r="B63" s="27"/>
      <c r="C63" s="27" t="s">
        <v>489</v>
      </c>
      <c r="D63" s="3" t="s">
        <v>490</v>
      </c>
      <c r="E63" s="27" t="s">
        <v>492</v>
      </c>
      <c r="F63" s="27" t="s">
        <v>493</v>
      </c>
    </row>
    <row r="64" spans="1:6" ht="16.5" hidden="1" customHeight="1" x14ac:dyDescent="0.3">
      <c r="A64" s="25"/>
      <c r="B64" s="27"/>
      <c r="C64" s="27"/>
      <c r="D64" s="3" t="s">
        <v>491</v>
      </c>
      <c r="E64" s="27"/>
      <c r="F64" s="27"/>
    </row>
    <row r="65" spans="1:9" ht="16.5" hidden="1" customHeight="1" x14ac:dyDescent="0.3">
      <c r="A65" s="25" t="s">
        <v>528</v>
      </c>
      <c r="B65" s="27"/>
      <c r="C65" s="27"/>
      <c r="D65" s="27"/>
      <c r="E65" s="27"/>
      <c r="F65" s="27"/>
    </row>
    <row r="66" spans="1:9" ht="17.25" hidden="1" customHeight="1" thickBot="1" x14ac:dyDescent="0.35">
      <c r="A66" s="13" t="s">
        <v>495</v>
      </c>
      <c r="B66" s="12"/>
      <c r="C66" s="16">
        <v>-8.0803999999999991</v>
      </c>
      <c r="D66" s="2">
        <v>1</v>
      </c>
      <c r="E66" s="16">
        <v>-8.08</v>
      </c>
      <c r="F66" s="2" t="s">
        <v>482</v>
      </c>
    </row>
    <row r="67" spans="1:9" ht="17.25" hidden="1" customHeight="1" thickBot="1" x14ac:dyDescent="0.35">
      <c r="A67" s="13" t="s">
        <v>28</v>
      </c>
      <c r="B67" s="12">
        <v>2</v>
      </c>
      <c r="C67" s="2">
        <v>0.81540000000000001</v>
      </c>
      <c r="D67" s="2">
        <v>1.1753</v>
      </c>
      <c r="E67" s="2">
        <v>0.69</v>
      </c>
      <c r="F67" s="2">
        <v>0.4879</v>
      </c>
    </row>
    <row r="68" spans="1:9" ht="17.25" hidden="1" customHeight="1" thickBot="1" x14ac:dyDescent="0.35">
      <c r="A68" s="13" t="s">
        <v>28</v>
      </c>
      <c r="B68" s="12">
        <v>3</v>
      </c>
      <c r="C68" s="2">
        <v>3.5999999999999997E-2</v>
      </c>
      <c r="D68" s="2">
        <v>1.2814000000000001</v>
      </c>
      <c r="E68" s="2">
        <v>0.03</v>
      </c>
      <c r="F68" s="2">
        <v>0.97760000000000002</v>
      </c>
    </row>
    <row r="69" spans="1:9" ht="16.5" hidden="1" customHeight="1" x14ac:dyDescent="0.3">
      <c r="A69" s="14" t="s">
        <v>28</v>
      </c>
      <c r="B69" s="15">
        <v>4</v>
      </c>
      <c r="C69" s="16">
        <v>-2.2800000000000001E-2</v>
      </c>
      <c r="D69" s="2">
        <v>1.1585000000000001</v>
      </c>
      <c r="E69" s="16">
        <v>-0.02</v>
      </c>
      <c r="F69" s="2">
        <v>0.98429999999999995</v>
      </c>
    </row>
    <row r="70" spans="1:9" ht="16.5" hidden="1" customHeight="1" thickBot="1" x14ac:dyDescent="0.35"/>
    <row r="71" spans="1:9" ht="16.5" hidden="1" customHeight="1" x14ac:dyDescent="0.3">
      <c r="A71" s="24" t="s">
        <v>496</v>
      </c>
      <c r="B71" s="26"/>
      <c r="C71" s="26"/>
      <c r="D71" s="26"/>
    </row>
    <row r="72" spans="1:9" ht="33" hidden="1" customHeight="1" x14ac:dyDescent="0.3">
      <c r="A72" s="6" t="s">
        <v>486</v>
      </c>
      <c r="B72" s="3" t="s">
        <v>497</v>
      </c>
      <c r="C72" s="27" t="s">
        <v>91</v>
      </c>
      <c r="D72" s="27"/>
    </row>
    <row r="73" spans="1:9" ht="49.5" hidden="1" customHeight="1" x14ac:dyDescent="0.3">
      <c r="A73" s="25" t="s">
        <v>529</v>
      </c>
      <c r="B73" s="27"/>
      <c r="C73" s="27"/>
      <c r="D73" s="27"/>
    </row>
    <row r="74" spans="1:9" ht="26.25" thickBot="1" x14ac:dyDescent="0.35">
      <c r="A74" s="13" t="s">
        <v>525</v>
      </c>
      <c r="B74" s="2">
        <v>2.2599999999999998</v>
      </c>
      <c r="C74" s="2">
        <v>0.22600000000000001</v>
      </c>
      <c r="D74" s="2">
        <v>22.646999999999998</v>
      </c>
      <c r="H74" s="8" t="str">
        <f>TEXT(B74,"0.00")&amp;" ("&amp;TEXT(C74,"0.00")&amp;" to "&amp;TEXT(D74,"0.00")&amp;")"</f>
        <v>2.26 (0.23 to 22.65)</v>
      </c>
      <c r="I74">
        <f>F67</f>
        <v>0.4879</v>
      </c>
    </row>
    <row r="75" spans="1:9" ht="26.25" thickBot="1" x14ac:dyDescent="0.35">
      <c r="A75" s="13" t="s">
        <v>526</v>
      </c>
      <c r="B75" s="2">
        <v>1.0369999999999999</v>
      </c>
      <c r="C75" s="2">
        <v>8.4000000000000005E-2</v>
      </c>
      <c r="D75" s="2">
        <v>12.789</v>
      </c>
      <c r="H75" s="8" t="str">
        <f t="shared" ref="H75:H76" si="0">TEXT(B75,"0.00")&amp;" ("&amp;TEXT(C75,"0.00")&amp;" to "&amp;TEXT(D75,"0.00")&amp;")"</f>
        <v>1.04 (0.08 to 12.79)</v>
      </c>
      <c r="I75">
        <f t="shared" ref="I75:I76" si="1">F68</f>
        <v>0.97760000000000002</v>
      </c>
    </row>
    <row r="76" spans="1:9" ht="25.5" x14ac:dyDescent="0.3">
      <c r="A76" s="14" t="s">
        <v>527</v>
      </c>
      <c r="B76" s="2">
        <v>0.97699999999999998</v>
      </c>
      <c r="C76" s="2">
        <v>0.10100000000000001</v>
      </c>
      <c r="D76" s="2">
        <v>9.4770000000000003</v>
      </c>
      <c r="H76" s="8" t="str">
        <f t="shared" si="0"/>
        <v>0.98 (0.10 to 9.48)</v>
      </c>
      <c r="I76">
        <f t="shared" si="1"/>
        <v>0.98429999999999995</v>
      </c>
    </row>
    <row r="77" spans="1:9" ht="16.5" hidden="1" customHeight="1" x14ac:dyDescent="0.3"/>
    <row r="78" spans="1:9" ht="16.5" hidden="1" customHeight="1" x14ac:dyDescent="0.3">
      <c r="A78" s="1" t="s">
        <v>616</v>
      </c>
    </row>
    <row r="79" spans="1:9" ht="16.5" hidden="1" customHeight="1" x14ac:dyDescent="0.3"/>
    <row r="80" spans="1:9" ht="16.5" hidden="1" customHeight="1" x14ac:dyDescent="0.3"/>
    <row r="81" spans="1:2" ht="16.5" hidden="1" customHeight="1" x14ac:dyDescent="0.3"/>
    <row r="82" spans="1:2" ht="16.5" hidden="1" customHeight="1" x14ac:dyDescent="0.3">
      <c r="A82" s="1" t="s">
        <v>436</v>
      </c>
    </row>
    <row r="83" spans="1:2" ht="16.5" hidden="1" customHeight="1" x14ac:dyDescent="0.3"/>
    <row r="84" spans="1:2" ht="16.5" hidden="1" customHeight="1" x14ac:dyDescent="0.3">
      <c r="A84" s="1" t="s">
        <v>395</v>
      </c>
    </row>
    <row r="85" spans="1:2" ht="16.5" hidden="1" customHeight="1" thickBot="1" x14ac:dyDescent="0.35"/>
    <row r="86" spans="1:2" ht="16.5" hidden="1" customHeight="1" x14ac:dyDescent="0.3">
      <c r="A86" s="24" t="s">
        <v>437</v>
      </c>
      <c r="B86" s="26"/>
    </row>
    <row r="87" spans="1:2" ht="26.25" hidden="1" customHeight="1" thickBot="1" x14ac:dyDescent="0.35">
      <c r="A87" s="13" t="s">
        <v>438</v>
      </c>
      <c r="B87" s="18" t="s">
        <v>439</v>
      </c>
    </row>
    <row r="88" spans="1:2" ht="26.25" hidden="1" customHeight="1" thickBot="1" x14ac:dyDescent="0.35">
      <c r="A88" s="13" t="s">
        <v>440</v>
      </c>
      <c r="B88" s="18" t="s">
        <v>19</v>
      </c>
    </row>
    <row r="89" spans="1:2" ht="39" hidden="1" customHeight="1" thickBot="1" x14ac:dyDescent="0.35">
      <c r="A89" s="13" t="s">
        <v>441</v>
      </c>
      <c r="B89" s="18">
        <v>2</v>
      </c>
    </row>
    <row r="90" spans="1:2" ht="26.25" hidden="1" customHeight="1" thickBot="1" x14ac:dyDescent="0.35">
      <c r="A90" s="13" t="s">
        <v>442</v>
      </c>
      <c r="B90" s="18" t="s">
        <v>443</v>
      </c>
    </row>
    <row r="91" spans="1:2" ht="26.25" hidden="1" customHeight="1" thickBot="1" x14ac:dyDescent="0.35">
      <c r="A91" s="13" t="s">
        <v>76</v>
      </c>
      <c r="B91" s="18">
        <v>183</v>
      </c>
    </row>
    <row r="92" spans="1:2" ht="26.25" hidden="1" customHeight="1" thickBot="1" x14ac:dyDescent="0.35">
      <c r="A92" s="13" t="s">
        <v>444</v>
      </c>
      <c r="B92" s="18" t="s">
        <v>445</v>
      </c>
    </row>
    <row r="93" spans="1:2" ht="26.25" hidden="1" customHeight="1" thickBot="1" x14ac:dyDescent="0.35">
      <c r="A93" s="13" t="s">
        <v>77</v>
      </c>
      <c r="B93" s="18">
        <v>2969</v>
      </c>
    </row>
    <row r="94" spans="1:2" ht="26.25" hidden="1" customHeight="1" thickBot="1" x14ac:dyDescent="0.35">
      <c r="A94" s="13" t="s">
        <v>446</v>
      </c>
      <c r="B94" s="18" t="s">
        <v>447</v>
      </c>
    </row>
    <row r="95" spans="1:2" ht="26.25" hidden="1" customHeight="1" thickBot="1" x14ac:dyDescent="0.35">
      <c r="A95" s="13" t="s">
        <v>448</v>
      </c>
      <c r="B95" s="18" t="s">
        <v>449</v>
      </c>
    </row>
    <row r="96" spans="1:2" ht="39" hidden="1" customHeight="1" thickBot="1" x14ac:dyDescent="0.35">
      <c r="A96" s="13" t="s">
        <v>450</v>
      </c>
      <c r="B96" s="18" t="s">
        <v>451</v>
      </c>
    </row>
    <row r="97" spans="1:4" ht="38.25" hidden="1" customHeight="1" x14ac:dyDescent="0.3">
      <c r="A97" s="14" t="s">
        <v>452</v>
      </c>
      <c r="B97" s="19" t="s">
        <v>453</v>
      </c>
    </row>
    <row r="98" spans="1:4" ht="16.5" hidden="1" customHeight="1" thickBot="1" x14ac:dyDescent="0.35"/>
    <row r="99" spans="1:4" ht="33" hidden="1" customHeight="1" x14ac:dyDescent="0.3">
      <c r="A99" s="24" t="s">
        <v>80</v>
      </c>
      <c r="B99" s="26"/>
    </row>
    <row r="100" spans="1:4" ht="33.75" hidden="1" customHeight="1" thickBot="1" x14ac:dyDescent="0.35">
      <c r="A100" s="13" t="s">
        <v>81</v>
      </c>
      <c r="B100" s="2" t="s">
        <v>82</v>
      </c>
    </row>
    <row r="101" spans="1:4" ht="66" hidden="1" customHeight="1" x14ac:dyDescent="0.3">
      <c r="A101" s="14" t="s">
        <v>452</v>
      </c>
      <c r="B101" s="2" t="s">
        <v>453</v>
      </c>
    </row>
    <row r="102" spans="1:4" ht="16.5" hidden="1" customHeight="1" thickBot="1" x14ac:dyDescent="0.35"/>
    <row r="103" spans="1:4" ht="39" hidden="1" customHeight="1" thickBot="1" x14ac:dyDescent="0.35">
      <c r="A103" s="20" t="s">
        <v>454</v>
      </c>
      <c r="B103" s="21">
        <v>33470</v>
      </c>
    </row>
    <row r="104" spans="1:4" ht="39" hidden="1" customHeight="1" thickBot="1" x14ac:dyDescent="0.35">
      <c r="A104" s="13" t="s">
        <v>455</v>
      </c>
      <c r="B104" s="2">
        <v>33470</v>
      </c>
    </row>
    <row r="105" spans="1:4" ht="39" hidden="1" customHeight="1" thickBot="1" x14ac:dyDescent="0.35">
      <c r="A105" s="13" t="s">
        <v>456</v>
      </c>
      <c r="B105" s="2">
        <v>14667390</v>
      </c>
    </row>
    <row r="106" spans="1:4" ht="38.25" hidden="1" customHeight="1" x14ac:dyDescent="0.3">
      <c r="A106" s="14" t="s">
        <v>457</v>
      </c>
      <c r="B106" s="2">
        <v>14667390</v>
      </c>
    </row>
    <row r="107" spans="1:4" ht="16.5" hidden="1" customHeight="1" thickBot="1" x14ac:dyDescent="0.35"/>
    <row r="108" spans="1:4" ht="16.5" hidden="1" customHeight="1" x14ac:dyDescent="0.3">
      <c r="A108" s="24" t="s">
        <v>458</v>
      </c>
      <c r="B108" s="26"/>
      <c r="C108" s="26"/>
      <c r="D108" s="26"/>
    </row>
    <row r="109" spans="1:4" ht="16.5" hidden="1" customHeight="1" x14ac:dyDescent="0.3">
      <c r="A109" s="6" t="s">
        <v>459</v>
      </c>
      <c r="B109" s="27" t="s">
        <v>19</v>
      </c>
      <c r="C109" s="3" t="s">
        <v>93</v>
      </c>
      <c r="D109" s="3" t="s">
        <v>93</v>
      </c>
    </row>
    <row r="110" spans="1:4" ht="33" hidden="1" customHeight="1" x14ac:dyDescent="0.3">
      <c r="A110" s="6" t="s">
        <v>460</v>
      </c>
      <c r="B110" s="27"/>
      <c r="C110" s="3" t="s">
        <v>86</v>
      </c>
      <c r="D110" s="3" t="s">
        <v>461</v>
      </c>
    </row>
    <row r="111" spans="1:4" ht="17.25" hidden="1" customHeight="1" thickBot="1" x14ac:dyDescent="0.35">
      <c r="A111" s="6">
        <v>1</v>
      </c>
      <c r="B111" s="17">
        <v>0</v>
      </c>
      <c r="C111" s="2">
        <v>33039</v>
      </c>
      <c r="D111" s="2">
        <v>14494212</v>
      </c>
    </row>
    <row r="112" spans="1:4" ht="16.5" hidden="1" customHeight="1" x14ac:dyDescent="0.3">
      <c r="A112" s="6">
        <v>2</v>
      </c>
      <c r="B112" s="22">
        <v>1</v>
      </c>
      <c r="C112" s="2">
        <v>431</v>
      </c>
      <c r="D112" s="2">
        <v>173178</v>
      </c>
    </row>
    <row r="113" spans="1:5" ht="16.5" hidden="1" customHeight="1" x14ac:dyDescent="0.3"/>
    <row r="114" spans="1:5" ht="16.5" hidden="1" customHeight="1" x14ac:dyDescent="0.3">
      <c r="A114" s="1" t="s">
        <v>513</v>
      </c>
    </row>
    <row r="115" spans="1:5" ht="16.5" hidden="1" customHeight="1" thickBot="1" x14ac:dyDescent="0.35"/>
    <row r="116" spans="1:5" ht="16.5" hidden="1" customHeight="1" x14ac:dyDescent="0.3">
      <c r="A116" s="24" t="s">
        <v>462</v>
      </c>
      <c r="B116" s="26"/>
      <c r="C116" s="26"/>
      <c r="D116" s="26"/>
      <c r="E116" s="26"/>
    </row>
    <row r="117" spans="1:5" ht="16.5" hidden="1" customHeight="1" x14ac:dyDescent="0.3">
      <c r="A117" s="6" t="s">
        <v>463</v>
      </c>
      <c r="B117" s="3" t="s">
        <v>460</v>
      </c>
      <c r="C117" s="27" t="s">
        <v>464</v>
      </c>
      <c r="D117" s="27"/>
      <c r="E117" s="27"/>
    </row>
    <row r="118" spans="1:5" ht="17.25" hidden="1" customHeight="1" thickBot="1" x14ac:dyDescent="0.35">
      <c r="A118" s="13" t="s">
        <v>28</v>
      </c>
      <c r="B118" s="12">
        <v>1</v>
      </c>
      <c r="C118" s="2">
        <v>0</v>
      </c>
      <c r="D118" s="2">
        <v>0</v>
      </c>
      <c r="E118" s="2">
        <v>0</v>
      </c>
    </row>
    <row r="119" spans="1:5" ht="17.25" hidden="1" customHeight="1" thickBot="1" x14ac:dyDescent="0.35">
      <c r="A119" s="13"/>
      <c r="B119" s="12">
        <v>2</v>
      </c>
      <c r="C119" s="2">
        <v>1</v>
      </c>
      <c r="D119" s="2">
        <v>0</v>
      </c>
      <c r="E119" s="2">
        <v>0</v>
      </c>
    </row>
    <row r="120" spans="1:5" ht="17.25" hidden="1" customHeight="1" thickBot="1" x14ac:dyDescent="0.35">
      <c r="A120" s="13"/>
      <c r="B120" s="12">
        <v>3</v>
      </c>
      <c r="C120" s="2">
        <v>0</v>
      </c>
      <c r="D120" s="2">
        <v>1</v>
      </c>
      <c r="E120" s="2">
        <v>0</v>
      </c>
    </row>
    <row r="121" spans="1:5" ht="16.5" hidden="1" customHeight="1" x14ac:dyDescent="0.3">
      <c r="A121" s="14"/>
      <c r="B121" s="15">
        <v>4</v>
      </c>
      <c r="C121" s="2">
        <v>0</v>
      </c>
      <c r="D121" s="2">
        <v>0</v>
      </c>
      <c r="E121" s="2">
        <v>1</v>
      </c>
    </row>
    <row r="122" spans="1:5" ht="16.5" hidden="1" customHeight="1" thickBot="1" x14ac:dyDescent="0.35"/>
    <row r="123" spans="1:5" ht="66" hidden="1" customHeight="1" x14ac:dyDescent="0.3">
      <c r="A123" s="4" t="s">
        <v>465</v>
      </c>
    </row>
    <row r="124" spans="1:5" ht="99" hidden="1" customHeight="1" x14ac:dyDescent="0.3">
      <c r="A124" s="23" t="s">
        <v>466</v>
      </c>
    </row>
    <row r="125" spans="1:5" ht="16.5" hidden="1" customHeight="1" thickBot="1" x14ac:dyDescent="0.35"/>
    <row r="126" spans="1:5" ht="16.5" hidden="1" customHeight="1" x14ac:dyDescent="0.3">
      <c r="A126" s="24" t="s">
        <v>467</v>
      </c>
      <c r="B126" s="26"/>
      <c r="C126" s="26"/>
    </row>
    <row r="127" spans="1:5" ht="66" hidden="1" customHeight="1" x14ac:dyDescent="0.3">
      <c r="A127" s="6" t="s">
        <v>468</v>
      </c>
      <c r="B127" s="3" t="s">
        <v>469</v>
      </c>
      <c r="C127" s="3" t="s">
        <v>470</v>
      </c>
    </row>
    <row r="128" spans="1:5" ht="17.25" hidden="1" customHeight="1" thickBot="1" x14ac:dyDescent="0.35">
      <c r="A128" s="13" t="s">
        <v>471</v>
      </c>
      <c r="B128" s="2">
        <v>1881800.1</v>
      </c>
      <c r="C128" s="2">
        <v>1862095.1</v>
      </c>
    </row>
    <row r="129" spans="1:6" ht="17.25" hidden="1" customHeight="1" thickBot="1" x14ac:dyDescent="0.35">
      <c r="A129" s="13" t="s">
        <v>472</v>
      </c>
      <c r="B129" s="2">
        <v>1881814.6</v>
      </c>
      <c r="C129" s="2">
        <v>1862153.1</v>
      </c>
    </row>
    <row r="130" spans="1:6" ht="16.5" hidden="1" customHeight="1" x14ac:dyDescent="0.3">
      <c r="A130" s="14" t="s">
        <v>473</v>
      </c>
      <c r="B130" s="2" t="s">
        <v>618</v>
      </c>
      <c r="C130" s="2">
        <v>1862087.1</v>
      </c>
    </row>
    <row r="131" spans="1:6" ht="16.5" hidden="1" customHeight="1" thickBot="1" x14ac:dyDescent="0.35"/>
    <row r="132" spans="1:6" ht="16.5" hidden="1" customHeight="1" x14ac:dyDescent="0.3">
      <c r="A132" s="24" t="s">
        <v>474</v>
      </c>
      <c r="B132" s="26"/>
      <c r="C132" s="26"/>
      <c r="D132" s="26"/>
      <c r="E132" s="26"/>
    </row>
    <row r="133" spans="1:6" ht="16.5" hidden="1" customHeight="1" x14ac:dyDescent="0.3">
      <c r="A133" s="6" t="s">
        <v>475</v>
      </c>
      <c r="B133" s="3" t="s">
        <v>476</v>
      </c>
      <c r="C133" s="3" t="s">
        <v>477</v>
      </c>
      <c r="D133" s="3" t="s">
        <v>478</v>
      </c>
      <c r="E133" s="3" t="s">
        <v>479</v>
      </c>
    </row>
    <row r="134" spans="1:6" ht="33" hidden="1" customHeight="1" x14ac:dyDescent="0.3">
      <c r="A134" s="25" t="s">
        <v>511</v>
      </c>
      <c r="B134" s="27"/>
      <c r="C134" s="27"/>
      <c r="D134" s="27"/>
      <c r="E134" s="27"/>
    </row>
    <row r="135" spans="1:6" ht="26.25" hidden="1" customHeight="1" thickBot="1" x14ac:dyDescent="0.35">
      <c r="A135" s="13" t="s">
        <v>481</v>
      </c>
      <c r="B135" s="2">
        <v>15.05</v>
      </c>
      <c r="C135" s="2">
        <v>2.9935</v>
      </c>
      <c r="D135" s="2">
        <v>8339.85</v>
      </c>
      <c r="E135" s="2" t="s">
        <v>482</v>
      </c>
    </row>
    <row r="136" spans="1:6" ht="17.25" hidden="1" customHeight="1" thickBot="1" x14ac:dyDescent="0.35">
      <c r="A136" s="13" t="s">
        <v>483</v>
      </c>
      <c r="B136" s="2">
        <v>15.47</v>
      </c>
      <c r="C136" s="2">
        <v>3</v>
      </c>
      <c r="D136" s="2">
        <v>2784</v>
      </c>
      <c r="E136" s="2" t="s">
        <v>482</v>
      </c>
    </row>
    <row r="137" spans="1:6" ht="16.5" hidden="1" customHeight="1" x14ac:dyDescent="0.3">
      <c r="A137" s="14" t="s">
        <v>484</v>
      </c>
      <c r="B137" s="2">
        <v>10.82</v>
      </c>
      <c r="C137" s="2">
        <v>3</v>
      </c>
      <c r="D137" s="2">
        <v>2784</v>
      </c>
      <c r="E137" s="2" t="s">
        <v>482</v>
      </c>
    </row>
    <row r="138" spans="1:6" ht="16.5" hidden="1" customHeight="1" thickBot="1" x14ac:dyDescent="0.35"/>
    <row r="139" spans="1:6" ht="16.5" hidden="1" customHeight="1" x14ac:dyDescent="0.3">
      <c r="A139" s="24" t="s">
        <v>485</v>
      </c>
      <c r="B139" s="26"/>
      <c r="C139" s="26"/>
      <c r="D139" s="26"/>
      <c r="E139" s="26"/>
    </row>
    <row r="140" spans="1:6" ht="16.5" hidden="1" customHeight="1" x14ac:dyDescent="0.3">
      <c r="A140" s="6" t="s">
        <v>486</v>
      </c>
      <c r="B140" s="3" t="s">
        <v>476</v>
      </c>
      <c r="C140" s="3" t="s">
        <v>477</v>
      </c>
      <c r="D140" s="3" t="s">
        <v>478</v>
      </c>
      <c r="E140" s="3" t="s">
        <v>479</v>
      </c>
    </row>
    <row r="141" spans="1:6" ht="16.5" hidden="1" customHeight="1" x14ac:dyDescent="0.3">
      <c r="A141" s="14" t="s">
        <v>28</v>
      </c>
      <c r="B141" s="2">
        <v>10.82</v>
      </c>
      <c r="C141" s="2">
        <v>3</v>
      </c>
      <c r="D141" s="2">
        <v>2784</v>
      </c>
      <c r="E141" s="2" t="s">
        <v>482</v>
      </c>
    </row>
    <row r="142" spans="1:6" ht="16.5" hidden="1" customHeight="1" thickBot="1" x14ac:dyDescent="0.35"/>
    <row r="143" spans="1:6" ht="16.5" hidden="1" customHeight="1" x14ac:dyDescent="0.3">
      <c r="A143" s="24" t="s">
        <v>487</v>
      </c>
      <c r="B143" s="26"/>
      <c r="C143" s="26"/>
      <c r="D143" s="26"/>
      <c r="E143" s="26"/>
      <c r="F143" s="26"/>
    </row>
    <row r="144" spans="1:6" ht="16.5" hidden="1" customHeight="1" x14ac:dyDescent="0.3">
      <c r="A144" s="25" t="s">
        <v>488</v>
      </c>
      <c r="B144" s="27"/>
      <c r="C144" s="27" t="s">
        <v>489</v>
      </c>
      <c r="D144" s="3" t="s">
        <v>490</v>
      </c>
      <c r="E144" s="27" t="s">
        <v>492</v>
      </c>
      <c r="F144" s="27" t="s">
        <v>493</v>
      </c>
    </row>
    <row r="145" spans="1:9" ht="16.5" hidden="1" customHeight="1" x14ac:dyDescent="0.3">
      <c r="A145" s="25"/>
      <c r="B145" s="27"/>
      <c r="C145" s="27"/>
      <c r="D145" s="3" t="s">
        <v>491</v>
      </c>
      <c r="E145" s="27"/>
      <c r="F145" s="27"/>
    </row>
    <row r="146" spans="1:9" ht="16.5" hidden="1" customHeight="1" x14ac:dyDescent="0.3">
      <c r="A146" s="25" t="s">
        <v>531</v>
      </c>
      <c r="B146" s="27"/>
      <c r="C146" s="27"/>
      <c r="D146" s="27"/>
      <c r="E146" s="27"/>
      <c r="F146" s="27"/>
    </row>
    <row r="147" spans="1:9" ht="17.25" hidden="1" customHeight="1" thickBot="1" x14ac:dyDescent="0.35">
      <c r="A147" s="13" t="s">
        <v>495</v>
      </c>
      <c r="B147" s="12"/>
      <c r="C147" s="16">
        <v>-5.1374000000000004</v>
      </c>
      <c r="D147" s="2">
        <v>0.18579999999999999</v>
      </c>
      <c r="E147" s="16">
        <v>-27.65</v>
      </c>
      <c r="F147" s="2" t="s">
        <v>482</v>
      </c>
    </row>
    <row r="148" spans="1:9" ht="17.25" hidden="1" customHeight="1" thickBot="1" x14ac:dyDescent="0.35">
      <c r="A148" s="13" t="s">
        <v>28</v>
      </c>
      <c r="B148" s="12">
        <v>2</v>
      </c>
      <c r="C148" s="2">
        <v>0.43809999999999999</v>
      </c>
      <c r="D148" s="2">
        <v>0.23150000000000001</v>
      </c>
      <c r="E148" s="2">
        <v>1.89</v>
      </c>
      <c r="F148" s="2">
        <v>5.8599999999999999E-2</v>
      </c>
    </row>
    <row r="149" spans="1:9" ht="17.25" hidden="1" customHeight="1" thickBot="1" x14ac:dyDescent="0.35">
      <c r="A149" s="13" t="s">
        <v>28</v>
      </c>
      <c r="B149" s="12">
        <v>3</v>
      </c>
      <c r="C149" s="2">
        <v>0.81899999999999995</v>
      </c>
      <c r="D149" s="2">
        <v>0.2117</v>
      </c>
      <c r="E149" s="2">
        <v>3.87</v>
      </c>
      <c r="F149" s="2">
        <v>1E-4</v>
      </c>
    </row>
    <row r="150" spans="1:9" ht="16.5" hidden="1" customHeight="1" x14ac:dyDescent="0.3">
      <c r="A150" s="14" t="s">
        <v>28</v>
      </c>
      <c r="B150" s="15">
        <v>4</v>
      </c>
      <c r="C150" s="2">
        <v>1.0375000000000001</v>
      </c>
      <c r="D150" s="2">
        <v>0.20899999999999999</v>
      </c>
      <c r="E150" s="2">
        <v>4.96</v>
      </c>
      <c r="F150" s="2" t="s">
        <v>482</v>
      </c>
    </row>
    <row r="151" spans="1:9" ht="16.5" hidden="1" customHeight="1" thickBot="1" x14ac:dyDescent="0.35"/>
    <row r="152" spans="1:9" ht="16.5" hidden="1" customHeight="1" x14ac:dyDescent="0.3">
      <c r="A152" s="24" t="s">
        <v>496</v>
      </c>
      <c r="B152" s="26"/>
      <c r="C152" s="26"/>
      <c r="D152" s="26"/>
    </row>
    <row r="153" spans="1:9" ht="33" hidden="1" customHeight="1" x14ac:dyDescent="0.3">
      <c r="A153" s="6" t="s">
        <v>486</v>
      </c>
      <c r="B153" s="3" t="s">
        <v>497</v>
      </c>
      <c r="C153" s="27" t="s">
        <v>91</v>
      </c>
      <c r="D153" s="27"/>
    </row>
    <row r="154" spans="1:9" ht="49.5" hidden="1" customHeight="1" x14ac:dyDescent="0.3">
      <c r="A154" s="25" t="s">
        <v>532</v>
      </c>
      <c r="B154" s="27"/>
      <c r="C154" s="27"/>
      <c r="D154" s="27"/>
    </row>
    <row r="155" spans="1:9" ht="26.25" thickBot="1" x14ac:dyDescent="0.35">
      <c r="A155" s="13" t="s">
        <v>525</v>
      </c>
      <c r="B155" s="2">
        <v>1.55</v>
      </c>
      <c r="C155" s="2">
        <v>0.98399999999999999</v>
      </c>
      <c r="D155" s="2">
        <v>2.44</v>
      </c>
      <c r="H155" s="8" t="str">
        <f t="shared" ref="H155:H157" si="2">TEXT(B155,"0.00")&amp;" ("&amp;TEXT(C155,"0.00")&amp;" to "&amp;TEXT(D155,"0.00")&amp;")"</f>
        <v>1.55 (0.98 to 2.44)</v>
      </c>
      <c r="I155">
        <f>F148</f>
        <v>5.8599999999999999E-2</v>
      </c>
    </row>
    <row r="156" spans="1:9" ht="26.25" thickBot="1" x14ac:dyDescent="0.35">
      <c r="A156" s="13" t="s">
        <v>526</v>
      </c>
      <c r="B156" s="2">
        <v>2.2679999999999998</v>
      </c>
      <c r="C156" s="2">
        <v>1.498</v>
      </c>
      <c r="D156" s="2">
        <v>3.4350000000000001</v>
      </c>
      <c r="H156" s="8" t="str">
        <f t="shared" si="2"/>
        <v>2.27 (1.50 to 3.44)</v>
      </c>
      <c r="I156">
        <f t="shared" ref="I156:I157" si="3">F149</f>
        <v>1E-4</v>
      </c>
    </row>
    <row r="157" spans="1:9" ht="25.5" x14ac:dyDescent="0.3">
      <c r="A157" s="14" t="s">
        <v>527</v>
      </c>
      <c r="B157" s="2">
        <v>2.8220000000000001</v>
      </c>
      <c r="C157" s="2">
        <v>1.873</v>
      </c>
      <c r="D157" s="2">
        <v>4.2519999999999998</v>
      </c>
      <c r="H157" s="8" t="str">
        <f t="shared" si="2"/>
        <v>2.82 (1.87 to 4.25)</v>
      </c>
      <c r="I157" t="str">
        <f t="shared" si="3"/>
        <v>&lt;.0001</v>
      </c>
    </row>
    <row r="158" spans="1:9" ht="16.5" hidden="1" customHeight="1" thickBot="1" x14ac:dyDescent="0.35"/>
    <row r="159" spans="1:9" ht="33" hidden="1" customHeight="1" x14ac:dyDescent="0.3">
      <c r="A159" s="24" t="s">
        <v>502</v>
      </c>
      <c r="B159" s="26"/>
      <c r="C159" s="26"/>
      <c r="D159" s="26"/>
    </row>
    <row r="160" spans="1:9" ht="39" hidden="1" customHeight="1" thickBot="1" x14ac:dyDescent="0.35">
      <c r="A160" s="13" t="s">
        <v>503</v>
      </c>
      <c r="B160" s="2">
        <v>46</v>
      </c>
      <c r="C160" s="12" t="s">
        <v>504</v>
      </c>
      <c r="D160" s="2">
        <v>0.189</v>
      </c>
    </row>
    <row r="161" spans="1:4" ht="26.25" hidden="1" customHeight="1" thickBot="1" x14ac:dyDescent="0.35">
      <c r="A161" s="13" t="s">
        <v>505</v>
      </c>
      <c r="B161" s="2">
        <v>27.1</v>
      </c>
      <c r="C161" s="12" t="s">
        <v>506</v>
      </c>
      <c r="D161" s="2">
        <v>0.25900000000000001</v>
      </c>
    </row>
    <row r="162" spans="1:4" ht="26.25" hidden="1" customHeight="1" thickBot="1" x14ac:dyDescent="0.35">
      <c r="A162" s="13" t="s">
        <v>507</v>
      </c>
      <c r="B162" s="2">
        <v>26.8</v>
      </c>
      <c r="C162" s="12" t="s">
        <v>508</v>
      </c>
      <c r="D162" s="2">
        <v>5.0000000000000001E-3</v>
      </c>
    </row>
    <row r="163" spans="1:4" ht="16.5" hidden="1" customHeight="1" x14ac:dyDescent="0.3">
      <c r="A163" s="14" t="s">
        <v>509</v>
      </c>
      <c r="B163" s="2">
        <v>14239809</v>
      </c>
      <c r="C163" s="15" t="s">
        <v>510</v>
      </c>
      <c r="D163" s="2">
        <v>0.59499999999999997</v>
      </c>
    </row>
    <row r="164" spans="1:4" ht="16.5" hidden="1" customHeight="1" x14ac:dyDescent="0.3"/>
    <row r="165" spans="1:4" ht="16.5" hidden="1" customHeight="1" x14ac:dyDescent="0.3"/>
    <row r="166" spans="1:4" ht="16.5" hidden="1" customHeight="1" x14ac:dyDescent="0.3"/>
    <row r="167" spans="1:4" ht="16.5" hidden="1" customHeight="1" x14ac:dyDescent="0.3">
      <c r="A167" s="1" t="s">
        <v>436</v>
      </c>
    </row>
    <row r="168" spans="1:4" ht="16.5" hidden="1" customHeight="1" x14ac:dyDescent="0.3"/>
    <row r="169" spans="1:4" ht="16.5" hidden="1" customHeight="1" x14ac:dyDescent="0.3">
      <c r="A169" s="1" t="s">
        <v>396</v>
      </c>
    </row>
    <row r="170" spans="1:4" ht="16.5" hidden="1" customHeight="1" thickBot="1" x14ac:dyDescent="0.35"/>
    <row r="171" spans="1:4" ht="16.5" hidden="1" customHeight="1" x14ac:dyDescent="0.3">
      <c r="A171" s="24" t="s">
        <v>437</v>
      </c>
      <c r="B171" s="26"/>
    </row>
    <row r="172" spans="1:4" ht="26.25" hidden="1" customHeight="1" thickBot="1" x14ac:dyDescent="0.35">
      <c r="A172" s="13" t="s">
        <v>438</v>
      </c>
      <c r="B172" s="18" t="s">
        <v>439</v>
      </c>
    </row>
    <row r="173" spans="1:4" ht="26.25" hidden="1" customHeight="1" thickBot="1" x14ac:dyDescent="0.35">
      <c r="A173" s="13" t="s">
        <v>440</v>
      </c>
      <c r="B173" s="18" t="s">
        <v>19</v>
      </c>
    </row>
    <row r="174" spans="1:4" ht="39" hidden="1" customHeight="1" thickBot="1" x14ac:dyDescent="0.35">
      <c r="A174" s="13" t="s">
        <v>441</v>
      </c>
      <c r="B174" s="18">
        <v>2</v>
      </c>
    </row>
    <row r="175" spans="1:4" ht="26.25" hidden="1" customHeight="1" thickBot="1" x14ac:dyDescent="0.35">
      <c r="A175" s="13" t="s">
        <v>442</v>
      </c>
      <c r="B175" s="18" t="s">
        <v>443</v>
      </c>
    </row>
    <row r="176" spans="1:4" ht="26.25" hidden="1" customHeight="1" thickBot="1" x14ac:dyDescent="0.35">
      <c r="A176" s="13" t="s">
        <v>76</v>
      </c>
      <c r="B176" s="18">
        <v>183</v>
      </c>
    </row>
    <row r="177" spans="1:2" ht="26.25" hidden="1" customHeight="1" thickBot="1" x14ac:dyDescent="0.35">
      <c r="A177" s="13" t="s">
        <v>444</v>
      </c>
      <c r="B177" s="18" t="s">
        <v>445</v>
      </c>
    </row>
    <row r="178" spans="1:2" ht="26.25" hidden="1" customHeight="1" thickBot="1" x14ac:dyDescent="0.35">
      <c r="A178" s="13" t="s">
        <v>77</v>
      </c>
      <c r="B178" s="18">
        <v>2747</v>
      </c>
    </row>
    <row r="179" spans="1:2" ht="26.25" hidden="1" customHeight="1" thickBot="1" x14ac:dyDescent="0.35">
      <c r="A179" s="13" t="s">
        <v>446</v>
      </c>
      <c r="B179" s="18" t="s">
        <v>447</v>
      </c>
    </row>
    <row r="180" spans="1:2" ht="26.25" hidden="1" customHeight="1" thickBot="1" x14ac:dyDescent="0.35">
      <c r="A180" s="13" t="s">
        <v>448</v>
      </c>
      <c r="B180" s="18" t="s">
        <v>449</v>
      </c>
    </row>
    <row r="181" spans="1:2" ht="39" hidden="1" customHeight="1" thickBot="1" x14ac:dyDescent="0.35">
      <c r="A181" s="13" t="s">
        <v>450</v>
      </c>
      <c r="B181" s="18" t="s">
        <v>451</v>
      </c>
    </row>
    <row r="182" spans="1:2" ht="38.25" hidden="1" customHeight="1" x14ac:dyDescent="0.3">
      <c r="A182" s="14" t="s">
        <v>452</v>
      </c>
      <c r="B182" s="19" t="s">
        <v>453</v>
      </c>
    </row>
    <row r="183" spans="1:2" ht="16.5" hidden="1" customHeight="1" thickBot="1" x14ac:dyDescent="0.35"/>
    <row r="184" spans="1:2" ht="33" hidden="1" customHeight="1" x14ac:dyDescent="0.3">
      <c r="A184" s="24" t="s">
        <v>80</v>
      </c>
      <c r="B184" s="26"/>
    </row>
    <row r="185" spans="1:2" ht="33.75" hidden="1" customHeight="1" thickBot="1" x14ac:dyDescent="0.35">
      <c r="A185" s="13" t="s">
        <v>81</v>
      </c>
      <c r="B185" s="2" t="s">
        <v>82</v>
      </c>
    </row>
    <row r="186" spans="1:2" ht="66" hidden="1" customHeight="1" x14ac:dyDescent="0.3">
      <c r="A186" s="14" t="s">
        <v>452</v>
      </c>
      <c r="B186" s="2" t="s">
        <v>453</v>
      </c>
    </row>
    <row r="187" spans="1:2" ht="16.5" hidden="1" customHeight="1" thickBot="1" x14ac:dyDescent="0.35"/>
    <row r="188" spans="1:2" ht="39" hidden="1" customHeight="1" thickBot="1" x14ac:dyDescent="0.35">
      <c r="A188" s="20" t="s">
        <v>454</v>
      </c>
      <c r="B188" s="21">
        <v>14086</v>
      </c>
    </row>
    <row r="189" spans="1:2" ht="39" hidden="1" customHeight="1" thickBot="1" x14ac:dyDescent="0.35">
      <c r="A189" s="13" t="s">
        <v>455</v>
      </c>
      <c r="B189" s="2">
        <v>14086</v>
      </c>
    </row>
    <row r="190" spans="1:2" ht="39" hidden="1" customHeight="1" thickBot="1" x14ac:dyDescent="0.35">
      <c r="A190" s="13" t="s">
        <v>456</v>
      </c>
      <c r="B190" s="2">
        <v>3750032</v>
      </c>
    </row>
    <row r="191" spans="1:2" ht="38.25" hidden="1" customHeight="1" x14ac:dyDescent="0.3">
      <c r="A191" s="14" t="s">
        <v>457</v>
      </c>
      <c r="B191" s="2">
        <v>3750032</v>
      </c>
    </row>
    <row r="192" spans="1:2" ht="16.5" hidden="1" customHeight="1" thickBot="1" x14ac:dyDescent="0.35"/>
    <row r="193" spans="1:5" ht="16.5" hidden="1" customHeight="1" x14ac:dyDescent="0.3">
      <c r="A193" s="24" t="s">
        <v>458</v>
      </c>
      <c r="B193" s="26"/>
      <c r="C193" s="26"/>
      <c r="D193" s="26"/>
    </row>
    <row r="194" spans="1:5" ht="16.5" hidden="1" customHeight="1" x14ac:dyDescent="0.3">
      <c r="A194" s="6" t="s">
        <v>459</v>
      </c>
      <c r="B194" s="27" t="s">
        <v>19</v>
      </c>
      <c r="C194" s="3" t="s">
        <v>93</v>
      </c>
      <c r="D194" s="3" t="s">
        <v>93</v>
      </c>
    </row>
    <row r="195" spans="1:5" ht="33" hidden="1" customHeight="1" x14ac:dyDescent="0.3">
      <c r="A195" s="6" t="s">
        <v>460</v>
      </c>
      <c r="B195" s="27"/>
      <c r="C195" s="3" t="s">
        <v>86</v>
      </c>
      <c r="D195" s="3" t="s">
        <v>461</v>
      </c>
    </row>
    <row r="196" spans="1:5" ht="17.25" hidden="1" customHeight="1" thickBot="1" x14ac:dyDescent="0.35">
      <c r="A196" s="6">
        <v>1</v>
      </c>
      <c r="B196" s="17">
        <v>0</v>
      </c>
      <c r="C196" s="2">
        <v>13325</v>
      </c>
      <c r="D196" s="2">
        <v>3550292.5</v>
      </c>
    </row>
    <row r="197" spans="1:5" ht="16.5" hidden="1" customHeight="1" x14ac:dyDescent="0.3">
      <c r="A197" s="6">
        <v>2</v>
      </c>
      <c r="B197" s="22">
        <v>1</v>
      </c>
      <c r="C197" s="2">
        <v>761</v>
      </c>
      <c r="D197" s="2">
        <v>199739.8</v>
      </c>
    </row>
    <row r="198" spans="1:5" ht="16.5" hidden="1" customHeight="1" x14ac:dyDescent="0.3"/>
    <row r="199" spans="1:5" ht="16.5" hidden="1" customHeight="1" x14ac:dyDescent="0.3">
      <c r="A199" s="1" t="s">
        <v>513</v>
      </c>
    </row>
    <row r="200" spans="1:5" ht="16.5" hidden="1" customHeight="1" thickBot="1" x14ac:dyDescent="0.35"/>
    <row r="201" spans="1:5" ht="16.5" hidden="1" customHeight="1" x14ac:dyDescent="0.3">
      <c r="A201" s="24" t="s">
        <v>462</v>
      </c>
      <c r="B201" s="26"/>
      <c r="C201" s="26"/>
      <c r="D201" s="26"/>
      <c r="E201" s="26"/>
    </row>
    <row r="202" spans="1:5" ht="16.5" hidden="1" customHeight="1" x14ac:dyDescent="0.3">
      <c r="A202" s="6" t="s">
        <v>463</v>
      </c>
      <c r="B202" s="3" t="s">
        <v>460</v>
      </c>
      <c r="C202" s="27" t="s">
        <v>464</v>
      </c>
      <c r="D202" s="27"/>
      <c r="E202" s="27"/>
    </row>
    <row r="203" spans="1:5" ht="17.25" hidden="1" customHeight="1" thickBot="1" x14ac:dyDescent="0.35">
      <c r="A203" s="13" t="s">
        <v>28</v>
      </c>
      <c r="B203" s="12">
        <v>1</v>
      </c>
      <c r="C203" s="2">
        <v>0</v>
      </c>
      <c r="D203" s="2">
        <v>0</v>
      </c>
      <c r="E203" s="2">
        <v>0</v>
      </c>
    </row>
    <row r="204" spans="1:5" ht="17.25" hidden="1" customHeight="1" thickBot="1" x14ac:dyDescent="0.35">
      <c r="A204" s="13"/>
      <c r="B204" s="12">
        <v>2</v>
      </c>
      <c r="C204" s="2">
        <v>1</v>
      </c>
      <c r="D204" s="2">
        <v>0</v>
      </c>
      <c r="E204" s="2">
        <v>0</v>
      </c>
    </row>
    <row r="205" spans="1:5" ht="17.25" hidden="1" customHeight="1" thickBot="1" x14ac:dyDescent="0.35">
      <c r="A205" s="13"/>
      <c r="B205" s="12">
        <v>3</v>
      </c>
      <c r="C205" s="2">
        <v>0</v>
      </c>
      <c r="D205" s="2">
        <v>1</v>
      </c>
      <c r="E205" s="2">
        <v>0</v>
      </c>
    </row>
    <row r="206" spans="1:5" ht="16.5" hidden="1" customHeight="1" x14ac:dyDescent="0.3">
      <c r="A206" s="14"/>
      <c r="B206" s="15">
        <v>4</v>
      </c>
      <c r="C206" s="2">
        <v>0</v>
      </c>
      <c r="D206" s="2">
        <v>0</v>
      </c>
      <c r="E206" s="2">
        <v>1</v>
      </c>
    </row>
    <row r="207" spans="1:5" ht="16.5" hidden="1" customHeight="1" thickBot="1" x14ac:dyDescent="0.35"/>
    <row r="208" spans="1:5" ht="66" hidden="1" customHeight="1" x14ac:dyDescent="0.3">
      <c r="A208" s="4" t="s">
        <v>465</v>
      </c>
    </row>
    <row r="209" spans="1:5" ht="99" hidden="1" customHeight="1" x14ac:dyDescent="0.3">
      <c r="A209" s="23" t="s">
        <v>466</v>
      </c>
    </row>
    <row r="210" spans="1:5" ht="16.5" hidden="1" customHeight="1" thickBot="1" x14ac:dyDescent="0.35"/>
    <row r="211" spans="1:5" ht="16.5" hidden="1" customHeight="1" x14ac:dyDescent="0.3">
      <c r="A211" s="24" t="s">
        <v>467</v>
      </c>
      <c r="B211" s="26"/>
      <c r="C211" s="26"/>
    </row>
    <row r="212" spans="1:5" ht="66" hidden="1" customHeight="1" x14ac:dyDescent="0.3">
      <c r="A212" s="6" t="s">
        <v>468</v>
      </c>
      <c r="B212" s="3" t="s">
        <v>469</v>
      </c>
      <c r="C212" s="3" t="s">
        <v>470</v>
      </c>
    </row>
    <row r="213" spans="1:5" ht="17.25" hidden="1" customHeight="1" thickBot="1" x14ac:dyDescent="0.35">
      <c r="A213" s="13" t="s">
        <v>471</v>
      </c>
      <c r="B213" s="2">
        <v>1560124.3</v>
      </c>
      <c r="C213" s="2">
        <v>1555139.1</v>
      </c>
    </row>
    <row r="214" spans="1:5" ht="17.25" hidden="1" customHeight="1" thickBot="1" x14ac:dyDescent="0.35">
      <c r="A214" s="13" t="s">
        <v>472</v>
      </c>
      <c r="B214" s="2">
        <v>1560137.5</v>
      </c>
      <c r="C214" s="2">
        <v>1555191.6</v>
      </c>
    </row>
    <row r="215" spans="1:5" ht="16.5" hidden="1" customHeight="1" x14ac:dyDescent="0.3">
      <c r="A215" s="14" t="s">
        <v>473</v>
      </c>
      <c r="B215" s="2" t="s">
        <v>619</v>
      </c>
      <c r="C215" s="2">
        <v>1555131.1</v>
      </c>
    </row>
    <row r="216" spans="1:5" ht="16.5" hidden="1" customHeight="1" thickBot="1" x14ac:dyDescent="0.35"/>
    <row r="217" spans="1:5" ht="16.5" hidden="1" customHeight="1" x14ac:dyDescent="0.3">
      <c r="A217" s="24" t="s">
        <v>474</v>
      </c>
      <c r="B217" s="26"/>
      <c r="C217" s="26"/>
      <c r="D217" s="26"/>
      <c r="E217" s="26"/>
    </row>
    <row r="218" spans="1:5" ht="16.5" hidden="1" customHeight="1" x14ac:dyDescent="0.3">
      <c r="A218" s="6" t="s">
        <v>475</v>
      </c>
      <c r="B218" s="3" t="s">
        <v>476</v>
      </c>
      <c r="C218" s="3" t="s">
        <v>477</v>
      </c>
      <c r="D218" s="3" t="s">
        <v>478</v>
      </c>
      <c r="E218" s="3" t="s">
        <v>479</v>
      </c>
    </row>
    <row r="219" spans="1:5" ht="33" hidden="1" customHeight="1" x14ac:dyDescent="0.3">
      <c r="A219" s="25" t="s">
        <v>611</v>
      </c>
      <c r="B219" s="27"/>
      <c r="C219" s="27"/>
      <c r="D219" s="27"/>
      <c r="E219" s="27"/>
    </row>
    <row r="220" spans="1:5" ht="26.25" hidden="1" customHeight="1" thickBot="1" x14ac:dyDescent="0.35">
      <c r="A220" s="13" t="s">
        <v>481</v>
      </c>
      <c r="B220" s="2">
        <v>6.24</v>
      </c>
      <c r="C220" s="2">
        <v>2.9855</v>
      </c>
      <c r="D220" s="2">
        <v>7654.7</v>
      </c>
      <c r="E220" s="2">
        <v>2.9999999999999997E-4</v>
      </c>
    </row>
    <row r="221" spans="1:5" ht="17.25" hidden="1" customHeight="1" thickBot="1" x14ac:dyDescent="0.35">
      <c r="A221" s="13" t="s">
        <v>483</v>
      </c>
      <c r="B221" s="2">
        <v>5.07</v>
      </c>
      <c r="C221" s="2">
        <v>3</v>
      </c>
      <c r="D221" s="2">
        <v>2562</v>
      </c>
      <c r="E221" s="2">
        <v>1.6999999999999999E-3</v>
      </c>
    </row>
    <row r="222" spans="1:5" ht="16.5" hidden="1" customHeight="1" x14ac:dyDescent="0.3">
      <c r="A222" s="14" t="s">
        <v>484</v>
      </c>
      <c r="B222" s="2">
        <v>4.34</v>
      </c>
      <c r="C222" s="2">
        <v>3</v>
      </c>
      <c r="D222" s="2">
        <v>2562</v>
      </c>
      <c r="E222" s="2">
        <v>4.5999999999999999E-3</v>
      </c>
    </row>
    <row r="223" spans="1:5" ht="16.5" hidden="1" customHeight="1" thickBot="1" x14ac:dyDescent="0.35"/>
    <row r="224" spans="1:5" ht="16.5" hidden="1" customHeight="1" x14ac:dyDescent="0.3">
      <c r="A224" s="24" t="s">
        <v>485</v>
      </c>
      <c r="B224" s="26"/>
      <c r="C224" s="26"/>
      <c r="D224" s="26"/>
      <c r="E224" s="26"/>
    </row>
    <row r="225" spans="1:9" ht="16.5" hidden="1" customHeight="1" x14ac:dyDescent="0.3">
      <c r="A225" s="6" t="s">
        <v>486</v>
      </c>
      <c r="B225" s="3" t="s">
        <v>476</v>
      </c>
      <c r="C225" s="3" t="s">
        <v>477</v>
      </c>
      <c r="D225" s="3" t="s">
        <v>478</v>
      </c>
      <c r="E225" s="3" t="s">
        <v>479</v>
      </c>
    </row>
    <row r="226" spans="1:9" ht="16.5" hidden="1" customHeight="1" x14ac:dyDescent="0.3">
      <c r="A226" s="14" t="s">
        <v>28</v>
      </c>
      <c r="B226" s="2">
        <v>4.34</v>
      </c>
      <c r="C226" s="2">
        <v>3</v>
      </c>
      <c r="D226" s="2">
        <v>2562</v>
      </c>
      <c r="E226" s="2">
        <v>4.5999999999999999E-3</v>
      </c>
    </row>
    <row r="227" spans="1:9" ht="16.5" hidden="1" customHeight="1" thickBot="1" x14ac:dyDescent="0.35"/>
    <row r="228" spans="1:9" ht="16.5" hidden="1" customHeight="1" x14ac:dyDescent="0.3">
      <c r="A228" s="24" t="s">
        <v>487</v>
      </c>
      <c r="B228" s="26"/>
      <c r="C228" s="26"/>
      <c r="D228" s="26"/>
      <c r="E228" s="26"/>
      <c r="F228" s="26"/>
    </row>
    <row r="229" spans="1:9" ht="16.5" hidden="1" customHeight="1" x14ac:dyDescent="0.3">
      <c r="A229" s="25" t="s">
        <v>488</v>
      </c>
      <c r="B229" s="27"/>
      <c r="C229" s="27" t="s">
        <v>489</v>
      </c>
      <c r="D229" s="3" t="s">
        <v>490</v>
      </c>
      <c r="E229" s="27" t="s">
        <v>492</v>
      </c>
      <c r="F229" s="27" t="s">
        <v>493</v>
      </c>
    </row>
    <row r="230" spans="1:9" ht="16.5" hidden="1" customHeight="1" x14ac:dyDescent="0.3">
      <c r="A230" s="25"/>
      <c r="B230" s="27"/>
      <c r="C230" s="27"/>
      <c r="D230" s="3" t="s">
        <v>491</v>
      </c>
      <c r="E230" s="27"/>
      <c r="F230" s="27"/>
    </row>
    <row r="231" spans="1:9" ht="16.5" hidden="1" customHeight="1" x14ac:dyDescent="0.3">
      <c r="A231" s="25" t="s">
        <v>533</v>
      </c>
      <c r="B231" s="27"/>
      <c r="C231" s="27"/>
      <c r="D231" s="27"/>
      <c r="E231" s="27"/>
      <c r="F231" s="27"/>
    </row>
    <row r="232" spans="1:9" ht="17.25" hidden="1" customHeight="1" thickBot="1" x14ac:dyDescent="0.35">
      <c r="A232" s="13" t="s">
        <v>495</v>
      </c>
      <c r="B232" s="12"/>
      <c r="C232" s="16">
        <v>-3.2601</v>
      </c>
      <c r="D232" s="2">
        <v>0.14360000000000001</v>
      </c>
      <c r="E232" s="16">
        <v>-22.7</v>
      </c>
      <c r="F232" s="2" t="s">
        <v>482</v>
      </c>
    </row>
    <row r="233" spans="1:9" ht="17.25" hidden="1" customHeight="1" thickBot="1" x14ac:dyDescent="0.35">
      <c r="A233" s="13" t="s">
        <v>28</v>
      </c>
      <c r="B233" s="12">
        <v>2</v>
      </c>
      <c r="C233" s="2">
        <v>0.34870000000000001</v>
      </c>
      <c r="D233" s="2">
        <v>0.17130000000000001</v>
      </c>
      <c r="E233" s="2">
        <v>2.04</v>
      </c>
      <c r="F233" s="2">
        <v>4.19E-2</v>
      </c>
    </row>
    <row r="234" spans="1:9" ht="17.25" hidden="1" customHeight="1" thickBot="1" x14ac:dyDescent="0.35">
      <c r="A234" s="13" t="s">
        <v>28</v>
      </c>
      <c r="B234" s="12">
        <v>3</v>
      </c>
      <c r="C234" s="2">
        <v>0.37319999999999998</v>
      </c>
      <c r="D234" s="2">
        <v>0.16</v>
      </c>
      <c r="E234" s="2">
        <v>2.33</v>
      </c>
      <c r="F234" s="2">
        <v>1.9800000000000002E-2</v>
      </c>
    </row>
    <row r="235" spans="1:9" ht="16.5" hidden="1" customHeight="1" x14ac:dyDescent="0.3">
      <c r="A235" s="14" t="s">
        <v>28</v>
      </c>
      <c r="B235" s="15">
        <v>4</v>
      </c>
      <c r="C235" s="2">
        <v>0.56210000000000004</v>
      </c>
      <c r="D235" s="2">
        <v>0.1618</v>
      </c>
      <c r="E235" s="2">
        <v>3.47</v>
      </c>
      <c r="F235" s="2">
        <v>5.0000000000000001E-4</v>
      </c>
    </row>
    <row r="236" spans="1:9" ht="16.5" hidden="1" customHeight="1" thickBot="1" x14ac:dyDescent="0.35"/>
    <row r="237" spans="1:9" ht="16.5" hidden="1" customHeight="1" x14ac:dyDescent="0.3">
      <c r="A237" s="24" t="s">
        <v>496</v>
      </c>
      <c r="B237" s="26"/>
      <c r="C237" s="26"/>
      <c r="D237" s="26"/>
    </row>
    <row r="238" spans="1:9" ht="33" hidden="1" customHeight="1" x14ac:dyDescent="0.3">
      <c r="A238" s="6" t="s">
        <v>486</v>
      </c>
      <c r="B238" s="3" t="s">
        <v>497</v>
      </c>
      <c r="C238" s="27" t="s">
        <v>91</v>
      </c>
      <c r="D238" s="27"/>
    </row>
    <row r="239" spans="1:9" ht="49.5" hidden="1" customHeight="1" x14ac:dyDescent="0.3">
      <c r="A239" s="25" t="s">
        <v>534</v>
      </c>
      <c r="B239" s="27"/>
      <c r="C239" s="27"/>
      <c r="D239" s="27"/>
    </row>
    <row r="240" spans="1:9" ht="26.25" thickBot="1" x14ac:dyDescent="0.35">
      <c r="A240" s="13" t="s">
        <v>525</v>
      </c>
      <c r="B240" s="2">
        <v>1.417</v>
      </c>
      <c r="C240" s="2">
        <v>1.0129999999999999</v>
      </c>
      <c r="D240" s="2">
        <v>1.9830000000000001</v>
      </c>
      <c r="H240" s="8" t="str">
        <f t="shared" ref="H240:H242" si="4">TEXT(B240,"0.00")&amp;" ("&amp;TEXT(C240,"0.00")&amp;" to "&amp;TEXT(D240,"0.00")&amp;")"</f>
        <v>1.42 (1.01 to 1.98)</v>
      </c>
      <c r="I240">
        <f>F233</f>
        <v>4.19E-2</v>
      </c>
    </row>
    <row r="241" spans="1:9" ht="26.25" thickBot="1" x14ac:dyDescent="0.35">
      <c r="A241" s="13" t="s">
        <v>526</v>
      </c>
      <c r="B241" s="2">
        <v>1.452</v>
      </c>
      <c r="C241" s="2">
        <v>1.0609999999999999</v>
      </c>
      <c r="D241" s="2">
        <v>1.988</v>
      </c>
      <c r="H241" s="8" t="str">
        <f t="shared" si="4"/>
        <v>1.45 (1.06 to 1.99)</v>
      </c>
      <c r="I241">
        <f t="shared" ref="I241:I242" si="5">F234</f>
        <v>1.9800000000000002E-2</v>
      </c>
    </row>
    <row r="242" spans="1:9" ht="25.5" x14ac:dyDescent="0.3">
      <c r="A242" s="14" t="s">
        <v>527</v>
      </c>
      <c r="B242" s="2">
        <v>1.754</v>
      </c>
      <c r="C242" s="2">
        <v>1.2769999999999999</v>
      </c>
      <c r="D242" s="2">
        <v>2.4089999999999998</v>
      </c>
      <c r="H242" s="8" t="str">
        <f t="shared" si="4"/>
        <v>1.75 (1.28 to 2.41)</v>
      </c>
      <c r="I242">
        <f t="shared" si="5"/>
        <v>5.0000000000000001E-4</v>
      </c>
    </row>
    <row r="243" spans="1:9" ht="16.5" hidden="1" customHeight="1" thickBot="1" x14ac:dyDescent="0.35"/>
    <row r="244" spans="1:9" ht="33" hidden="1" customHeight="1" x14ac:dyDescent="0.3">
      <c r="A244" s="24" t="s">
        <v>502</v>
      </c>
      <c r="B244" s="26"/>
      <c r="C244" s="26"/>
      <c r="D244" s="26"/>
    </row>
    <row r="245" spans="1:9" ht="39" hidden="1" customHeight="1" thickBot="1" x14ac:dyDescent="0.35">
      <c r="A245" s="13" t="s">
        <v>503</v>
      </c>
      <c r="B245" s="2">
        <v>41.1</v>
      </c>
      <c r="C245" s="12" t="s">
        <v>504</v>
      </c>
      <c r="D245" s="2">
        <v>9.8000000000000004E-2</v>
      </c>
    </row>
    <row r="246" spans="1:9" ht="26.25" hidden="1" customHeight="1" thickBot="1" x14ac:dyDescent="0.35">
      <c r="A246" s="13" t="s">
        <v>505</v>
      </c>
      <c r="B246" s="2">
        <v>31.3</v>
      </c>
      <c r="C246" s="12" t="s">
        <v>506</v>
      </c>
      <c r="D246" s="2">
        <v>0.13600000000000001</v>
      </c>
    </row>
    <row r="247" spans="1:9" ht="26.25" hidden="1" customHeight="1" thickBot="1" x14ac:dyDescent="0.35">
      <c r="A247" s="13" t="s">
        <v>507</v>
      </c>
      <c r="B247" s="2">
        <v>27.6</v>
      </c>
      <c r="C247" s="12" t="s">
        <v>508</v>
      </c>
      <c r="D247" s="2">
        <v>0.01</v>
      </c>
    </row>
    <row r="248" spans="1:9" ht="16.5" hidden="1" customHeight="1" x14ac:dyDescent="0.3">
      <c r="A248" s="14" t="s">
        <v>509</v>
      </c>
      <c r="B248" s="2">
        <v>10140325</v>
      </c>
      <c r="C248" s="15" t="s">
        <v>510</v>
      </c>
      <c r="D248" s="2">
        <v>0.54900000000000004</v>
      </c>
    </row>
    <row r="249" spans="1:9" ht="16.5" hidden="1" customHeight="1" x14ac:dyDescent="0.3"/>
    <row r="250" spans="1:9" ht="16.5" hidden="1" customHeight="1" x14ac:dyDescent="0.3"/>
    <row r="251" spans="1:9" ht="16.5" hidden="1" customHeight="1" x14ac:dyDescent="0.3"/>
    <row r="252" spans="1:9" ht="16.5" hidden="1" customHeight="1" x14ac:dyDescent="0.3">
      <c r="A252" s="1" t="s">
        <v>436</v>
      </c>
    </row>
    <row r="253" spans="1:9" ht="16.5" hidden="1" customHeight="1" x14ac:dyDescent="0.3"/>
    <row r="254" spans="1:9" ht="16.5" hidden="1" customHeight="1" x14ac:dyDescent="0.3">
      <c r="A254" s="1" t="s">
        <v>397</v>
      </c>
    </row>
    <row r="255" spans="1:9" ht="16.5" hidden="1" customHeight="1" thickBot="1" x14ac:dyDescent="0.35"/>
    <row r="256" spans="1:9" ht="16.5" hidden="1" customHeight="1" x14ac:dyDescent="0.3">
      <c r="A256" s="24" t="s">
        <v>437</v>
      </c>
      <c r="B256" s="26"/>
    </row>
    <row r="257" spans="1:2" ht="26.25" hidden="1" customHeight="1" thickBot="1" x14ac:dyDescent="0.35">
      <c r="A257" s="13" t="s">
        <v>438</v>
      </c>
      <c r="B257" s="18" t="s">
        <v>439</v>
      </c>
    </row>
    <row r="258" spans="1:2" ht="26.25" hidden="1" customHeight="1" thickBot="1" x14ac:dyDescent="0.35">
      <c r="A258" s="13" t="s">
        <v>440</v>
      </c>
      <c r="B258" s="18" t="s">
        <v>19</v>
      </c>
    </row>
    <row r="259" spans="1:2" ht="39" hidden="1" customHeight="1" thickBot="1" x14ac:dyDescent="0.35">
      <c r="A259" s="13" t="s">
        <v>441</v>
      </c>
      <c r="B259" s="18">
        <v>2</v>
      </c>
    </row>
    <row r="260" spans="1:2" ht="26.25" hidden="1" customHeight="1" thickBot="1" x14ac:dyDescent="0.35">
      <c r="A260" s="13" t="s">
        <v>442</v>
      </c>
      <c r="B260" s="18" t="s">
        <v>443</v>
      </c>
    </row>
    <row r="261" spans="1:2" ht="26.25" hidden="1" customHeight="1" thickBot="1" x14ac:dyDescent="0.35">
      <c r="A261" s="13" t="s">
        <v>76</v>
      </c>
      <c r="B261" s="18">
        <v>183</v>
      </c>
    </row>
    <row r="262" spans="1:2" ht="26.25" hidden="1" customHeight="1" thickBot="1" x14ac:dyDescent="0.35">
      <c r="A262" s="13" t="s">
        <v>444</v>
      </c>
      <c r="B262" s="18" t="s">
        <v>445</v>
      </c>
    </row>
    <row r="263" spans="1:2" ht="26.25" hidden="1" customHeight="1" thickBot="1" x14ac:dyDescent="0.35">
      <c r="A263" s="13" t="s">
        <v>77</v>
      </c>
      <c r="B263" s="18">
        <v>2981</v>
      </c>
    </row>
    <row r="264" spans="1:2" ht="26.25" hidden="1" customHeight="1" thickBot="1" x14ac:dyDescent="0.35">
      <c r="A264" s="13" t="s">
        <v>446</v>
      </c>
      <c r="B264" s="18" t="s">
        <v>447</v>
      </c>
    </row>
    <row r="265" spans="1:2" ht="26.25" hidden="1" customHeight="1" thickBot="1" x14ac:dyDescent="0.35">
      <c r="A265" s="13" t="s">
        <v>448</v>
      </c>
      <c r="B265" s="18" t="s">
        <v>449</v>
      </c>
    </row>
    <row r="266" spans="1:2" ht="39" hidden="1" customHeight="1" thickBot="1" x14ac:dyDescent="0.35">
      <c r="A266" s="13" t="s">
        <v>450</v>
      </c>
      <c r="B266" s="18" t="s">
        <v>451</v>
      </c>
    </row>
    <row r="267" spans="1:2" ht="38.25" hidden="1" customHeight="1" x14ac:dyDescent="0.3">
      <c r="A267" s="14" t="s">
        <v>452</v>
      </c>
      <c r="B267" s="19" t="s">
        <v>453</v>
      </c>
    </row>
    <row r="268" spans="1:2" ht="16.5" hidden="1" customHeight="1" thickBot="1" x14ac:dyDescent="0.35"/>
    <row r="269" spans="1:2" ht="33" hidden="1" customHeight="1" x14ac:dyDescent="0.3">
      <c r="A269" s="24" t="s">
        <v>80</v>
      </c>
      <c r="B269" s="26"/>
    </row>
    <row r="270" spans="1:2" ht="33.75" hidden="1" customHeight="1" thickBot="1" x14ac:dyDescent="0.35">
      <c r="A270" s="13" t="s">
        <v>81</v>
      </c>
      <c r="B270" s="2" t="s">
        <v>82</v>
      </c>
    </row>
    <row r="271" spans="1:2" ht="66" hidden="1" customHeight="1" x14ac:dyDescent="0.3">
      <c r="A271" s="14" t="s">
        <v>452</v>
      </c>
      <c r="B271" s="2" t="s">
        <v>453</v>
      </c>
    </row>
    <row r="272" spans="1:2" ht="16.5" hidden="1" customHeight="1" thickBot="1" x14ac:dyDescent="0.35"/>
    <row r="273" spans="1:5" ht="39" hidden="1" customHeight="1" thickBot="1" x14ac:dyDescent="0.35">
      <c r="A273" s="20" t="s">
        <v>454</v>
      </c>
      <c r="B273" s="21">
        <v>33200</v>
      </c>
    </row>
    <row r="274" spans="1:5" ht="39" hidden="1" customHeight="1" thickBot="1" x14ac:dyDescent="0.35">
      <c r="A274" s="13" t="s">
        <v>455</v>
      </c>
      <c r="B274" s="2">
        <v>33200</v>
      </c>
    </row>
    <row r="275" spans="1:5" ht="39" hidden="1" customHeight="1" thickBot="1" x14ac:dyDescent="0.35">
      <c r="A275" s="13" t="s">
        <v>456</v>
      </c>
      <c r="B275" s="2">
        <v>16448830</v>
      </c>
    </row>
    <row r="276" spans="1:5" ht="38.25" hidden="1" customHeight="1" x14ac:dyDescent="0.3">
      <c r="A276" s="14" t="s">
        <v>457</v>
      </c>
      <c r="B276" s="2">
        <v>16448830</v>
      </c>
    </row>
    <row r="277" spans="1:5" ht="16.5" hidden="1" customHeight="1" thickBot="1" x14ac:dyDescent="0.35"/>
    <row r="278" spans="1:5" ht="16.5" hidden="1" customHeight="1" x14ac:dyDescent="0.3">
      <c r="A278" s="24" t="s">
        <v>458</v>
      </c>
      <c r="B278" s="26"/>
      <c r="C278" s="26"/>
      <c r="D278" s="26"/>
    </row>
    <row r="279" spans="1:5" ht="16.5" hidden="1" customHeight="1" x14ac:dyDescent="0.3">
      <c r="A279" s="6" t="s">
        <v>459</v>
      </c>
      <c r="B279" s="27" t="s">
        <v>19</v>
      </c>
      <c r="C279" s="3" t="s">
        <v>93</v>
      </c>
      <c r="D279" s="3" t="s">
        <v>93</v>
      </c>
    </row>
    <row r="280" spans="1:5" ht="33" hidden="1" customHeight="1" x14ac:dyDescent="0.3">
      <c r="A280" s="6" t="s">
        <v>460</v>
      </c>
      <c r="B280" s="27"/>
      <c r="C280" s="3" t="s">
        <v>86</v>
      </c>
      <c r="D280" s="3" t="s">
        <v>461</v>
      </c>
    </row>
    <row r="281" spans="1:5" ht="17.25" hidden="1" customHeight="1" thickBot="1" x14ac:dyDescent="0.35">
      <c r="A281" s="6">
        <v>1</v>
      </c>
      <c r="B281" s="17">
        <v>0</v>
      </c>
      <c r="C281" s="2">
        <v>32509</v>
      </c>
      <c r="D281" s="2">
        <v>16221280</v>
      </c>
    </row>
    <row r="282" spans="1:5" ht="16.5" hidden="1" customHeight="1" x14ac:dyDescent="0.3">
      <c r="A282" s="6">
        <v>2</v>
      </c>
      <c r="B282" s="22">
        <v>1</v>
      </c>
      <c r="C282" s="2">
        <v>691</v>
      </c>
      <c r="D282" s="2">
        <v>227551</v>
      </c>
    </row>
    <row r="283" spans="1:5" ht="16.5" hidden="1" customHeight="1" x14ac:dyDescent="0.3"/>
    <row r="284" spans="1:5" ht="16.5" hidden="1" customHeight="1" x14ac:dyDescent="0.3">
      <c r="A284" s="1" t="s">
        <v>513</v>
      </c>
    </row>
    <row r="285" spans="1:5" ht="16.5" hidden="1" customHeight="1" thickBot="1" x14ac:dyDescent="0.35"/>
    <row r="286" spans="1:5" ht="16.5" hidden="1" customHeight="1" x14ac:dyDescent="0.3">
      <c r="A286" s="24" t="s">
        <v>462</v>
      </c>
      <c r="B286" s="26"/>
      <c r="C286" s="26"/>
      <c r="D286" s="26"/>
      <c r="E286" s="26"/>
    </row>
    <row r="287" spans="1:5" ht="16.5" hidden="1" customHeight="1" x14ac:dyDescent="0.3">
      <c r="A287" s="6" t="s">
        <v>463</v>
      </c>
      <c r="B287" s="3" t="s">
        <v>460</v>
      </c>
      <c r="C287" s="27" t="s">
        <v>464</v>
      </c>
      <c r="D287" s="27"/>
      <c r="E287" s="27"/>
    </row>
    <row r="288" spans="1:5" ht="17.25" hidden="1" customHeight="1" thickBot="1" x14ac:dyDescent="0.35">
      <c r="A288" s="13" t="s">
        <v>28</v>
      </c>
      <c r="B288" s="12">
        <v>1</v>
      </c>
      <c r="C288" s="2">
        <v>0</v>
      </c>
      <c r="D288" s="2">
        <v>0</v>
      </c>
      <c r="E288" s="2">
        <v>0</v>
      </c>
    </row>
    <row r="289" spans="1:5" ht="17.25" hidden="1" customHeight="1" thickBot="1" x14ac:dyDescent="0.35">
      <c r="A289" s="13"/>
      <c r="B289" s="12">
        <v>2</v>
      </c>
      <c r="C289" s="2">
        <v>1</v>
      </c>
      <c r="D289" s="2">
        <v>0</v>
      </c>
      <c r="E289" s="2">
        <v>0</v>
      </c>
    </row>
    <row r="290" spans="1:5" ht="17.25" hidden="1" customHeight="1" thickBot="1" x14ac:dyDescent="0.35">
      <c r="A290" s="13"/>
      <c r="B290" s="12">
        <v>3</v>
      </c>
      <c r="C290" s="2">
        <v>0</v>
      </c>
      <c r="D290" s="2">
        <v>1</v>
      </c>
      <c r="E290" s="2">
        <v>0</v>
      </c>
    </row>
    <row r="291" spans="1:5" ht="16.5" hidden="1" customHeight="1" x14ac:dyDescent="0.3">
      <c r="A291" s="14"/>
      <c r="B291" s="15">
        <v>4</v>
      </c>
      <c r="C291" s="2">
        <v>0</v>
      </c>
      <c r="D291" s="2">
        <v>0</v>
      </c>
      <c r="E291" s="2">
        <v>1</v>
      </c>
    </row>
    <row r="292" spans="1:5" ht="16.5" hidden="1" customHeight="1" thickBot="1" x14ac:dyDescent="0.35"/>
    <row r="293" spans="1:5" ht="66" hidden="1" customHeight="1" x14ac:dyDescent="0.3">
      <c r="A293" s="4" t="s">
        <v>465</v>
      </c>
    </row>
    <row r="294" spans="1:5" ht="99" hidden="1" customHeight="1" x14ac:dyDescent="0.3">
      <c r="A294" s="23" t="s">
        <v>466</v>
      </c>
    </row>
    <row r="295" spans="1:5" ht="16.5" hidden="1" customHeight="1" thickBot="1" x14ac:dyDescent="0.35"/>
    <row r="296" spans="1:5" ht="16.5" hidden="1" customHeight="1" x14ac:dyDescent="0.3">
      <c r="A296" s="24" t="s">
        <v>467</v>
      </c>
      <c r="B296" s="26"/>
      <c r="C296" s="26"/>
    </row>
    <row r="297" spans="1:5" ht="66" hidden="1" customHeight="1" x14ac:dyDescent="0.3">
      <c r="A297" s="6" t="s">
        <v>468</v>
      </c>
      <c r="B297" s="3" t="s">
        <v>469</v>
      </c>
      <c r="C297" s="3" t="s">
        <v>470</v>
      </c>
    </row>
    <row r="298" spans="1:5" ht="17.25" hidden="1" customHeight="1" thickBot="1" x14ac:dyDescent="0.35">
      <c r="A298" s="13" t="s">
        <v>471</v>
      </c>
      <c r="B298" s="2">
        <v>2400063.1</v>
      </c>
      <c r="C298" s="2">
        <v>2393777.2999999998</v>
      </c>
    </row>
    <row r="299" spans="1:5" ht="17.25" hidden="1" customHeight="1" thickBot="1" x14ac:dyDescent="0.35">
      <c r="A299" s="13" t="s">
        <v>472</v>
      </c>
      <c r="B299" s="2">
        <v>2400077.7000000002</v>
      </c>
      <c r="C299" s="2">
        <v>2393835.7999999998</v>
      </c>
    </row>
    <row r="300" spans="1:5" ht="16.5" hidden="1" customHeight="1" x14ac:dyDescent="0.3">
      <c r="A300" s="14" t="s">
        <v>473</v>
      </c>
      <c r="B300" s="2" t="s">
        <v>620</v>
      </c>
      <c r="C300" s="2">
        <v>2393769.2999999998</v>
      </c>
    </row>
    <row r="301" spans="1:5" ht="16.5" hidden="1" customHeight="1" thickBot="1" x14ac:dyDescent="0.35"/>
    <row r="302" spans="1:5" ht="16.5" hidden="1" customHeight="1" x14ac:dyDescent="0.3">
      <c r="A302" s="24" t="s">
        <v>474</v>
      </c>
      <c r="B302" s="26"/>
      <c r="C302" s="26"/>
      <c r="D302" s="26"/>
      <c r="E302" s="26"/>
    </row>
    <row r="303" spans="1:5" ht="16.5" hidden="1" customHeight="1" x14ac:dyDescent="0.3">
      <c r="A303" s="6" t="s">
        <v>475</v>
      </c>
      <c r="B303" s="3" t="s">
        <v>476</v>
      </c>
      <c r="C303" s="3" t="s">
        <v>477</v>
      </c>
      <c r="D303" s="3" t="s">
        <v>478</v>
      </c>
      <c r="E303" s="3" t="s">
        <v>479</v>
      </c>
    </row>
    <row r="304" spans="1:5" ht="33" hidden="1" customHeight="1" x14ac:dyDescent="0.3">
      <c r="A304" s="25" t="s">
        <v>524</v>
      </c>
      <c r="B304" s="27"/>
      <c r="C304" s="27"/>
      <c r="D304" s="27"/>
      <c r="E304" s="27"/>
    </row>
    <row r="305" spans="1:6" ht="26.25" hidden="1" customHeight="1" thickBot="1" x14ac:dyDescent="0.35">
      <c r="A305" s="13" t="s">
        <v>481</v>
      </c>
      <c r="B305" s="2">
        <v>4.26</v>
      </c>
      <c r="C305" s="2">
        <v>2.9864000000000002</v>
      </c>
      <c r="D305" s="2">
        <v>8355.98</v>
      </c>
      <c r="E305" s="2">
        <v>5.1999999999999998E-3</v>
      </c>
    </row>
    <row r="306" spans="1:6" ht="17.25" hidden="1" customHeight="1" thickBot="1" x14ac:dyDescent="0.35">
      <c r="A306" s="13" t="s">
        <v>483</v>
      </c>
      <c r="B306" s="2">
        <v>5.07</v>
      </c>
      <c r="C306" s="2">
        <v>3</v>
      </c>
      <c r="D306" s="2">
        <v>2796</v>
      </c>
      <c r="E306" s="2">
        <v>1.6999999999999999E-3</v>
      </c>
    </row>
    <row r="307" spans="1:6" ht="16.5" hidden="1" customHeight="1" x14ac:dyDescent="0.3">
      <c r="A307" s="14" t="s">
        <v>484</v>
      </c>
      <c r="B307" s="2">
        <v>3.7</v>
      </c>
      <c r="C307" s="2">
        <v>3</v>
      </c>
      <c r="D307" s="2">
        <v>2796</v>
      </c>
      <c r="E307" s="2">
        <v>1.14E-2</v>
      </c>
    </row>
    <row r="308" spans="1:6" ht="16.5" hidden="1" customHeight="1" thickBot="1" x14ac:dyDescent="0.35"/>
    <row r="309" spans="1:6" ht="16.5" hidden="1" customHeight="1" x14ac:dyDescent="0.3">
      <c r="A309" s="24" t="s">
        <v>485</v>
      </c>
      <c r="B309" s="26"/>
      <c r="C309" s="26"/>
      <c r="D309" s="26"/>
      <c r="E309" s="26"/>
    </row>
    <row r="310" spans="1:6" ht="16.5" hidden="1" customHeight="1" x14ac:dyDescent="0.3">
      <c r="A310" s="6" t="s">
        <v>486</v>
      </c>
      <c r="B310" s="3" t="s">
        <v>476</v>
      </c>
      <c r="C310" s="3" t="s">
        <v>477</v>
      </c>
      <c r="D310" s="3" t="s">
        <v>478</v>
      </c>
      <c r="E310" s="3" t="s">
        <v>479</v>
      </c>
    </row>
    <row r="311" spans="1:6" ht="16.5" hidden="1" customHeight="1" x14ac:dyDescent="0.3">
      <c r="A311" s="14" t="s">
        <v>28</v>
      </c>
      <c r="B311" s="2">
        <v>3.7</v>
      </c>
      <c r="C311" s="2">
        <v>3</v>
      </c>
      <c r="D311" s="2">
        <v>2796</v>
      </c>
      <c r="E311" s="2">
        <v>1.14E-2</v>
      </c>
    </row>
    <row r="312" spans="1:6" ht="16.5" hidden="1" customHeight="1" thickBot="1" x14ac:dyDescent="0.35"/>
    <row r="313" spans="1:6" ht="16.5" hidden="1" customHeight="1" x14ac:dyDescent="0.3">
      <c r="A313" s="24" t="s">
        <v>487</v>
      </c>
      <c r="B313" s="26"/>
      <c r="C313" s="26"/>
      <c r="D313" s="26"/>
      <c r="E313" s="26"/>
      <c r="F313" s="26"/>
    </row>
    <row r="314" spans="1:6" ht="16.5" hidden="1" customHeight="1" x14ac:dyDescent="0.3">
      <c r="A314" s="25" t="s">
        <v>488</v>
      </c>
      <c r="B314" s="27"/>
      <c r="C314" s="27" t="s">
        <v>489</v>
      </c>
      <c r="D314" s="3" t="s">
        <v>490</v>
      </c>
      <c r="E314" s="27" t="s">
        <v>492</v>
      </c>
      <c r="F314" s="27" t="s">
        <v>493</v>
      </c>
    </row>
    <row r="315" spans="1:6" ht="16.5" hidden="1" customHeight="1" x14ac:dyDescent="0.3">
      <c r="A315" s="25"/>
      <c r="B315" s="27"/>
      <c r="C315" s="27"/>
      <c r="D315" s="3" t="s">
        <v>491</v>
      </c>
      <c r="E315" s="27"/>
      <c r="F315" s="27"/>
    </row>
    <row r="316" spans="1:6" ht="16.5" hidden="1" customHeight="1" x14ac:dyDescent="0.3">
      <c r="A316" s="25" t="s">
        <v>535</v>
      </c>
      <c r="B316" s="27"/>
      <c r="C316" s="27"/>
      <c r="D316" s="27"/>
      <c r="E316" s="27"/>
      <c r="F316" s="27"/>
    </row>
    <row r="317" spans="1:6" ht="17.25" hidden="1" customHeight="1" thickBot="1" x14ac:dyDescent="0.35">
      <c r="A317" s="13" t="s">
        <v>495</v>
      </c>
      <c r="B317" s="12"/>
      <c r="C317" s="16">
        <v>-4.7134999999999998</v>
      </c>
      <c r="D317" s="2">
        <v>0.15820000000000001</v>
      </c>
      <c r="E317" s="16">
        <v>-29.79</v>
      </c>
      <c r="F317" s="2" t="s">
        <v>482</v>
      </c>
    </row>
    <row r="318" spans="1:6" ht="17.25" hidden="1" customHeight="1" thickBot="1" x14ac:dyDescent="0.35">
      <c r="A318" s="13" t="s">
        <v>28</v>
      </c>
      <c r="B318" s="12">
        <v>2</v>
      </c>
      <c r="C318" s="2">
        <v>0.37019999999999997</v>
      </c>
      <c r="D318" s="2">
        <v>0.1832</v>
      </c>
      <c r="E318" s="2">
        <v>2.02</v>
      </c>
      <c r="F318" s="2">
        <v>4.3400000000000001E-2</v>
      </c>
    </row>
    <row r="319" spans="1:6" ht="17.25" hidden="1" customHeight="1" thickBot="1" x14ac:dyDescent="0.35">
      <c r="A319" s="13" t="s">
        <v>28</v>
      </c>
      <c r="B319" s="12">
        <v>3</v>
      </c>
      <c r="C319" s="2">
        <v>0.53390000000000004</v>
      </c>
      <c r="D319" s="2">
        <v>0.1794</v>
      </c>
      <c r="E319" s="2">
        <v>2.98</v>
      </c>
      <c r="F319" s="2">
        <v>2.8999999999999998E-3</v>
      </c>
    </row>
    <row r="320" spans="1:6" ht="16.5" hidden="1" customHeight="1" x14ac:dyDescent="0.3">
      <c r="A320" s="14" t="s">
        <v>28</v>
      </c>
      <c r="B320" s="15">
        <v>4</v>
      </c>
      <c r="C320" s="2">
        <v>0.55430000000000001</v>
      </c>
      <c r="D320" s="2">
        <v>0.17660000000000001</v>
      </c>
      <c r="E320" s="2">
        <v>3.14</v>
      </c>
      <c r="F320" s="2">
        <v>1.6999999999999999E-3</v>
      </c>
    </row>
    <row r="321" spans="1:9" ht="16.5" hidden="1" customHeight="1" thickBot="1" x14ac:dyDescent="0.35"/>
    <row r="322" spans="1:9" ht="16.5" hidden="1" customHeight="1" x14ac:dyDescent="0.3">
      <c r="A322" s="24" t="s">
        <v>496</v>
      </c>
      <c r="B322" s="26"/>
      <c r="C322" s="26"/>
      <c r="D322" s="26"/>
    </row>
    <row r="323" spans="1:9" ht="33" hidden="1" customHeight="1" x14ac:dyDescent="0.3">
      <c r="A323" s="6" t="s">
        <v>486</v>
      </c>
      <c r="B323" s="3" t="s">
        <v>497</v>
      </c>
      <c r="C323" s="27" t="s">
        <v>91</v>
      </c>
      <c r="D323" s="27"/>
    </row>
    <row r="324" spans="1:9" ht="49.5" hidden="1" customHeight="1" x14ac:dyDescent="0.3">
      <c r="A324" s="25" t="s">
        <v>536</v>
      </c>
      <c r="B324" s="27"/>
      <c r="C324" s="27"/>
      <c r="D324" s="27"/>
    </row>
    <row r="325" spans="1:9" ht="26.25" thickBot="1" x14ac:dyDescent="0.35">
      <c r="A325" s="13" t="s">
        <v>525</v>
      </c>
      <c r="B325" s="2">
        <v>1.448</v>
      </c>
      <c r="C325" s="2">
        <v>1.0109999999999999</v>
      </c>
      <c r="D325" s="2">
        <v>2.0739999999999998</v>
      </c>
      <c r="H325" s="8" t="str">
        <f t="shared" ref="H325:H327" si="6">TEXT(B325,"0.00")&amp;" ("&amp;TEXT(C325,"0.00")&amp;" to "&amp;TEXT(D325,"0.00")&amp;")"</f>
        <v>1.45 (1.01 to 2.07)</v>
      </c>
      <c r="I325">
        <f>F318</f>
        <v>4.3400000000000001E-2</v>
      </c>
    </row>
    <row r="326" spans="1:9" ht="26.25" thickBot="1" x14ac:dyDescent="0.35">
      <c r="A326" s="13" t="s">
        <v>526</v>
      </c>
      <c r="B326" s="2">
        <v>1.706</v>
      </c>
      <c r="C326" s="2">
        <v>1.2</v>
      </c>
      <c r="D326" s="2">
        <v>2.4249999999999998</v>
      </c>
      <c r="H326" s="8" t="str">
        <f t="shared" si="6"/>
        <v>1.71 (1.20 to 2.43)</v>
      </c>
      <c r="I326">
        <f t="shared" ref="I326:I327" si="7">F319</f>
        <v>2.8999999999999998E-3</v>
      </c>
    </row>
    <row r="327" spans="1:9" ht="25.5" x14ac:dyDescent="0.3">
      <c r="A327" s="14" t="s">
        <v>527</v>
      </c>
      <c r="B327" s="2">
        <v>1.7410000000000001</v>
      </c>
      <c r="C327" s="2">
        <v>1.2310000000000001</v>
      </c>
      <c r="D327" s="2">
        <v>2.4609999999999999</v>
      </c>
      <c r="H327" s="8" t="str">
        <f t="shared" si="6"/>
        <v>1.74 (1.23 to 2.46)</v>
      </c>
      <c r="I327">
        <f t="shared" si="7"/>
        <v>1.6999999999999999E-3</v>
      </c>
    </row>
    <row r="328" spans="1:9" ht="16.5" hidden="1" customHeight="1" thickBot="1" x14ac:dyDescent="0.35"/>
    <row r="329" spans="1:9" ht="33" hidden="1" customHeight="1" x14ac:dyDescent="0.3">
      <c r="A329" s="24" t="s">
        <v>502</v>
      </c>
      <c r="B329" s="26"/>
      <c r="C329" s="26"/>
      <c r="D329" s="26"/>
    </row>
    <row r="330" spans="1:9" ht="39" hidden="1" customHeight="1" thickBot="1" x14ac:dyDescent="0.35">
      <c r="A330" s="13" t="s">
        <v>503</v>
      </c>
      <c r="B330" s="2">
        <v>27.9</v>
      </c>
      <c r="C330" s="12" t="s">
        <v>504</v>
      </c>
      <c r="D330" s="2">
        <v>6.4000000000000001E-2</v>
      </c>
    </row>
    <row r="331" spans="1:9" ht="26.25" hidden="1" customHeight="1" thickBot="1" x14ac:dyDescent="0.35">
      <c r="A331" s="13" t="s">
        <v>505</v>
      </c>
      <c r="B331" s="2">
        <v>21.5</v>
      </c>
      <c r="C331" s="12" t="s">
        <v>506</v>
      </c>
      <c r="D331" s="2">
        <v>0.129</v>
      </c>
    </row>
    <row r="332" spans="1:9" ht="26.25" hidden="1" customHeight="1" thickBot="1" x14ac:dyDescent="0.35">
      <c r="A332" s="13" t="s">
        <v>507</v>
      </c>
      <c r="B332" s="2">
        <v>50.5</v>
      </c>
      <c r="C332" s="12" t="s">
        <v>508</v>
      </c>
      <c r="D332" s="2">
        <v>3.0000000000000001E-3</v>
      </c>
    </row>
    <row r="333" spans="1:9" ht="16.5" hidden="1" customHeight="1" x14ac:dyDescent="0.3">
      <c r="A333" s="14" t="s">
        <v>509</v>
      </c>
      <c r="B333" s="2">
        <v>22463719</v>
      </c>
      <c r="C333" s="15" t="s">
        <v>510</v>
      </c>
      <c r="D333" s="2">
        <v>0.53200000000000003</v>
      </c>
    </row>
    <row r="334" spans="1:9" ht="16.5" hidden="1" customHeight="1" x14ac:dyDescent="0.3"/>
    <row r="335" spans="1:9" ht="16.5" hidden="1" customHeight="1" x14ac:dyDescent="0.3"/>
    <row r="336" spans="1:9" ht="16.5" hidden="1" customHeight="1" x14ac:dyDescent="0.3"/>
    <row r="337" spans="1:2" ht="16.5" hidden="1" customHeight="1" x14ac:dyDescent="0.3">
      <c r="A337" s="1" t="s">
        <v>436</v>
      </c>
    </row>
    <row r="338" spans="1:2" ht="16.5" hidden="1" customHeight="1" x14ac:dyDescent="0.3"/>
    <row r="339" spans="1:2" ht="16.5" hidden="1" customHeight="1" x14ac:dyDescent="0.3">
      <c r="A339" s="1" t="s">
        <v>398</v>
      </c>
    </row>
    <row r="340" spans="1:2" ht="16.5" hidden="1" customHeight="1" thickBot="1" x14ac:dyDescent="0.35"/>
    <row r="341" spans="1:2" ht="16.5" hidden="1" customHeight="1" x14ac:dyDescent="0.3">
      <c r="A341" s="24" t="s">
        <v>437</v>
      </c>
      <c r="B341" s="26"/>
    </row>
    <row r="342" spans="1:2" ht="26.25" hidden="1" customHeight="1" thickBot="1" x14ac:dyDescent="0.35">
      <c r="A342" s="13" t="s">
        <v>438</v>
      </c>
      <c r="B342" s="18" t="s">
        <v>439</v>
      </c>
    </row>
    <row r="343" spans="1:2" ht="26.25" hidden="1" customHeight="1" thickBot="1" x14ac:dyDescent="0.35">
      <c r="A343" s="13" t="s">
        <v>440</v>
      </c>
      <c r="B343" s="18" t="s">
        <v>19</v>
      </c>
    </row>
    <row r="344" spans="1:2" ht="39" hidden="1" customHeight="1" thickBot="1" x14ac:dyDescent="0.35">
      <c r="A344" s="13" t="s">
        <v>441</v>
      </c>
      <c r="B344" s="18">
        <v>2</v>
      </c>
    </row>
    <row r="345" spans="1:2" ht="26.25" hidden="1" customHeight="1" thickBot="1" x14ac:dyDescent="0.35">
      <c r="A345" s="13" t="s">
        <v>442</v>
      </c>
      <c r="B345" s="18" t="s">
        <v>443</v>
      </c>
    </row>
    <row r="346" spans="1:2" ht="26.25" hidden="1" customHeight="1" thickBot="1" x14ac:dyDescent="0.35">
      <c r="A346" s="13" t="s">
        <v>76</v>
      </c>
      <c r="B346" s="18">
        <v>183</v>
      </c>
    </row>
    <row r="347" spans="1:2" ht="26.25" hidden="1" customHeight="1" thickBot="1" x14ac:dyDescent="0.35">
      <c r="A347" s="13" t="s">
        <v>444</v>
      </c>
      <c r="B347" s="18" t="s">
        <v>445</v>
      </c>
    </row>
    <row r="348" spans="1:2" ht="26.25" hidden="1" customHeight="1" thickBot="1" x14ac:dyDescent="0.35">
      <c r="A348" s="13" t="s">
        <v>77</v>
      </c>
      <c r="B348" s="18">
        <v>2981</v>
      </c>
    </row>
    <row r="349" spans="1:2" ht="26.25" hidden="1" customHeight="1" thickBot="1" x14ac:dyDescent="0.35">
      <c r="A349" s="13" t="s">
        <v>446</v>
      </c>
      <c r="B349" s="18" t="s">
        <v>447</v>
      </c>
    </row>
    <row r="350" spans="1:2" ht="26.25" hidden="1" customHeight="1" thickBot="1" x14ac:dyDescent="0.35">
      <c r="A350" s="13" t="s">
        <v>448</v>
      </c>
      <c r="B350" s="18" t="s">
        <v>449</v>
      </c>
    </row>
    <row r="351" spans="1:2" ht="39" hidden="1" customHeight="1" thickBot="1" x14ac:dyDescent="0.35">
      <c r="A351" s="13" t="s">
        <v>450</v>
      </c>
      <c r="B351" s="18" t="s">
        <v>451</v>
      </c>
    </row>
    <row r="352" spans="1:2" ht="38.25" hidden="1" customHeight="1" x14ac:dyDescent="0.3">
      <c r="A352" s="14" t="s">
        <v>452</v>
      </c>
      <c r="B352" s="19" t="s">
        <v>453</v>
      </c>
    </row>
    <row r="353" spans="1:4" ht="16.5" hidden="1" customHeight="1" thickBot="1" x14ac:dyDescent="0.35"/>
    <row r="354" spans="1:4" ht="33" hidden="1" customHeight="1" x14ac:dyDescent="0.3">
      <c r="A354" s="24" t="s">
        <v>80</v>
      </c>
      <c r="B354" s="26"/>
    </row>
    <row r="355" spans="1:4" ht="33.75" hidden="1" customHeight="1" thickBot="1" x14ac:dyDescent="0.35">
      <c r="A355" s="13" t="s">
        <v>81</v>
      </c>
      <c r="B355" s="2" t="s">
        <v>82</v>
      </c>
    </row>
    <row r="356" spans="1:4" ht="66" hidden="1" customHeight="1" x14ac:dyDescent="0.3">
      <c r="A356" s="14" t="s">
        <v>452</v>
      </c>
      <c r="B356" s="2" t="s">
        <v>453</v>
      </c>
    </row>
    <row r="357" spans="1:4" ht="16.5" hidden="1" customHeight="1" thickBot="1" x14ac:dyDescent="0.35"/>
    <row r="358" spans="1:4" ht="39" hidden="1" customHeight="1" thickBot="1" x14ac:dyDescent="0.35">
      <c r="A358" s="20" t="s">
        <v>454</v>
      </c>
      <c r="B358" s="21">
        <v>35435</v>
      </c>
    </row>
    <row r="359" spans="1:4" ht="39" hidden="1" customHeight="1" thickBot="1" x14ac:dyDescent="0.35">
      <c r="A359" s="13" t="s">
        <v>455</v>
      </c>
      <c r="B359" s="2">
        <v>35435</v>
      </c>
    </row>
    <row r="360" spans="1:4" ht="39" hidden="1" customHeight="1" thickBot="1" x14ac:dyDescent="0.35">
      <c r="A360" s="13" t="s">
        <v>456</v>
      </c>
      <c r="B360" s="2">
        <v>13803105</v>
      </c>
    </row>
    <row r="361" spans="1:4" ht="38.25" hidden="1" customHeight="1" x14ac:dyDescent="0.3">
      <c r="A361" s="14" t="s">
        <v>457</v>
      </c>
      <c r="B361" s="2">
        <v>13803105</v>
      </c>
    </row>
    <row r="362" spans="1:4" ht="16.5" hidden="1" customHeight="1" thickBot="1" x14ac:dyDescent="0.35"/>
    <row r="363" spans="1:4" ht="16.5" hidden="1" customHeight="1" x14ac:dyDescent="0.3">
      <c r="A363" s="24" t="s">
        <v>458</v>
      </c>
      <c r="B363" s="26"/>
      <c r="C363" s="26"/>
      <c r="D363" s="26"/>
    </row>
    <row r="364" spans="1:4" ht="16.5" hidden="1" customHeight="1" x14ac:dyDescent="0.3">
      <c r="A364" s="6" t="s">
        <v>459</v>
      </c>
      <c r="B364" s="27" t="s">
        <v>19</v>
      </c>
      <c r="C364" s="3" t="s">
        <v>93</v>
      </c>
      <c r="D364" s="3" t="s">
        <v>93</v>
      </c>
    </row>
    <row r="365" spans="1:4" ht="33" hidden="1" customHeight="1" x14ac:dyDescent="0.3">
      <c r="A365" s="6" t="s">
        <v>460</v>
      </c>
      <c r="B365" s="27"/>
      <c r="C365" s="3" t="s">
        <v>86</v>
      </c>
      <c r="D365" s="3" t="s">
        <v>461</v>
      </c>
    </row>
    <row r="366" spans="1:4" ht="17.25" hidden="1" customHeight="1" thickBot="1" x14ac:dyDescent="0.35">
      <c r="A366" s="6">
        <v>1</v>
      </c>
      <c r="B366" s="17">
        <v>0</v>
      </c>
      <c r="C366" s="2">
        <v>34925</v>
      </c>
      <c r="D366" s="2">
        <v>13652911</v>
      </c>
    </row>
    <row r="367" spans="1:4" ht="16.5" hidden="1" customHeight="1" x14ac:dyDescent="0.3">
      <c r="A367" s="6">
        <v>2</v>
      </c>
      <c r="B367" s="22">
        <v>1</v>
      </c>
      <c r="C367" s="2">
        <v>510</v>
      </c>
      <c r="D367" s="2">
        <v>150194</v>
      </c>
    </row>
    <row r="368" spans="1:4" ht="16.5" hidden="1" customHeight="1" x14ac:dyDescent="0.3"/>
    <row r="369" spans="1:5" ht="16.5" hidden="1" customHeight="1" x14ac:dyDescent="0.3">
      <c r="A369" s="1" t="s">
        <v>513</v>
      </c>
    </row>
    <row r="370" spans="1:5" ht="16.5" hidden="1" customHeight="1" thickBot="1" x14ac:dyDescent="0.35"/>
    <row r="371" spans="1:5" ht="16.5" hidden="1" customHeight="1" x14ac:dyDescent="0.3">
      <c r="A371" s="24" t="s">
        <v>462</v>
      </c>
      <c r="B371" s="26"/>
      <c r="C371" s="26"/>
      <c r="D371" s="26"/>
      <c r="E371" s="26"/>
    </row>
    <row r="372" spans="1:5" ht="16.5" hidden="1" customHeight="1" x14ac:dyDescent="0.3">
      <c r="A372" s="6" t="s">
        <v>463</v>
      </c>
      <c r="B372" s="3" t="s">
        <v>460</v>
      </c>
      <c r="C372" s="27" t="s">
        <v>464</v>
      </c>
      <c r="D372" s="27"/>
      <c r="E372" s="27"/>
    </row>
    <row r="373" spans="1:5" ht="17.25" hidden="1" customHeight="1" thickBot="1" x14ac:dyDescent="0.35">
      <c r="A373" s="13" t="s">
        <v>28</v>
      </c>
      <c r="B373" s="12">
        <v>1</v>
      </c>
      <c r="C373" s="2">
        <v>0</v>
      </c>
      <c r="D373" s="2">
        <v>0</v>
      </c>
      <c r="E373" s="2">
        <v>0</v>
      </c>
    </row>
    <row r="374" spans="1:5" ht="17.25" hidden="1" customHeight="1" thickBot="1" x14ac:dyDescent="0.35">
      <c r="A374" s="13"/>
      <c r="B374" s="12">
        <v>2</v>
      </c>
      <c r="C374" s="2">
        <v>1</v>
      </c>
      <c r="D374" s="2">
        <v>0</v>
      </c>
      <c r="E374" s="2">
        <v>0</v>
      </c>
    </row>
    <row r="375" spans="1:5" ht="17.25" hidden="1" customHeight="1" thickBot="1" x14ac:dyDescent="0.35">
      <c r="A375" s="13"/>
      <c r="B375" s="12">
        <v>3</v>
      </c>
      <c r="C375" s="2">
        <v>0</v>
      </c>
      <c r="D375" s="2">
        <v>1</v>
      </c>
      <c r="E375" s="2">
        <v>0</v>
      </c>
    </row>
    <row r="376" spans="1:5" ht="16.5" hidden="1" customHeight="1" x14ac:dyDescent="0.3">
      <c r="A376" s="14"/>
      <c r="B376" s="15">
        <v>4</v>
      </c>
      <c r="C376" s="2">
        <v>0</v>
      </c>
      <c r="D376" s="2">
        <v>0</v>
      </c>
      <c r="E376" s="2">
        <v>1</v>
      </c>
    </row>
    <row r="377" spans="1:5" ht="16.5" hidden="1" customHeight="1" thickBot="1" x14ac:dyDescent="0.35"/>
    <row r="378" spans="1:5" ht="66" hidden="1" customHeight="1" x14ac:dyDescent="0.3">
      <c r="A378" s="4" t="s">
        <v>465</v>
      </c>
    </row>
    <row r="379" spans="1:5" ht="99" hidden="1" customHeight="1" x14ac:dyDescent="0.3">
      <c r="A379" s="23" t="s">
        <v>466</v>
      </c>
    </row>
    <row r="380" spans="1:5" ht="16.5" hidden="1" customHeight="1" thickBot="1" x14ac:dyDescent="0.35"/>
    <row r="381" spans="1:5" ht="16.5" hidden="1" customHeight="1" x14ac:dyDescent="0.3">
      <c r="A381" s="24" t="s">
        <v>467</v>
      </c>
      <c r="B381" s="26"/>
      <c r="C381" s="26"/>
    </row>
    <row r="382" spans="1:5" ht="66" hidden="1" customHeight="1" x14ac:dyDescent="0.3">
      <c r="A382" s="6" t="s">
        <v>468</v>
      </c>
      <c r="B382" s="3" t="s">
        <v>469</v>
      </c>
      <c r="C382" s="3" t="s">
        <v>470</v>
      </c>
    </row>
    <row r="383" spans="1:5" ht="17.25" hidden="1" customHeight="1" thickBot="1" x14ac:dyDescent="0.35">
      <c r="A383" s="13" t="s">
        <v>471</v>
      </c>
      <c r="B383" s="2">
        <v>1656723.1</v>
      </c>
      <c r="C383" s="2">
        <v>1589521.8</v>
      </c>
    </row>
    <row r="384" spans="1:5" ht="17.25" hidden="1" customHeight="1" thickBot="1" x14ac:dyDescent="0.35">
      <c r="A384" s="13" t="s">
        <v>472</v>
      </c>
      <c r="B384" s="2">
        <v>1656737.6</v>
      </c>
      <c r="C384" s="2">
        <v>1589579.5</v>
      </c>
    </row>
    <row r="385" spans="1:6" ht="16.5" hidden="1" customHeight="1" x14ac:dyDescent="0.3">
      <c r="A385" s="14" t="s">
        <v>473</v>
      </c>
      <c r="B385" s="2" t="s">
        <v>621</v>
      </c>
      <c r="C385" s="2">
        <v>1589513.8</v>
      </c>
    </row>
    <row r="386" spans="1:6" ht="16.5" hidden="1" customHeight="1" thickBot="1" x14ac:dyDescent="0.35"/>
    <row r="387" spans="1:6" ht="16.5" hidden="1" customHeight="1" x14ac:dyDescent="0.3">
      <c r="A387" s="24" t="s">
        <v>474</v>
      </c>
      <c r="B387" s="26"/>
      <c r="C387" s="26"/>
      <c r="D387" s="26"/>
      <c r="E387" s="26"/>
    </row>
    <row r="388" spans="1:6" ht="16.5" hidden="1" customHeight="1" x14ac:dyDescent="0.3">
      <c r="A388" s="6" t="s">
        <v>475</v>
      </c>
      <c r="B388" s="3" t="s">
        <v>476</v>
      </c>
      <c r="C388" s="3" t="s">
        <v>477</v>
      </c>
      <c r="D388" s="3" t="s">
        <v>478</v>
      </c>
      <c r="E388" s="3" t="s">
        <v>479</v>
      </c>
    </row>
    <row r="389" spans="1:6" ht="33" hidden="1" customHeight="1" x14ac:dyDescent="0.3">
      <c r="A389" s="25" t="s">
        <v>600</v>
      </c>
      <c r="B389" s="27"/>
      <c r="C389" s="27"/>
      <c r="D389" s="27"/>
      <c r="E389" s="27"/>
    </row>
    <row r="390" spans="1:6" ht="26.25" hidden="1" customHeight="1" thickBot="1" x14ac:dyDescent="0.35">
      <c r="A390" s="13" t="s">
        <v>481</v>
      </c>
      <c r="B390" s="2">
        <v>57.55</v>
      </c>
      <c r="C390" s="2">
        <v>2.9878</v>
      </c>
      <c r="D390" s="2">
        <v>8359.9500000000007</v>
      </c>
      <c r="E390" s="2" t="s">
        <v>482</v>
      </c>
    </row>
    <row r="391" spans="1:6" ht="17.25" hidden="1" customHeight="1" thickBot="1" x14ac:dyDescent="0.35">
      <c r="A391" s="13" t="s">
        <v>483</v>
      </c>
      <c r="B391" s="2">
        <v>88.1</v>
      </c>
      <c r="C391" s="2">
        <v>3</v>
      </c>
      <c r="D391" s="2">
        <v>2796</v>
      </c>
      <c r="E391" s="2" t="s">
        <v>482</v>
      </c>
    </row>
    <row r="392" spans="1:6" ht="16.5" hidden="1" customHeight="1" x14ac:dyDescent="0.3">
      <c r="A392" s="14" t="s">
        <v>484</v>
      </c>
      <c r="B392" s="2">
        <v>44.75</v>
      </c>
      <c r="C392" s="2">
        <v>3</v>
      </c>
      <c r="D392" s="2">
        <v>2796</v>
      </c>
      <c r="E392" s="2" t="s">
        <v>482</v>
      </c>
    </row>
    <row r="393" spans="1:6" ht="16.5" hidden="1" customHeight="1" thickBot="1" x14ac:dyDescent="0.35"/>
    <row r="394" spans="1:6" ht="16.5" hidden="1" customHeight="1" x14ac:dyDescent="0.3">
      <c r="A394" s="24" t="s">
        <v>485</v>
      </c>
      <c r="B394" s="26"/>
      <c r="C394" s="26"/>
      <c r="D394" s="26"/>
      <c r="E394" s="26"/>
    </row>
    <row r="395" spans="1:6" ht="16.5" hidden="1" customHeight="1" x14ac:dyDescent="0.3">
      <c r="A395" s="6" t="s">
        <v>486</v>
      </c>
      <c r="B395" s="3" t="s">
        <v>476</v>
      </c>
      <c r="C395" s="3" t="s">
        <v>477</v>
      </c>
      <c r="D395" s="3" t="s">
        <v>478</v>
      </c>
      <c r="E395" s="3" t="s">
        <v>479</v>
      </c>
    </row>
    <row r="396" spans="1:6" ht="16.5" hidden="1" customHeight="1" x14ac:dyDescent="0.3">
      <c r="A396" s="14" t="s">
        <v>28</v>
      </c>
      <c r="B396" s="2">
        <v>44.75</v>
      </c>
      <c r="C396" s="2">
        <v>3</v>
      </c>
      <c r="D396" s="2">
        <v>2796</v>
      </c>
      <c r="E396" s="2" t="s">
        <v>482</v>
      </c>
    </row>
    <row r="397" spans="1:6" ht="16.5" hidden="1" customHeight="1" thickBot="1" x14ac:dyDescent="0.35"/>
    <row r="398" spans="1:6" ht="16.5" hidden="1" customHeight="1" x14ac:dyDescent="0.3">
      <c r="A398" s="24" t="s">
        <v>487</v>
      </c>
      <c r="B398" s="26"/>
      <c r="C398" s="26"/>
      <c r="D398" s="26"/>
      <c r="E398" s="26"/>
      <c r="F398" s="26"/>
    </row>
    <row r="399" spans="1:6" ht="16.5" hidden="1" customHeight="1" x14ac:dyDescent="0.3">
      <c r="A399" s="25" t="s">
        <v>488</v>
      </c>
      <c r="B399" s="27"/>
      <c r="C399" s="27" t="s">
        <v>489</v>
      </c>
      <c r="D399" s="3" t="s">
        <v>490</v>
      </c>
      <c r="E399" s="27" t="s">
        <v>492</v>
      </c>
      <c r="F399" s="27" t="s">
        <v>493</v>
      </c>
    </row>
    <row r="400" spans="1:6" ht="16.5" hidden="1" customHeight="1" x14ac:dyDescent="0.3">
      <c r="A400" s="25"/>
      <c r="B400" s="27"/>
      <c r="C400" s="27"/>
      <c r="D400" s="3" t="s">
        <v>491</v>
      </c>
      <c r="E400" s="27"/>
      <c r="F400" s="27"/>
    </row>
    <row r="401" spans="1:9" ht="16.5" hidden="1" customHeight="1" x14ac:dyDescent="0.3">
      <c r="A401" s="25" t="s">
        <v>535</v>
      </c>
      <c r="B401" s="27"/>
      <c r="C401" s="27"/>
      <c r="D401" s="27"/>
      <c r="E401" s="27"/>
      <c r="F401" s="27"/>
    </row>
    <row r="402" spans="1:9" ht="17.25" hidden="1" customHeight="1" thickBot="1" x14ac:dyDescent="0.35">
      <c r="A402" s="13" t="s">
        <v>495</v>
      </c>
      <c r="B402" s="12"/>
      <c r="C402" s="16">
        <v>-5.7432999999999996</v>
      </c>
      <c r="D402" s="2">
        <v>0.16619999999999999</v>
      </c>
      <c r="E402" s="16">
        <v>-34.56</v>
      </c>
      <c r="F402" s="2" t="s">
        <v>482</v>
      </c>
    </row>
    <row r="403" spans="1:9" ht="17.25" hidden="1" customHeight="1" thickBot="1" x14ac:dyDescent="0.35">
      <c r="A403" s="13" t="s">
        <v>28</v>
      </c>
      <c r="B403" s="12">
        <v>2</v>
      </c>
      <c r="C403" s="2">
        <v>1.0628</v>
      </c>
      <c r="D403" s="2">
        <v>0.2039</v>
      </c>
      <c r="E403" s="2">
        <v>5.21</v>
      </c>
      <c r="F403" s="2" t="s">
        <v>482</v>
      </c>
    </row>
    <row r="404" spans="1:9" ht="17.25" hidden="1" customHeight="1" thickBot="1" x14ac:dyDescent="0.35">
      <c r="A404" s="13" t="s">
        <v>28</v>
      </c>
      <c r="B404" s="12">
        <v>3</v>
      </c>
      <c r="C404" s="2">
        <v>1.6752</v>
      </c>
      <c r="D404" s="2">
        <v>0.1893</v>
      </c>
      <c r="E404" s="2">
        <v>8.85</v>
      </c>
      <c r="F404" s="2" t="s">
        <v>482</v>
      </c>
    </row>
    <row r="405" spans="1:9" ht="16.5" hidden="1" customHeight="1" x14ac:dyDescent="0.3">
      <c r="A405" s="14" t="s">
        <v>28</v>
      </c>
      <c r="B405" s="15">
        <v>4</v>
      </c>
      <c r="C405" s="2">
        <v>1.9517</v>
      </c>
      <c r="D405" s="2">
        <v>0.18540000000000001</v>
      </c>
      <c r="E405" s="2">
        <v>10.53</v>
      </c>
      <c r="F405" s="2" t="s">
        <v>482</v>
      </c>
    </row>
    <row r="406" spans="1:9" ht="16.5" hidden="1" customHeight="1" thickBot="1" x14ac:dyDescent="0.35"/>
    <row r="407" spans="1:9" ht="16.5" hidden="1" customHeight="1" x14ac:dyDescent="0.3">
      <c r="A407" s="24" t="s">
        <v>496</v>
      </c>
      <c r="B407" s="26"/>
      <c r="C407" s="26"/>
      <c r="D407" s="26"/>
    </row>
    <row r="408" spans="1:9" ht="33" hidden="1" customHeight="1" x14ac:dyDescent="0.3">
      <c r="A408" s="6" t="s">
        <v>486</v>
      </c>
      <c r="B408" s="3" t="s">
        <v>497</v>
      </c>
      <c r="C408" s="27" t="s">
        <v>91</v>
      </c>
      <c r="D408" s="27"/>
    </row>
    <row r="409" spans="1:9" ht="49.5" hidden="1" customHeight="1" x14ac:dyDescent="0.3">
      <c r="A409" s="25" t="s">
        <v>536</v>
      </c>
      <c r="B409" s="27"/>
      <c r="C409" s="27"/>
      <c r="D409" s="27"/>
    </row>
    <row r="410" spans="1:9" ht="26.25" thickBot="1" x14ac:dyDescent="0.35">
      <c r="A410" s="13" t="s">
        <v>525</v>
      </c>
      <c r="B410" s="2">
        <v>2.8940000000000001</v>
      </c>
      <c r="C410" s="2">
        <v>1.94</v>
      </c>
      <c r="D410" s="2">
        <v>4.3170000000000002</v>
      </c>
      <c r="H410" s="8" t="str">
        <f t="shared" ref="H410:H412" si="8">TEXT(B410,"0.00")&amp;" ("&amp;TEXT(C410,"0.00")&amp;" to "&amp;TEXT(D410,"0.00")&amp;")"</f>
        <v>2.89 (1.94 to 4.32)</v>
      </c>
      <c r="I410" t="str">
        <f>F403</f>
        <v>&lt;.0001</v>
      </c>
    </row>
    <row r="411" spans="1:9" ht="26.25" thickBot="1" x14ac:dyDescent="0.35">
      <c r="A411" s="13" t="s">
        <v>526</v>
      </c>
      <c r="B411" s="2">
        <v>5.34</v>
      </c>
      <c r="C411" s="2">
        <v>3.6840000000000002</v>
      </c>
      <c r="D411" s="2">
        <v>7.74</v>
      </c>
      <c r="H411" s="8" t="str">
        <f t="shared" si="8"/>
        <v>5.34 (3.68 to 7.74)</v>
      </c>
      <c r="I411" t="str">
        <f t="shared" ref="I411:I412" si="9">F404</f>
        <v>&lt;.0001</v>
      </c>
    </row>
    <row r="412" spans="1:9" ht="25.5" x14ac:dyDescent="0.3">
      <c r="A412" s="14" t="s">
        <v>527</v>
      </c>
      <c r="B412" s="2">
        <v>7.0410000000000004</v>
      </c>
      <c r="C412" s="2">
        <v>4.8949999999999996</v>
      </c>
      <c r="D412" s="2">
        <v>10.128</v>
      </c>
      <c r="H412" s="8" t="str">
        <f t="shared" si="8"/>
        <v>7.04 (4.90 to 10.13)</v>
      </c>
      <c r="I412" t="str">
        <f t="shared" si="9"/>
        <v>&lt;.0001</v>
      </c>
    </row>
    <row r="413" spans="1:9" ht="16.5" hidden="1" customHeight="1" thickBot="1" x14ac:dyDescent="0.35"/>
    <row r="414" spans="1:9" ht="33" hidden="1" customHeight="1" x14ac:dyDescent="0.3">
      <c r="A414" s="24" t="s">
        <v>502</v>
      </c>
      <c r="B414" s="26"/>
      <c r="C414" s="26"/>
      <c r="D414" s="26"/>
    </row>
    <row r="415" spans="1:9" ht="39" hidden="1" customHeight="1" thickBot="1" x14ac:dyDescent="0.35">
      <c r="A415" s="13" t="s">
        <v>503</v>
      </c>
      <c r="B415" s="2">
        <v>55.5</v>
      </c>
      <c r="C415" s="12" t="s">
        <v>504</v>
      </c>
      <c r="D415" s="2">
        <v>0.34</v>
      </c>
    </row>
    <row r="416" spans="1:9" ht="26.25" hidden="1" customHeight="1" thickBot="1" x14ac:dyDescent="0.35">
      <c r="A416" s="13" t="s">
        <v>505</v>
      </c>
      <c r="B416" s="2">
        <v>21.5</v>
      </c>
      <c r="C416" s="12" t="s">
        <v>506</v>
      </c>
      <c r="D416" s="2">
        <v>0.441</v>
      </c>
    </row>
    <row r="417" spans="1:4" ht="26.25" hidden="1" customHeight="1" thickBot="1" x14ac:dyDescent="0.35">
      <c r="A417" s="13" t="s">
        <v>507</v>
      </c>
      <c r="B417" s="2">
        <v>23</v>
      </c>
      <c r="C417" s="12" t="s">
        <v>508</v>
      </c>
      <c r="D417" s="2">
        <v>0.01</v>
      </c>
    </row>
    <row r="418" spans="1:4" ht="16.5" hidden="1" customHeight="1" x14ac:dyDescent="0.3">
      <c r="A418" s="14" t="s">
        <v>509</v>
      </c>
      <c r="B418" s="2">
        <v>17811750</v>
      </c>
      <c r="C418" s="15" t="s">
        <v>510</v>
      </c>
      <c r="D418" s="2">
        <v>0.67</v>
      </c>
    </row>
    <row r="419" spans="1:4" ht="16.5" hidden="1" customHeight="1" x14ac:dyDescent="0.3"/>
    <row r="420" spans="1:4" ht="16.5" hidden="1" customHeight="1" x14ac:dyDescent="0.3"/>
    <row r="421" spans="1:4" ht="16.5" hidden="1" customHeight="1" x14ac:dyDescent="0.3"/>
    <row r="422" spans="1:4" ht="16.5" hidden="1" customHeight="1" x14ac:dyDescent="0.3">
      <c r="A422" s="1" t="s">
        <v>436</v>
      </c>
    </row>
    <row r="423" spans="1:4" ht="16.5" hidden="1" customHeight="1" x14ac:dyDescent="0.3"/>
    <row r="424" spans="1:4" ht="16.5" hidden="1" customHeight="1" x14ac:dyDescent="0.3">
      <c r="A424" s="1" t="s">
        <v>399</v>
      </c>
    </row>
    <row r="425" spans="1:4" ht="16.5" hidden="1" customHeight="1" thickBot="1" x14ac:dyDescent="0.35"/>
    <row r="426" spans="1:4" ht="16.5" hidden="1" customHeight="1" x14ac:dyDescent="0.3">
      <c r="A426" s="24" t="s">
        <v>437</v>
      </c>
      <c r="B426" s="26"/>
    </row>
    <row r="427" spans="1:4" ht="26.25" hidden="1" customHeight="1" thickBot="1" x14ac:dyDescent="0.35">
      <c r="A427" s="13" t="s">
        <v>438</v>
      </c>
      <c r="B427" s="18" t="s">
        <v>439</v>
      </c>
    </row>
    <row r="428" spans="1:4" ht="26.25" hidden="1" customHeight="1" thickBot="1" x14ac:dyDescent="0.35">
      <c r="A428" s="13" t="s">
        <v>440</v>
      </c>
      <c r="B428" s="18" t="s">
        <v>19</v>
      </c>
    </row>
    <row r="429" spans="1:4" ht="39" hidden="1" customHeight="1" thickBot="1" x14ac:dyDescent="0.35">
      <c r="A429" s="13" t="s">
        <v>441</v>
      </c>
      <c r="B429" s="18">
        <v>2</v>
      </c>
    </row>
    <row r="430" spans="1:4" ht="26.25" hidden="1" customHeight="1" thickBot="1" x14ac:dyDescent="0.35">
      <c r="A430" s="13" t="s">
        <v>442</v>
      </c>
      <c r="B430" s="18" t="s">
        <v>443</v>
      </c>
    </row>
    <row r="431" spans="1:4" ht="26.25" hidden="1" customHeight="1" thickBot="1" x14ac:dyDescent="0.35">
      <c r="A431" s="13" t="s">
        <v>76</v>
      </c>
      <c r="B431" s="18">
        <v>179</v>
      </c>
    </row>
    <row r="432" spans="1:4" ht="26.25" hidden="1" customHeight="1" thickBot="1" x14ac:dyDescent="0.35">
      <c r="A432" s="13" t="s">
        <v>444</v>
      </c>
      <c r="B432" s="18" t="s">
        <v>445</v>
      </c>
    </row>
    <row r="433" spans="1:4" ht="26.25" hidden="1" customHeight="1" thickBot="1" x14ac:dyDescent="0.35">
      <c r="A433" s="13" t="s">
        <v>77</v>
      </c>
      <c r="B433" s="18">
        <v>2372</v>
      </c>
    </row>
    <row r="434" spans="1:4" ht="26.25" hidden="1" customHeight="1" thickBot="1" x14ac:dyDescent="0.35">
      <c r="A434" s="13" t="s">
        <v>446</v>
      </c>
      <c r="B434" s="18" t="s">
        <v>447</v>
      </c>
    </row>
    <row r="435" spans="1:4" ht="26.25" hidden="1" customHeight="1" thickBot="1" x14ac:dyDescent="0.35">
      <c r="A435" s="13" t="s">
        <v>448</v>
      </c>
      <c r="B435" s="18" t="s">
        <v>449</v>
      </c>
    </row>
    <row r="436" spans="1:4" ht="39" hidden="1" customHeight="1" thickBot="1" x14ac:dyDescent="0.35">
      <c r="A436" s="13" t="s">
        <v>450</v>
      </c>
      <c r="B436" s="18" t="s">
        <v>451</v>
      </c>
    </row>
    <row r="437" spans="1:4" ht="38.25" hidden="1" customHeight="1" x14ac:dyDescent="0.3">
      <c r="A437" s="14" t="s">
        <v>452</v>
      </c>
      <c r="B437" s="19" t="s">
        <v>453</v>
      </c>
    </row>
    <row r="438" spans="1:4" ht="16.5" hidden="1" customHeight="1" thickBot="1" x14ac:dyDescent="0.35"/>
    <row r="439" spans="1:4" ht="33" hidden="1" customHeight="1" x14ac:dyDescent="0.3">
      <c r="A439" s="24" t="s">
        <v>80</v>
      </c>
      <c r="B439" s="26"/>
    </row>
    <row r="440" spans="1:4" ht="33.75" hidden="1" customHeight="1" thickBot="1" x14ac:dyDescent="0.35">
      <c r="A440" s="13" t="s">
        <v>81</v>
      </c>
      <c r="B440" s="2" t="s">
        <v>82</v>
      </c>
    </row>
    <row r="441" spans="1:4" ht="66" hidden="1" customHeight="1" x14ac:dyDescent="0.3">
      <c r="A441" s="14" t="s">
        <v>452</v>
      </c>
      <c r="B441" s="2" t="s">
        <v>453</v>
      </c>
    </row>
    <row r="442" spans="1:4" ht="16.5" hidden="1" customHeight="1" thickBot="1" x14ac:dyDescent="0.35"/>
    <row r="443" spans="1:4" ht="39" hidden="1" customHeight="1" thickBot="1" x14ac:dyDescent="0.35">
      <c r="A443" s="20" t="s">
        <v>454</v>
      </c>
      <c r="B443" s="21">
        <v>55176</v>
      </c>
    </row>
    <row r="444" spans="1:4" ht="39" hidden="1" customHeight="1" thickBot="1" x14ac:dyDescent="0.35">
      <c r="A444" s="13" t="s">
        <v>455</v>
      </c>
      <c r="B444" s="2">
        <v>55176</v>
      </c>
    </row>
    <row r="445" spans="1:4" ht="39" hidden="1" customHeight="1" thickBot="1" x14ac:dyDescent="0.35">
      <c r="A445" s="13" t="s">
        <v>456</v>
      </c>
      <c r="B445" s="2">
        <v>25392078</v>
      </c>
    </row>
    <row r="446" spans="1:4" ht="38.25" hidden="1" customHeight="1" x14ac:dyDescent="0.3">
      <c r="A446" s="14" t="s">
        <v>457</v>
      </c>
      <c r="B446" s="2">
        <v>25392078</v>
      </c>
    </row>
    <row r="447" spans="1:4" ht="16.5" hidden="1" customHeight="1" thickBot="1" x14ac:dyDescent="0.35"/>
    <row r="448" spans="1:4" ht="16.5" hidden="1" customHeight="1" x14ac:dyDescent="0.3">
      <c r="A448" s="24" t="s">
        <v>458</v>
      </c>
      <c r="B448" s="26"/>
      <c r="C448" s="26"/>
      <c r="D448" s="26"/>
    </row>
    <row r="449" spans="1:5" ht="16.5" hidden="1" customHeight="1" x14ac:dyDescent="0.3">
      <c r="A449" s="6" t="s">
        <v>459</v>
      </c>
      <c r="B449" s="27" t="s">
        <v>19</v>
      </c>
      <c r="C449" s="3" t="s">
        <v>93</v>
      </c>
      <c r="D449" s="3" t="s">
        <v>93</v>
      </c>
    </row>
    <row r="450" spans="1:5" ht="33" hidden="1" customHeight="1" x14ac:dyDescent="0.3">
      <c r="A450" s="6" t="s">
        <v>460</v>
      </c>
      <c r="B450" s="27"/>
      <c r="C450" s="3" t="s">
        <v>86</v>
      </c>
      <c r="D450" s="3" t="s">
        <v>461</v>
      </c>
    </row>
    <row r="451" spans="1:5" ht="17.25" hidden="1" customHeight="1" thickBot="1" x14ac:dyDescent="0.35">
      <c r="A451" s="6">
        <v>1</v>
      </c>
      <c r="B451" s="17">
        <v>0</v>
      </c>
      <c r="C451" s="2">
        <v>54269</v>
      </c>
      <c r="D451" s="2">
        <v>25089756</v>
      </c>
    </row>
    <row r="452" spans="1:5" ht="16.5" hidden="1" customHeight="1" x14ac:dyDescent="0.3">
      <c r="A452" s="6">
        <v>2</v>
      </c>
      <c r="B452" s="22">
        <v>1</v>
      </c>
      <c r="C452" s="2">
        <v>907</v>
      </c>
      <c r="D452" s="2">
        <v>302322</v>
      </c>
    </row>
    <row r="453" spans="1:5" ht="16.5" hidden="1" customHeight="1" x14ac:dyDescent="0.3"/>
    <row r="454" spans="1:5" ht="16.5" hidden="1" customHeight="1" x14ac:dyDescent="0.3">
      <c r="A454" s="1" t="s">
        <v>513</v>
      </c>
    </row>
    <row r="455" spans="1:5" ht="16.5" hidden="1" customHeight="1" thickBot="1" x14ac:dyDescent="0.35"/>
    <row r="456" spans="1:5" ht="16.5" hidden="1" customHeight="1" x14ac:dyDescent="0.3">
      <c r="A456" s="24" t="s">
        <v>462</v>
      </c>
      <c r="B456" s="26"/>
      <c r="C456" s="26"/>
      <c r="D456" s="26"/>
      <c r="E456" s="26"/>
    </row>
    <row r="457" spans="1:5" ht="16.5" hidden="1" customHeight="1" x14ac:dyDescent="0.3">
      <c r="A457" s="6" t="s">
        <v>463</v>
      </c>
      <c r="B457" s="3" t="s">
        <v>460</v>
      </c>
      <c r="C457" s="27" t="s">
        <v>464</v>
      </c>
      <c r="D457" s="27"/>
      <c r="E457" s="27"/>
    </row>
    <row r="458" spans="1:5" ht="17.25" hidden="1" customHeight="1" thickBot="1" x14ac:dyDescent="0.35">
      <c r="A458" s="13" t="s">
        <v>28</v>
      </c>
      <c r="B458" s="12">
        <v>1</v>
      </c>
      <c r="C458" s="2">
        <v>0</v>
      </c>
      <c r="D458" s="2">
        <v>0</v>
      </c>
      <c r="E458" s="2">
        <v>0</v>
      </c>
    </row>
    <row r="459" spans="1:5" ht="17.25" hidden="1" customHeight="1" thickBot="1" x14ac:dyDescent="0.35">
      <c r="A459" s="13"/>
      <c r="B459" s="12">
        <v>2</v>
      </c>
      <c r="C459" s="2">
        <v>1</v>
      </c>
      <c r="D459" s="2">
        <v>0</v>
      </c>
      <c r="E459" s="2">
        <v>0</v>
      </c>
    </row>
    <row r="460" spans="1:5" ht="17.25" hidden="1" customHeight="1" thickBot="1" x14ac:dyDescent="0.35">
      <c r="A460" s="13"/>
      <c r="B460" s="12">
        <v>3</v>
      </c>
      <c r="C460" s="2">
        <v>0</v>
      </c>
      <c r="D460" s="2">
        <v>1</v>
      </c>
      <c r="E460" s="2">
        <v>0</v>
      </c>
    </row>
    <row r="461" spans="1:5" ht="16.5" hidden="1" customHeight="1" x14ac:dyDescent="0.3">
      <c r="A461" s="14"/>
      <c r="B461" s="15">
        <v>4</v>
      </c>
      <c r="C461" s="2">
        <v>0</v>
      </c>
      <c r="D461" s="2">
        <v>0</v>
      </c>
      <c r="E461" s="2">
        <v>1</v>
      </c>
    </row>
    <row r="462" spans="1:5" ht="16.5" hidden="1" customHeight="1" thickBot="1" x14ac:dyDescent="0.35"/>
    <row r="463" spans="1:5" ht="66" hidden="1" customHeight="1" x14ac:dyDescent="0.3">
      <c r="A463" s="4" t="s">
        <v>465</v>
      </c>
    </row>
    <row r="464" spans="1:5" ht="99" hidden="1" customHeight="1" x14ac:dyDescent="0.3">
      <c r="A464" s="23" t="s">
        <v>466</v>
      </c>
    </row>
    <row r="465" spans="1:5" ht="16.5" hidden="1" customHeight="1" thickBot="1" x14ac:dyDescent="0.35"/>
    <row r="466" spans="1:5" ht="16.5" hidden="1" customHeight="1" x14ac:dyDescent="0.3">
      <c r="A466" s="24" t="s">
        <v>467</v>
      </c>
      <c r="B466" s="26"/>
      <c r="C466" s="26"/>
    </row>
    <row r="467" spans="1:5" ht="66" hidden="1" customHeight="1" x14ac:dyDescent="0.3">
      <c r="A467" s="6" t="s">
        <v>468</v>
      </c>
      <c r="B467" s="3" t="s">
        <v>469</v>
      </c>
      <c r="C467" s="3" t="s">
        <v>470</v>
      </c>
    </row>
    <row r="468" spans="1:5" ht="17.25" hidden="1" customHeight="1" thickBot="1" x14ac:dyDescent="0.35">
      <c r="A468" s="13" t="s">
        <v>471</v>
      </c>
      <c r="B468" s="2">
        <v>3280032.6</v>
      </c>
      <c r="C468" s="2">
        <v>3219870.1</v>
      </c>
    </row>
    <row r="469" spans="1:5" ht="17.25" hidden="1" customHeight="1" thickBot="1" x14ac:dyDescent="0.35">
      <c r="A469" s="13" t="s">
        <v>472</v>
      </c>
      <c r="B469" s="2">
        <v>3280047.6</v>
      </c>
      <c r="C469" s="2">
        <v>3219930.3</v>
      </c>
    </row>
    <row r="470" spans="1:5" ht="16.5" hidden="1" customHeight="1" x14ac:dyDescent="0.3">
      <c r="A470" s="14" t="s">
        <v>473</v>
      </c>
      <c r="B470" s="2" t="s">
        <v>622</v>
      </c>
      <c r="C470" s="2">
        <v>3219862.1</v>
      </c>
    </row>
    <row r="471" spans="1:5" ht="16.5" hidden="1" customHeight="1" thickBot="1" x14ac:dyDescent="0.35"/>
    <row r="472" spans="1:5" ht="16.5" hidden="1" customHeight="1" x14ac:dyDescent="0.3">
      <c r="A472" s="24" t="s">
        <v>474</v>
      </c>
      <c r="B472" s="26"/>
      <c r="C472" s="26"/>
      <c r="D472" s="26"/>
      <c r="E472" s="26"/>
    </row>
    <row r="473" spans="1:5" ht="16.5" hidden="1" customHeight="1" x14ac:dyDescent="0.3">
      <c r="A473" s="6" t="s">
        <v>475</v>
      </c>
      <c r="B473" s="3" t="s">
        <v>476</v>
      </c>
      <c r="C473" s="3" t="s">
        <v>477</v>
      </c>
      <c r="D473" s="3" t="s">
        <v>478</v>
      </c>
      <c r="E473" s="3" t="s">
        <v>479</v>
      </c>
    </row>
    <row r="474" spans="1:5" ht="33" hidden="1" customHeight="1" x14ac:dyDescent="0.3">
      <c r="A474" s="25" t="s">
        <v>608</v>
      </c>
      <c r="B474" s="27"/>
      <c r="C474" s="27"/>
      <c r="D474" s="27"/>
      <c r="E474" s="27"/>
    </row>
    <row r="475" spans="1:5" ht="26.25" hidden="1" customHeight="1" thickBot="1" x14ac:dyDescent="0.35">
      <c r="A475" s="13" t="s">
        <v>481</v>
      </c>
      <c r="B475" s="2">
        <v>44.13</v>
      </c>
      <c r="C475" s="2">
        <v>2.9828999999999999</v>
      </c>
      <c r="D475" s="2">
        <v>6541.55</v>
      </c>
      <c r="E475" s="2" t="s">
        <v>482</v>
      </c>
    </row>
    <row r="476" spans="1:5" ht="17.25" hidden="1" customHeight="1" thickBot="1" x14ac:dyDescent="0.35">
      <c r="A476" s="13" t="s">
        <v>483</v>
      </c>
      <c r="B476" s="2">
        <v>62.15</v>
      </c>
      <c r="C476" s="2">
        <v>3</v>
      </c>
      <c r="D476" s="2">
        <v>2191</v>
      </c>
      <c r="E476" s="2" t="s">
        <v>482</v>
      </c>
    </row>
    <row r="477" spans="1:5" ht="16.5" hidden="1" customHeight="1" x14ac:dyDescent="0.3">
      <c r="A477" s="14" t="s">
        <v>484</v>
      </c>
      <c r="B477" s="2">
        <v>32.67</v>
      </c>
      <c r="C477" s="2">
        <v>3</v>
      </c>
      <c r="D477" s="2">
        <v>2191</v>
      </c>
      <c r="E477" s="2" t="s">
        <v>482</v>
      </c>
    </row>
    <row r="478" spans="1:5" ht="16.5" hidden="1" customHeight="1" thickBot="1" x14ac:dyDescent="0.35"/>
    <row r="479" spans="1:5" ht="16.5" hidden="1" customHeight="1" x14ac:dyDescent="0.3">
      <c r="A479" s="24" t="s">
        <v>485</v>
      </c>
      <c r="B479" s="26"/>
      <c r="C479" s="26"/>
      <c r="D479" s="26"/>
      <c r="E479" s="26"/>
    </row>
    <row r="480" spans="1:5" ht="16.5" hidden="1" customHeight="1" x14ac:dyDescent="0.3">
      <c r="A480" s="6" t="s">
        <v>486</v>
      </c>
      <c r="B480" s="3" t="s">
        <v>476</v>
      </c>
      <c r="C480" s="3" t="s">
        <v>477</v>
      </c>
      <c r="D480" s="3" t="s">
        <v>478</v>
      </c>
      <c r="E480" s="3" t="s">
        <v>479</v>
      </c>
    </row>
    <row r="481" spans="1:9" ht="16.5" hidden="1" customHeight="1" x14ac:dyDescent="0.3">
      <c r="A481" s="14" t="s">
        <v>28</v>
      </c>
      <c r="B481" s="2">
        <v>32.67</v>
      </c>
      <c r="C481" s="2">
        <v>3</v>
      </c>
      <c r="D481" s="2">
        <v>2191</v>
      </c>
      <c r="E481" s="2" t="s">
        <v>482</v>
      </c>
    </row>
    <row r="482" spans="1:9" ht="16.5" hidden="1" customHeight="1" thickBot="1" x14ac:dyDescent="0.35"/>
    <row r="483" spans="1:9" ht="16.5" hidden="1" customHeight="1" x14ac:dyDescent="0.3">
      <c r="A483" s="24" t="s">
        <v>487</v>
      </c>
      <c r="B483" s="26"/>
      <c r="C483" s="26"/>
      <c r="D483" s="26"/>
      <c r="E483" s="26"/>
      <c r="F483" s="26"/>
    </row>
    <row r="484" spans="1:9" ht="16.5" hidden="1" customHeight="1" x14ac:dyDescent="0.3">
      <c r="A484" s="25" t="s">
        <v>488</v>
      </c>
      <c r="B484" s="27"/>
      <c r="C484" s="27" t="s">
        <v>489</v>
      </c>
      <c r="D484" s="3" t="s">
        <v>490</v>
      </c>
      <c r="E484" s="27" t="s">
        <v>492</v>
      </c>
      <c r="F484" s="27" t="s">
        <v>493</v>
      </c>
    </row>
    <row r="485" spans="1:9" ht="16.5" hidden="1" customHeight="1" x14ac:dyDescent="0.3">
      <c r="A485" s="25"/>
      <c r="B485" s="27"/>
      <c r="C485" s="27"/>
      <c r="D485" s="3" t="s">
        <v>491</v>
      </c>
      <c r="E485" s="27"/>
      <c r="F485" s="27"/>
    </row>
    <row r="486" spans="1:9" ht="16.5" hidden="1" customHeight="1" x14ac:dyDescent="0.3">
      <c r="A486" s="25" t="s">
        <v>539</v>
      </c>
      <c r="B486" s="27"/>
      <c r="C486" s="27"/>
      <c r="D486" s="27"/>
      <c r="E486" s="27"/>
      <c r="F486" s="27"/>
    </row>
    <row r="487" spans="1:9" ht="17.25" hidden="1" customHeight="1" thickBot="1" x14ac:dyDescent="0.35">
      <c r="A487" s="13" t="s">
        <v>495</v>
      </c>
      <c r="B487" s="12"/>
      <c r="C487" s="16">
        <v>-5.3929999999999998</v>
      </c>
      <c r="D487" s="2">
        <v>0.1323</v>
      </c>
      <c r="E487" s="16">
        <v>-40.76</v>
      </c>
      <c r="F487" s="2" t="s">
        <v>482</v>
      </c>
    </row>
    <row r="488" spans="1:9" ht="17.25" hidden="1" customHeight="1" thickBot="1" x14ac:dyDescent="0.35">
      <c r="A488" s="13" t="s">
        <v>28</v>
      </c>
      <c r="B488" s="12">
        <v>2</v>
      </c>
      <c r="C488" s="2">
        <v>0.78069999999999995</v>
      </c>
      <c r="D488" s="2">
        <v>0.157</v>
      </c>
      <c r="E488" s="2">
        <v>4.97</v>
      </c>
      <c r="F488" s="2" t="s">
        <v>482</v>
      </c>
    </row>
    <row r="489" spans="1:9" ht="17.25" hidden="1" customHeight="1" thickBot="1" x14ac:dyDescent="0.35">
      <c r="A489" s="13" t="s">
        <v>28</v>
      </c>
      <c r="B489" s="12">
        <v>3</v>
      </c>
      <c r="C489" s="2">
        <v>1.2585999999999999</v>
      </c>
      <c r="D489" s="2">
        <v>0.1472</v>
      </c>
      <c r="E489" s="2">
        <v>8.5500000000000007</v>
      </c>
      <c r="F489" s="2" t="s">
        <v>482</v>
      </c>
    </row>
    <row r="490" spans="1:9" ht="16.5" hidden="1" customHeight="1" x14ac:dyDescent="0.3">
      <c r="A490" s="14" t="s">
        <v>28</v>
      </c>
      <c r="B490" s="15">
        <v>4</v>
      </c>
      <c r="C490" s="2">
        <v>1.3399000000000001</v>
      </c>
      <c r="D490" s="2">
        <v>0.15029999999999999</v>
      </c>
      <c r="E490" s="2">
        <v>8.91</v>
      </c>
      <c r="F490" s="2" t="s">
        <v>482</v>
      </c>
    </row>
    <row r="491" spans="1:9" ht="16.5" hidden="1" customHeight="1" thickBot="1" x14ac:dyDescent="0.35"/>
    <row r="492" spans="1:9" ht="16.5" hidden="1" customHeight="1" x14ac:dyDescent="0.3">
      <c r="A492" s="24" t="s">
        <v>496</v>
      </c>
      <c r="B492" s="26"/>
      <c r="C492" s="26"/>
      <c r="D492" s="26"/>
    </row>
    <row r="493" spans="1:9" ht="33" hidden="1" customHeight="1" x14ac:dyDescent="0.3">
      <c r="A493" s="6" t="s">
        <v>486</v>
      </c>
      <c r="B493" s="3" t="s">
        <v>497</v>
      </c>
      <c r="C493" s="27" t="s">
        <v>91</v>
      </c>
      <c r="D493" s="27"/>
    </row>
    <row r="494" spans="1:9" ht="49.5" hidden="1" customHeight="1" x14ac:dyDescent="0.3">
      <c r="A494" s="25" t="s">
        <v>540</v>
      </c>
      <c r="B494" s="27"/>
      <c r="C494" s="27"/>
      <c r="D494" s="27"/>
    </row>
    <row r="495" spans="1:9" ht="26.25" thickBot="1" x14ac:dyDescent="0.35">
      <c r="A495" s="13" t="s">
        <v>525</v>
      </c>
      <c r="B495" s="2">
        <v>2.1829999999999998</v>
      </c>
      <c r="C495" s="2">
        <v>1.605</v>
      </c>
      <c r="D495" s="2">
        <v>2.97</v>
      </c>
      <c r="H495" s="8" t="str">
        <f t="shared" ref="H495:H497" si="10">TEXT(B495,"0.00")&amp;" ("&amp;TEXT(C495,"0.00")&amp;" to "&amp;TEXT(D495,"0.00")&amp;")"</f>
        <v>2.18 (1.61 to 2.97)</v>
      </c>
      <c r="I495" t="str">
        <f>F488</f>
        <v>&lt;.0001</v>
      </c>
    </row>
    <row r="496" spans="1:9" ht="26.25" thickBot="1" x14ac:dyDescent="0.35">
      <c r="A496" s="13" t="s">
        <v>526</v>
      </c>
      <c r="B496" s="2">
        <v>3.52</v>
      </c>
      <c r="C496" s="2">
        <v>2.6379999999999999</v>
      </c>
      <c r="D496" s="2">
        <v>4.6989999999999998</v>
      </c>
      <c r="H496" s="8" t="str">
        <f t="shared" si="10"/>
        <v>3.52 (2.64 to 4.70)</v>
      </c>
      <c r="I496" t="str">
        <f t="shared" ref="I496:I497" si="11">F489</f>
        <v>&lt;.0001</v>
      </c>
    </row>
    <row r="497" spans="1:9" ht="25.5" x14ac:dyDescent="0.3">
      <c r="A497" s="14" t="s">
        <v>527</v>
      </c>
      <c r="B497" s="2">
        <v>3.819</v>
      </c>
      <c r="C497" s="2">
        <v>2.8439999999999999</v>
      </c>
      <c r="D497" s="2">
        <v>5.1280000000000001</v>
      </c>
      <c r="H497" s="8" t="str">
        <f t="shared" si="10"/>
        <v>3.82 (2.84 to 5.13)</v>
      </c>
      <c r="I497" t="str">
        <f t="shared" si="11"/>
        <v>&lt;.0001</v>
      </c>
    </row>
    <row r="498" spans="1:9" ht="16.5" hidden="1" customHeight="1" thickBot="1" x14ac:dyDescent="0.35"/>
    <row r="499" spans="1:9" ht="33" hidden="1" customHeight="1" x14ac:dyDescent="0.3">
      <c r="A499" s="24" t="s">
        <v>502</v>
      </c>
      <c r="B499" s="26"/>
      <c r="C499" s="26"/>
      <c r="D499" s="26"/>
    </row>
    <row r="500" spans="1:9" ht="39" hidden="1" customHeight="1" thickBot="1" x14ac:dyDescent="0.35">
      <c r="A500" s="13" t="s">
        <v>503</v>
      </c>
      <c r="B500" s="2">
        <v>49.4</v>
      </c>
      <c r="C500" s="12" t="s">
        <v>504</v>
      </c>
      <c r="D500" s="2">
        <v>0.24</v>
      </c>
    </row>
    <row r="501" spans="1:9" ht="26.25" hidden="1" customHeight="1" thickBot="1" x14ac:dyDescent="0.35">
      <c r="A501" s="13" t="s">
        <v>505</v>
      </c>
      <c r="B501" s="2">
        <v>25.4</v>
      </c>
      <c r="C501" s="12" t="s">
        <v>506</v>
      </c>
      <c r="D501" s="2">
        <v>0.32100000000000001</v>
      </c>
    </row>
    <row r="502" spans="1:9" ht="26.25" hidden="1" customHeight="1" thickBot="1" x14ac:dyDescent="0.35">
      <c r="A502" s="13" t="s">
        <v>507</v>
      </c>
      <c r="B502" s="2">
        <v>25.2</v>
      </c>
      <c r="C502" s="12" t="s">
        <v>508</v>
      </c>
      <c r="D502" s="2">
        <v>8.0000000000000002E-3</v>
      </c>
    </row>
    <row r="503" spans="1:9" ht="16.5" hidden="1" customHeight="1" x14ac:dyDescent="0.3">
      <c r="A503" s="14" t="s">
        <v>509</v>
      </c>
      <c r="B503" s="2">
        <v>49221983</v>
      </c>
      <c r="C503" s="15" t="s">
        <v>510</v>
      </c>
      <c r="D503" s="2">
        <v>0.62</v>
      </c>
    </row>
    <row r="504" spans="1:9" ht="16.5" hidden="1" customHeight="1" x14ac:dyDescent="0.3"/>
    <row r="505" spans="1:9" ht="16.5" hidden="1" customHeight="1" x14ac:dyDescent="0.3"/>
    <row r="506" spans="1:9" ht="16.5" hidden="1" customHeight="1" x14ac:dyDescent="0.3"/>
    <row r="507" spans="1:9" ht="16.5" hidden="1" customHeight="1" x14ac:dyDescent="0.3">
      <c r="A507" s="1" t="s">
        <v>436</v>
      </c>
    </row>
    <row r="508" spans="1:9" ht="16.5" hidden="1" customHeight="1" x14ac:dyDescent="0.3"/>
    <row r="509" spans="1:9" ht="16.5" hidden="1" customHeight="1" x14ac:dyDescent="0.3">
      <c r="A509" s="1" t="s">
        <v>400</v>
      </c>
    </row>
    <row r="510" spans="1:9" ht="16.5" hidden="1" customHeight="1" thickBot="1" x14ac:dyDescent="0.35"/>
    <row r="511" spans="1:9" ht="16.5" hidden="1" customHeight="1" x14ac:dyDescent="0.3">
      <c r="A511" s="24" t="s">
        <v>437</v>
      </c>
      <c r="B511" s="26"/>
    </row>
    <row r="512" spans="1:9" ht="26.25" hidden="1" customHeight="1" thickBot="1" x14ac:dyDescent="0.35">
      <c r="A512" s="13" t="s">
        <v>438</v>
      </c>
      <c r="B512" s="18" t="s">
        <v>439</v>
      </c>
    </row>
    <row r="513" spans="1:2" ht="26.25" hidden="1" customHeight="1" thickBot="1" x14ac:dyDescent="0.35">
      <c r="A513" s="13" t="s">
        <v>440</v>
      </c>
      <c r="B513" s="18" t="s">
        <v>19</v>
      </c>
    </row>
    <row r="514" spans="1:2" ht="39" hidden="1" customHeight="1" thickBot="1" x14ac:dyDescent="0.35">
      <c r="A514" s="13" t="s">
        <v>441</v>
      </c>
      <c r="B514" s="18">
        <v>2</v>
      </c>
    </row>
    <row r="515" spans="1:2" ht="26.25" hidden="1" customHeight="1" thickBot="1" x14ac:dyDescent="0.35">
      <c r="A515" s="13" t="s">
        <v>442</v>
      </c>
      <c r="B515" s="18" t="s">
        <v>443</v>
      </c>
    </row>
    <row r="516" spans="1:2" ht="26.25" hidden="1" customHeight="1" thickBot="1" x14ac:dyDescent="0.35">
      <c r="A516" s="13" t="s">
        <v>76</v>
      </c>
      <c r="B516" s="18">
        <v>130</v>
      </c>
    </row>
    <row r="517" spans="1:2" ht="26.25" hidden="1" customHeight="1" thickBot="1" x14ac:dyDescent="0.35">
      <c r="A517" s="13" t="s">
        <v>444</v>
      </c>
      <c r="B517" s="18" t="s">
        <v>445</v>
      </c>
    </row>
    <row r="518" spans="1:2" ht="26.25" hidden="1" customHeight="1" thickBot="1" x14ac:dyDescent="0.35">
      <c r="A518" s="13" t="s">
        <v>77</v>
      </c>
      <c r="B518" s="18">
        <v>610</v>
      </c>
    </row>
    <row r="519" spans="1:2" ht="26.25" hidden="1" customHeight="1" thickBot="1" x14ac:dyDescent="0.35">
      <c r="A519" s="13" t="s">
        <v>446</v>
      </c>
      <c r="B519" s="18" t="s">
        <v>447</v>
      </c>
    </row>
    <row r="520" spans="1:2" ht="26.25" hidden="1" customHeight="1" thickBot="1" x14ac:dyDescent="0.35">
      <c r="A520" s="13" t="s">
        <v>448</v>
      </c>
      <c r="B520" s="18" t="s">
        <v>449</v>
      </c>
    </row>
    <row r="521" spans="1:2" ht="39" hidden="1" customHeight="1" thickBot="1" x14ac:dyDescent="0.35">
      <c r="A521" s="13" t="s">
        <v>450</v>
      </c>
      <c r="B521" s="18" t="s">
        <v>451</v>
      </c>
    </row>
    <row r="522" spans="1:2" ht="38.25" hidden="1" customHeight="1" x14ac:dyDescent="0.3">
      <c r="A522" s="14" t="s">
        <v>452</v>
      </c>
      <c r="B522" s="19" t="s">
        <v>453</v>
      </c>
    </row>
    <row r="523" spans="1:2" ht="16.5" hidden="1" customHeight="1" thickBot="1" x14ac:dyDescent="0.35"/>
    <row r="524" spans="1:2" ht="33" hidden="1" customHeight="1" x14ac:dyDescent="0.3">
      <c r="A524" s="24" t="s">
        <v>80</v>
      </c>
      <c r="B524" s="26"/>
    </row>
    <row r="525" spans="1:2" ht="33.75" hidden="1" customHeight="1" thickBot="1" x14ac:dyDescent="0.35">
      <c r="A525" s="13" t="s">
        <v>81</v>
      </c>
      <c r="B525" s="2" t="s">
        <v>82</v>
      </c>
    </row>
    <row r="526" spans="1:2" ht="66" hidden="1" customHeight="1" x14ac:dyDescent="0.3">
      <c r="A526" s="14" t="s">
        <v>452</v>
      </c>
      <c r="B526" s="2" t="s">
        <v>453</v>
      </c>
    </row>
    <row r="527" spans="1:2" ht="16.5" hidden="1" customHeight="1" thickBot="1" x14ac:dyDescent="0.35"/>
    <row r="528" spans="1:2" ht="39" hidden="1" customHeight="1" thickBot="1" x14ac:dyDescent="0.35">
      <c r="A528" s="20" t="s">
        <v>454</v>
      </c>
      <c r="B528" s="21">
        <v>13459</v>
      </c>
    </row>
    <row r="529" spans="1:5" ht="39" hidden="1" customHeight="1" thickBot="1" x14ac:dyDescent="0.35">
      <c r="A529" s="13" t="s">
        <v>455</v>
      </c>
      <c r="B529" s="2">
        <v>13459</v>
      </c>
    </row>
    <row r="530" spans="1:5" ht="39" hidden="1" customHeight="1" thickBot="1" x14ac:dyDescent="0.35">
      <c r="A530" s="13" t="s">
        <v>456</v>
      </c>
      <c r="B530" s="2">
        <v>4859858</v>
      </c>
    </row>
    <row r="531" spans="1:5" ht="38.25" hidden="1" customHeight="1" x14ac:dyDescent="0.3">
      <c r="A531" s="14" t="s">
        <v>457</v>
      </c>
      <c r="B531" s="2">
        <v>4859858</v>
      </c>
    </row>
    <row r="532" spans="1:5" ht="16.5" hidden="1" customHeight="1" thickBot="1" x14ac:dyDescent="0.35"/>
    <row r="533" spans="1:5" ht="16.5" hidden="1" customHeight="1" x14ac:dyDescent="0.3">
      <c r="A533" s="24" t="s">
        <v>458</v>
      </c>
      <c r="B533" s="26"/>
      <c r="C533" s="26"/>
      <c r="D533" s="26"/>
    </row>
    <row r="534" spans="1:5" ht="16.5" hidden="1" customHeight="1" x14ac:dyDescent="0.3">
      <c r="A534" s="6" t="s">
        <v>459</v>
      </c>
      <c r="B534" s="27" t="s">
        <v>19</v>
      </c>
      <c r="C534" s="3" t="s">
        <v>93</v>
      </c>
      <c r="D534" s="3" t="s">
        <v>93</v>
      </c>
    </row>
    <row r="535" spans="1:5" ht="33" hidden="1" customHeight="1" x14ac:dyDescent="0.3">
      <c r="A535" s="6" t="s">
        <v>460</v>
      </c>
      <c r="B535" s="27"/>
      <c r="C535" s="3" t="s">
        <v>86</v>
      </c>
      <c r="D535" s="3" t="s">
        <v>461</v>
      </c>
    </row>
    <row r="536" spans="1:5" ht="17.25" hidden="1" customHeight="1" thickBot="1" x14ac:dyDescent="0.35">
      <c r="A536" s="6">
        <v>1</v>
      </c>
      <c r="B536" s="17">
        <v>0</v>
      </c>
      <c r="C536" s="2">
        <v>13165</v>
      </c>
      <c r="D536" s="2">
        <v>4784435.3</v>
      </c>
    </row>
    <row r="537" spans="1:5" ht="16.5" hidden="1" customHeight="1" x14ac:dyDescent="0.3">
      <c r="A537" s="6">
        <v>2</v>
      </c>
      <c r="B537" s="22">
        <v>1</v>
      </c>
      <c r="C537" s="2">
        <v>294</v>
      </c>
      <c r="D537" s="2">
        <v>75422.399999999994</v>
      </c>
    </row>
    <row r="538" spans="1:5" ht="16.5" hidden="1" customHeight="1" x14ac:dyDescent="0.3"/>
    <row r="539" spans="1:5" ht="16.5" hidden="1" customHeight="1" x14ac:dyDescent="0.3">
      <c r="A539" s="1" t="s">
        <v>513</v>
      </c>
    </row>
    <row r="540" spans="1:5" ht="16.5" hidden="1" customHeight="1" thickBot="1" x14ac:dyDescent="0.35"/>
    <row r="541" spans="1:5" ht="16.5" hidden="1" customHeight="1" x14ac:dyDescent="0.3">
      <c r="A541" s="24" t="s">
        <v>462</v>
      </c>
      <c r="B541" s="26"/>
      <c r="C541" s="26"/>
      <c r="D541" s="26"/>
      <c r="E541" s="26"/>
    </row>
    <row r="542" spans="1:5" ht="16.5" hidden="1" customHeight="1" x14ac:dyDescent="0.3">
      <c r="A542" s="6" t="s">
        <v>463</v>
      </c>
      <c r="B542" s="3" t="s">
        <v>460</v>
      </c>
      <c r="C542" s="27" t="s">
        <v>464</v>
      </c>
      <c r="D542" s="27"/>
      <c r="E542" s="27"/>
    </row>
    <row r="543" spans="1:5" ht="17.25" hidden="1" customHeight="1" thickBot="1" x14ac:dyDescent="0.35">
      <c r="A543" s="13" t="s">
        <v>28</v>
      </c>
      <c r="B543" s="12">
        <v>1</v>
      </c>
      <c r="C543" s="2">
        <v>0</v>
      </c>
      <c r="D543" s="2">
        <v>0</v>
      </c>
      <c r="E543" s="2">
        <v>0</v>
      </c>
    </row>
    <row r="544" spans="1:5" ht="17.25" hidden="1" customHeight="1" thickBot="1" x14ac:dyDescent="0.35">
      <c r="A544" s="13"/>
      <c r="B544" s="12">
        <v>2</v>
      </c>
      <c r="C544" s="2">
        <v>1</v>
      </c>
      <c r="D544" s="2">
        <v>0</v>
      </c>
      <c r="E544" s="2">
        <v>0</v>
      </c>
    </row>
    <row r="545" spans="1:5" ht="17.25" hidden="1" customHeight="1" thickBot="1" x14ac:dyDescent="0.35">
      <c r="A545" s="13"/>
      <c r="B545" s="12">
        <v>3</v>
      </c>
      <c r="C545" s="2">
        <v>0</v>
      </c>
      <c r="D545" s="2">
        <v>1</v>
      </c>
      <c r="E545" s="2">
        <v>0</v>
      </c>
    </row>
    <row r="546" spans="1:5" ht="16.5" hidden="1" customHeight="1" x14ac:dyDescent="0.3">
      <c r="A546" s="14"/>
      <c r="B546" s="15">
        <v>4</v>
      </c>
      <c r="C546" s="2">
        <v>0</v>
      </c>
      <c r="D546" s="2">
        <v>0</v>
      </c>
      <c r="E546" s="2">
        <v>1</v>
      </c>
    </row>
    <row r="547" spans="1:5" ht="16.5" hidden="1" customHeight="1" thickBot="1" x14ac:dyDescent="0.35"/>
    <row r="548" spans="1:5" ht="66" hidden="1" customHeight="1" x14ac:dyDescent="0.3">
      <c r="A548" s="4" t="s">
        <v>465</v>
      </c>
    </row>
    <row r="549" spans="1:5" ht="99" hidden="1" customHeight="1" x14ac:dyDescent="0.3">
      <c r="A549" s="23" t="s">
        <v>466</v>
      </c>
    </row>
    <row r="550" spans="1:5" ht="16.5" hidden="1" customHeight="1" thickBot="1" x14ac:dyDescent="0.35"/>
    <row r="551" spans="1:5" ht="16.5" hidden="1" customHeight="1" x14ac:dyDescent="0.3">
      <c r="A551" s="24" t="s">
        <v>467</v>
      </c>
      <c r="B551" s="26"/>
      <c r="C551" s="26"/>
    </row>
    <row r="552" spans="1:5" ht="66" hidden="1" customHeight="1" x14ac:dyDescent="0.3">
      <c r="A552" s="6" t="s">
        <v>468</v>
      </c>
      <c r="B552" s="3" t="s">
        <v>469</v>
      </c>
      <c r="C552" s="3" t="s">
        <v>470</v>
      </c>
    </row>
    <row r="553" spans="1:5" ht="17.25" hidden="1" customHeight="1" thickBot="1" x14ac:dyDescent="0.35">
      <c r="A553" s="13" t="s">
        <v>471</v>
      </c>
      <c r="B553" s="2">
        <v>778038.06</v>
      </c>
      <c r="C553" s="2">
        <v>773021.83</v>
      </c>
    </row>
    <row r="554" spans="1:5" ht="17.25" hidden="1" customHeight="1" thickBot="1" x14ac:dyDescent="0.35">
      <c r="A554" s="13" t="s">
        <v>472</v>
      </c>
      <c r="B554" s="2">
        <v>778051.45</v>
      </c>
      <c r="C554" s="2">
        <v>773075.42</v>
      </c>
    </row>
    <row r="555" spans="1:5" ht="16.5" hidden="1" customHeight="1" x14ac:dyDescent="0.3">
      <c r="A555" s="14" t="s">
        <v>473</v>
      </c>
      <c r="B555" s="2" t="s">
        <v>623</v>
      </c>
      <c r="C555" s="2">
        <v>773013.83</v>
      </c>
    </row>
    <row r="556" spans="1:5" ht="16.5" hidden="1" customHeight="1" thickBot="1" x14ac:dyDescent="0.35"/>
    <row r="557" spans="1:5" ht="16.5" hidden="1" customHeight="1" x14ac:dyDescent="0.3">
      <c r="A557" s="24" t="s">
        <v>474</v>
      </c>
      <c r="B557" s="26"/>
      <c r="C557" s="26"/>
      <c r="D557" s="26"/>
      <c r="E557" s="26"/>
    </row>
    <row r="558" spans="1:5" ht="16.5" hidden="1" customHeight="1" x14ac:dyDescent="0.3">
      <c r="A558" s="6" t="s">
        <v>475</v>
      </c>
      <c r="B558" s="3" t="s">
        <v>476</v>
      </c>
      <c r="C558" s="3" t="s">
        <v>477</v>
      </c>
      <c r="D558" s="3" t="s">
        <v>478</v>
      </c>
      <c r="E558" s="3" t="s">
        <v>479</v>
      </c>
    </row>
    <row r="559" spans="1:5" ht="33" hidden="1" customHeight="1" x14ac:dyDescent="0.3">
      <c r="A559" s="25" t="s">
        <v>512</v>
      </c>
      <c r="B559" s="27"/>
      <c r="C559" s="27"/>
      <c r="D559" s="27"/>
      <c r="E559" s="27"/>
    </row>
    <row r="560" spans="1:5" ht="26.25" hidden="1" customHeight="1" thickBot="1" x14ac:dyDescent="0.35">
      <c r="A560" s="13" t="s">
        <v>481</v>
      </c>
      <c r="B560" s="2">
        <v>4.8499999999999996</v>
      </c>
      <c r="C560" s="2">
        <v>2.9857999999999998</v>
      </c>
      <c r="D560" s="2">
        <v>1433.17</v>
      </c>
      <c r="E560" s="2">
        <v>2.3999999999999998E-3</v>
      </c>
    </row>
    <row r="561" spans="1:6" ht="17.25" hidden="1" customHeight="1" thickBot="1" x14ac:dyDescent="0.35">
      <c r="A561" s="13" t="s">
        <v>483</v>
      </c>
      <c r="B561" s="2">
        <v>8.5500000000000007</v>
      </c>
      <c r="C561" s="2">
        <v>3</v>
      </c>
      <c r="D561" s="2">
        <v>478</v>
      </c>
      <c r="E561" s="2" t="s">
        <v>482</v>
      </c>
    </row>
    <row r="562" spans="1:6" ht="16.5" hidden="1" customHeight="1" x14ac:dyDescent="0.3">
      <c r="A562" s="14" t="s">
        <v>484</v>
      </c>
      <c r="B562" s="2">
        <v>5.21</v>
      </c>
      <c r="C562" s="2">
        <v>3</v>
      </c>
      <c r="D562" s="2">
        <v>478</v>
      </c>
      <c r="E562" s="2">
        <v>1.5E-3</v>
      </c>
    </row>
    <row r="563" spans="1:6" ht="16.5" hidden="1" customHeight="1" thickBot="1" x14ac:dyDescent="0.35"/>
    <row r="564" spans="1:6" ht="16.5" hidden="1" customHeight="1" x14ac:dyDescent="0.3">
      <c r="A564" s="24" t="s">
        <v>485</v>
      </c>
      <c r="B564" s="26"/>
      <c r="C564" s="26"/>
      <c r="D564" s="26"/>
      <c r="E564" s="26"/>
    </row>
    <row r="565" spans="1:6" ht="16.5" hidden="1" customHeight="1" x14ac:dyDescent="0.3">
      <c r="A565" s="6" t="s">
        <v>486</v>
      </c>
      <c r="B565" s="3" t="s">
        <v>476</v>
      </c>
      <c r="C565" s="3" t="s">
        <v>477</v>
      </c>
      <c r="D565" s="3" t="s">
        <v>478</v>
      </c>
      <c r="E565" s="3" t="s">
        <v>479</v>
      </c>
    </row>
    <row r="566" spans="1:6" ht="16.5" hidden="1" customHeight="1" x14ac:dyDescent="0.3">
      <c r="A566" s="14" t="s">
        <v>28</v>
      </c>
      <c r="B566" s="2">
        <v>5.21</v>
      </c>
      <c r="C566" s="2">
        <v>3</v>
      </c>
      <c r="D566" s="2">
        <v>478</v>
      </c>
      <c r="E566" s="2">
        <v>1.5E-3</v>
      </c>
    </row>
    <row r="567" spans="1:6" ht="16.5" hidden="1" customHeight="1" thickBot="1" x14ac:dyDescent="0.35"/>
    <row r="568" spans="1:6" ht="16.5" hidden="1" customHeight="1" x14ac:dyDescent="0.3">
      <c r="A568" s="24" t="s">
        <v>487</v>
      </c>
      <c r="B568" s="26"/>
      <c r="C568" s="26"/>
      <c r="D568" s="26"/>
      <c r="E568" s="26"/>
      <c r="F568" s="26"/>
    </row>
    <row r="569" spans="1:6" ht="16.5" hidden="1" customHeight="1" x14ac:dyDescent="0.3">
      <c r="A569" s="25" t="s">
        <v>488</v>
      </c>
      <c r="B569" s="27"/>
      <c r="C569" s="27" t="s">
        <v>489</v>
      </c>
      <c r="D569" s="3" t="s">
        <v>490</v>
      </c>
      <c r="E569" s="27" t="s">
        <v>492</v>
      </c>
      <c r="F569" s="27" t="s">
        <v>493</v>
      </c>
    </row>
    <row r="570" spans="1:6" ht="16.5" hidden="1" customHeight="1" x14ac:dyDescent="0.3">
      <c r="A570" s="25"/>
      <c r="B570" s="27"/>
      <c r="C570" s="27"/>
      <c r="D570" s="3" t="s">
        <v>491</v>
      </c>
      <c r="E570" s="27"/>
      <c r="F570" s="27"/>
    </row>
    <row r="571" spans="1:6" ht="16.5" hidden="1" customHeight="1" x14ac:dyDescent="0.3">
      <c r="A571" s="25" t="s">
        <v>541</v>
      </c>
      <c r="B571" s="27"/>
      <c r="C571" s="27"/>
      <c r="D571" s="27"/>
      <c r="E571" s="27"/>
      <c r="F571" s="27"/>
    </row>
    <row r="572" spans="1:6" ht="17.25" hidden="1" customHeight="1" thickBot="1" x14ac:dyDescent="0.35">
      <c r="A572" s="13" t="s">
        <v>495</v>
      </c>
      <c r="B572" s="12"/>
      <c r="C572" s="16">
        <v>-4.8105000000000002</v>
      </c>
      <c r="D572" s="2">
        <v>0.1915</v>
      </c>
      <c r="E572" s="16">
        <v>-25.12</v>
      </c>
      <c r="F572" s="2" t="s">
        <v>482</v>
      </c>
    </row>
    <row r="573" spans="1:6" ht="17.25" hidden="1" customHeight="1" thickBot="1" x14ac:dyDescent="0.35">
      <c r="A573" s="13" t="s">
        <v>28</v>
      </c>
      <c r="B573" s="12">
        <v>2</v>
      </c>
      <c r="C573" s="2">
        <v>0.76580000000000004</v>
      </c>
      <c r="D573" s="2">
        <v>0.24030000000000001</v>
      </c>
      <c r="E573" s="2">
        <v>3.19</v>
      </c>
      <c r="F573" s="2">
        <v>1.5E-3</v>
      </c>
    </row>
    <row r="574" spans="1:6" ht="17.25" hidden="1" customHeight="1" thickBot="1" x14ac:dyDescent="0.35">
      <c r="A574" s="13" t="s">
        <v>28</v>
      </c>
      <c r="B574" s="12">
        <v>3</v>
      </c>
      <c r="C574" s="2">
        <v>0.66290000000000004</v>
      </c>
      <c r="D574" s="2">
        <v>0.23080000000000001</v>
      </c>
      <c r="E574" s="2">
        <v>2.87</v>
      </c>
      <c r="F574" s="2">
        <v>4.3E-3</v>
      </c>
    </row>
    <row r="575" spans="1:6" ht="16.5" hidden="1" customHeight="1" x14ac:dyDescent="0.3">
      <c r="A575" s="14" t="s">
        <v>28</v>
      </c>
      <c r="B575" s="15">
        <v>4</v>
      </c>
      <c r="C575" s="2">
        <v>0.84440000000000004</v>
      </c>
      <c r="D575" s="2">
        <v>0.2172</v>
      </c>
      <c r="E575" s="2">
        <v>3.89</v>
      </c>
      <c r="F575" s="2">
        <v>1E-4</v>
      </c>
    </row>
    <row r="576" spans="1:6" ht="16.5" hidden="1" customHeight="1" thickBot="1" x14ac:dyDescent="0.35"/>
    <row r="577" spans="1:9" ht="16.5" hidden="1" customHeight="1" x14ac:dyDescent="0.3">
      <c r="A577" s="24" t="s">
        <v>496</v>
      </c>
      <c r="B577" s="26"/>
      <c r="C577" s="26"/>
      <c r="D577" s="26"/>
    </row>
    <row r="578" spans="1:9" ht="33" hidden="1" customHeight="1" x14ac:dyDescent="0.3">
      <c r="A578" s="6" t="s">
        <v>486</v>
      </c>
      <c r="B578" s="3" t="s">
        <v>497</v>
      </c>
      <c r="C578" s="27" t="s">
        <v>91</v>
      </c>
      <c r="D578" s="27"/>
    </row>
    <row r="579" spans="1:9" ht="33" hidden="1" customHeight="1" x14ac:dyDescent="0.3">
      <c r="A579" s="25" t="s">
        <v>542</v>
      </c>
      <c r="B579" s="27"/>
      <c r="C579" s="27"/>
      <c r="D579" s="27"/>
    </row>
    <row r="580" spans="1:9" ht="26.25" thickBot="1" x14ac:dyDescent="0.35">
      <c r="A580" s="13" t="s">
        <v>525</v>
      </c>
      <c r="B580" s="2">
        <v>2.1509999999999998</v>
      </c>
      <c r="C580" s="2">
        <v>1.341</v>
      </c>
      <c r="D580" s="2">
        <v>3.4489999999999998</v>
      </c>
      <c r="H580" s="8" t="str">
        <f t="shared" ref="H580:H582" si="12">TEXT(B580,"0.00")&amp;" ("&amp;TEXT(C580,"0.00")&amp;" to "&amp;TEXT(D580,"0.00")&amp;")"</f>
        <v>2.15 (1.34 to 3.45)</v>
      </c>
      <c r="I580">
        <f>F573</f>
        <v>1.5E-3</v>
      </c>
    </row>
    <row r="581" spans="1:9" ht="26.25" thickBot="1" x14ac:dyDescent="0.35">
      <c r="A581" s="13" t="s">
        <v>526</v>
      </c>
      <c r="B581" s="2">
        <v>1.94</v>
      </c>
      <c r="C581" s="2">
        <v>1.2330000000000001</v>
      </c>
      <c r="D581" s="2">
        <v>3.0539999999999998</v>
      </c>
      <c r="H581" s="8" t="str">
        <f t="shared" si="12"/>
        <v>1.94 (1.23 to 3.05)</v>
      </c>
      <c r="I581">
        <f t="shared" ref="I581:I582" si="13">F574</f>
        <v>4.3E-3</v>
      </c>
    </row>
    <row r="582" spans="1:9" ht="25.5" x14ac:dyDescent="0.3">
      <c r="A582" s="14" t="s">
        <v>527</v>
      </c>
      <c r="B582" s="2">
        <v>2.327</v>
      </c>
      <c r="C582" s="2">
        <v>1.518</v>
      </c>
      <c r="D582" s="2">
        <v>3.5649999999999999</v>
      </c>
      <c r="H582" s="8" t="str">
        <f t="shared" si="12"/>
        <v>2.33 (1.52 to 3.57)</v>
      </c>
      <c r="I582">
        <f t="shared" si="13"/>
        <v>1E-4</v>
      </c>
    </row>
    <row r="583" spans="1:9" ht="16.5" hidden="1" customHeight="1" thickBot="1" x14ac:dyDescent="0.35"/>
    <row r="584" spans="1:9" ht="33" hidden="1" customHeight="1" x14ac:dyDescent="0.3">
      <c r="A584" s="24" t="s">
        <v>502</v>
      </c>
      <c r="B584" s="26"/>
      <c r="C584" s="26"/>
      <c r="D584" s="26"/>
    </row>
    <row r="585" spans="1:9" ht="39" hidden="1" customHeight="1" thickBot="1" x14ac:dyDescent="0.35">
      <c r="A585" s="13" t="s">
        <v>503</v>
      </c>
      <c r="B585" s="2">
        <v>41.3</v>
      </c>
      <c r="C585" s="12" t="s">
        <v>504</v>
      </c>
      <c r="D585" s="2">
        <v>9.0999999999999998E-2</v>
      </c>
    </row>
    <row r="586" spans="1:9" ht="26.25" hidden="1" customHeight="1" thickBot="1" x14ac:dyDescent="0.35">
      <c r="A586" s="13" t="s">
        <v>505</v>
      </c>
      <c r="B586" s="2">
        <v>32.200000000000003</v>
      </c>
      <c r="C586" s="12" t="s">
        <v>506</v>
      </c>
      <c r="D586" s="2">
        <v>0.123</v>
      </c>
    </row>
    <row r="587" spans="1:9" ht="26.25" hidden="1" customHeight="1" thickBot="1" x14ac:dyDescent="0.35">
      <c r="A587" s="13" t="s">
        <v>507</v>
      </c>
      <c r="B587" s="2">
        <v>26.5</v>
      </c>
      <c r="C587" s="12" t="s">
        <v>508</v>
      </c>
      <c r="D587" s="2">
        <v>4.0000000000000001E-3</v>
      </c>
    </row>
    <row r="588" spans="1:9" ht="16.5" hidden="1" customHeight="1" x14ac:dyDescent="0.3">
      <c r="A588" s="14" t="s">
        <v>509</v>
      </c>
      <c r="B588" s="2">
        <v>3870510</v>
      </c>
      <c r="C588" s="15" t="s">
        <v>510</v>
      </c>
      <c r="D588" s="2">
        <v>0.54500000000000004</v>
      </c>
    </row>
    <row r="589" spans="1:9" ht="16.5" hidden="1" customHeight="1" x14ac:dyDescent="0.3"/>
    <row r="590" spans="1:9" ht="16.5" hidden="1" customHeight="1" x14ac:dyDescent="0.3"/>
    <row r="591" spans="1:9" ht="16.5" hidden="1" customHeight="1" x14ac:dyDescent="0.3"/>
    <row r="592" spans="1:9" ht="16.5" hidden="1" customHeight="1" x14ac:dyDescent="0.3">
      <c r="A592" s="1" t="s">
        <v>436</v>
      </c>
    </row>
    <row r="593" spans="1:2" ht="16.5" hidden="1" customHeight="1" x14ac:dyDescent="0.3"/>
    <row r="594" spans="1:2" ht="16.5" hidden="1" customHeight="1" x14ac:dyDescent="0.3">
      <c r="A594" s="1" t="s">
        <v>401</v>
      </c>
    </row>
    <row r="595" spans="1:2" ht="16.5" hidden="1" customHeight="1" thickBot="1" x14ac:dyDescent="0.35"/>
    <row r="596" spans="1:2" ht="16.5" hidden="1" customHeight="1" x14ac:dyDescent="0.3">
      <c r="A596" s="24" t="s">
        <v>437</v>
      </c>
      <c r="B596" s="26"/>
    </row>
    <row r="597" spans="1:2" ht="26.25" hidden="1" customHeight="1" thickBot="1" x14ac:dyDescent="0.35">
      <c r="A597" s="13" t="s">
        <v>438</v>
      </c>
      <c r="B597" s="18" t="s">
        <v>439</v>
      </c>
    </row>
    <row r="598" spans="1:2" ht="26.25" hidden="1" customHeight="1" thickBot="1" x14ac:dyDescent="0.35">
      <c r="A598" s="13" t="s">
        <v>440</v>
      </c>
      <c r="B598" s="18" t="s">
        <v>19</v>
      </c>
    </row>
    <row r="599" spans="1:2" ht="39" hidden="1" customHeight="1" thickBot="1" x14ac:dyDescent="0.35">
      <c r="A599" s="13" t="s">
        <v>441</v>
      </c>
      <c r="B599" s="18">
        <v>2</v>
      </c>
    </row>
    <row r="600" spans="1:2" ht="26.25" hidden="1" customHeight="1" thickBot="1" x14ac:dyDescent="0.35">
      <c r="A600" s="13" t="s">
        <v>442</v>
      </c>
      <c r="B600" s="18" t="s">
        <v>443</v>
      </c>
    </row>
    <row r="601" spans="1:2" ht="26.25" hidden="1" customHeight="1" thickBot="1" x14ac:dyDescent="0.35">
      <c r="A601" s="13" t="s">
        <v>76</v>
      </c>
      <c r="B601" s="18">
        <v>183</v>
      </c>
    </row>
    <row r="602" spans="1:2" ht="26.25" hidden="1" customHeight="1" thickBot="1" x14ac:dyDescent="0.35">
      <c r="A602" s="13" t="s">
        <v>444</v>
      </c>
      <c r="B602" s="18" t="s">
        <v>445</v>
      </c>
    </row>
    <row r="603" spans="1:2" ht="26.25" hidden="1" customHeight="1" thickBot="1" x14ac:dyDescent="0.35">
      <c r="A603" s="13" t="s">
        <v>77</v>
      </c>
      <c r="B603" s="18">
        <v>2354</v>
      </c>
    </row>
    <row r="604" spans="1:2" ht="26.25" hidden="1" customHeight="1" thickBot="1" x14ac:dyDescent="0.35">
      <c r="A604" s="13" t="s">
        <v>446</v>
      </c>
      <c r="B604" s="18" t="s">
        <v>447</v>
      </c>
    </row>
    <row r="605" spans="1:2" ht="26.25" hidden="1" customHeight="1" thickBot="1" x14ac:dyDescent="0.35">
      <c r="A605" s="13" t="s">
        <v>448</v>
      </c>
      <c r="B605" s="18" t="s">
        <v>449</v>
      </c>
    </row>
    <row r="606" spans="1:2" ht="39" hidden="1" customHeight="1" thickBot="1" x14ac:dyDescent="0.35">
      <c r="A606" s="13" t="s">
        <v>450</v>
      </c>
      <c r="B606" s="18" t="s">
        <v>451</v>
      </c>
    </row>
    <row r="607" spans="1:2" ht="38.25" hidden="1" customHeight="1" x14ac:dyDescent="0.3">
      <c r="A607" s="14" t="s">
        <v>452</v>
      </c>
      <c r="B607" s="19" t="s">
        <v>453</v>
      </c>
    </row>
    <row r="608" spans="1:2" ht="16.5" hidden="1" customHeight="1" thickBot="1" x14ac:dyDescent="0.35"/>
    <row r="609" spans="1:4" ht="33" hidden="1" customHeight="1" x14ac:dyDescent="0.3">
      <c r="A609" s="24" t="s">
        <v>80</v>
      </c>
      <c r="B609" s="26"/>
    </row>
    <row r="610" spans="1:4" ht="33.75" hidden="1" customHeight="1" thickBot="1" x14ac:dyDescent="0.35">
      <c r="A610" s="13" t="s">
        <v>81</v>
      </c>
      <c r="B610" s="2" t="s">
        <v>82</v>
      </c>
    </row>
    <row r="611" spans="1:4" ht="66" hidden="1" customHeight="1" x14ac:dyDescent="0.3">
      <c r="A611" s="14" t="s">
        <v>452</v>
      </c>
      <c r="B611" s="2" t="s">
        <v>453</v>
      </c>
    </row>
    <row r="612" spans="1:4" ht="16.5" hidden="1" customHeight="1" thickBot="1" x14ac:dyDescent="0.35"/>
    <row r="613" spans="1:4" ht="39" hidden="1" customHeight="1" thickBot="1" x14ac:dyDescent="0.35">
      <c r="A613" s="20" t="s">
        <v>454</v>
      </c>
      <c r="B613" s="21">
        <v>9199</v>
      </c>
    </row>
    <row r="614" spans="1:4" ht="39" hidden="1" customHeight="1" thickBot="1" x14ac:dyDescent="0.35">
      <c r="A614" s="13" t="s">
        <v>455</v>
      </c>
      <c r="B614" s="2">
        <v>9199</v>
      </c>
    </row>
    <row r="615" spans="1:4" ht="39" hidden="1" customHeight="1" thickBot="1" x14ac:dyDescent="0.35">
      <c r="A615" s="13" t="s">
        <v>456</v>
      </c>
      <c r="B615" s="2">
        <v>2778708</v>
      </c>
    </row>
    <row r="616" spans="1:4" ht="38.25" hidden="1" customHeight="1" x14ac:dyDescent="0.3">
      <c r="A616" s="14" t="s">
        <v>457</v>
      </c>
      <c r="B616" s="2">
        <v>2778708</v>
      </c>
    </row>
    <row r="617" spans="1:4" ht="16.5" hidden="1" customHeight="1" thickBot="1" x14ac:dyDescent="0.35"/>
    <row r="618" spans="1:4" ht="16.5" hidden="1" customHeight="1" x14ac:dyDescent="0.3">
      <c r="A618" s="24" t="s">
        <v>458</v>
      </c>
      <c r="B618" s="26"/>
      <c r="C618" s="26"/>
      <c r="D618" s="26"/>
    </row>
    <row r="619" spans="1:4" ht="16.5" hidden="1" customHeight="1" x14ac:dyDescent="0.3">
      <c r="A619" s="6" t="s">
        <v>459</v>
      </c>
      <c r="B619" s="27" t="s">
        <v>19</v>
      </c>
      <c r="C619" s="3" t="s">
        <v>93</v>
      </c>
      <c r="D619" s="3" t="s">
        <v>93</v>
      </c>
    </row>
    <row r="620" spans="1:4" ht="33" hidden="1" customHeight="1" x14ac:dyDescent="0.3">
      <c r="A620" s="6" t="s">
        <v>460</v>
      </c>
      <c r="B620" s="27"/>
      <c r="C620" s="3" t="s">
        <v>86</v>
      </c>
      <c r="D620" s="3" t="s">
        <v>461</v>
      </c>
    </row>
    <row r="621" spans="1:4" ht="17.25" hidden="1" customHeight="1" thickBot="1" x14ac:dyDescent="0.35">
      <c r="A621" s="6">
        <v>1</v>
      </c>
      <c r="B621" s="17">
        <v>0</v>
      </c>
      <c r="C621" s="2">
        <v>8791</v>
      </c>
      <c r="D621" s="2">
        <v>2666671.9</v>
      </c>
    </row>
    <row r="622" spans="1:4" ht="16.5" hidden="1" customHeight="1" x14ac:dyDescent="0.3">
      <c r="A622" s="6">
        <v>2</v>
      </c>
      <c r="B622" s="22">
        <v>1</v>
      </c>
      <c r="C622" s="2">
        <v>408</v>
      </c>
      <c r="D622" s="2">
        <v>112036.2</v>
      </c>
    </row>
    <row r="623" spans="1:4" ht="16.5" hidden="1" customHeight="1" x14ac:dyDescent="0.3"/>
    <row r="624" spans="1:4" ht="16.5" hidden="1" customHeight="1" x14ac:dyDescent="0.3">
      <c r="A624" s="1" t="s">
        <v>513</v>
      </c>
    </row>
    <row r="625" spans="1:5" ht="16.5" hidden="1" customHeight="1" thickBot="1" x14ac:dyDescent="0.35"/>
    <row r="626" spans="1:5" ht="16.5" hidden="1" customHeight="1" x14ac:dyDescent="0.3">
      <c r="A626" s="24" t="s">
        <v>462</v>
      </c>
      <c r="B626" s="26"/>
      <c r="C626" s="26"/>
      <c r="D626" s="26"/>
      <c r="E626" s="26"/>
    </row>
    <row r="627" spans="1:5" ht="16.5" hidden="1" customHeight="1" x14ac:dyDescent="0.3">
      <c r="A627" s="6" t="s">
        <v>463</v>
      </c>
      <c r="B627" s="3" t="s">
        <v>460</v>
      </c>
      <c r="C627" s="27" t="s">
        <v>464</v>
      </c>
      <c r="D627" s="27"/>
      <c r="E627" s="27"/>
    </row>
    <row r="628" spans="1:5" ht="17.25" hidden="1" customHeight="1" thickBot="1" x14ac:dyDescent="0.35">
      <c r="A628" s="13" t="s">
        <v>28</v>
      </c>
      <c r="B628" s="12">
        <v>1</v>
      </c>
      <c r="C628" s="2">
        <v>0</v>
      </c>
      <c r="D628" s="2">
        <v>0</v>
      </c>
      <c r="E628" s="2">
        <v>0</v>
      </c>
    </row>
    <row r="629" spans="1:5" ht="17.25" hidden="1" customHeight="1" thickBot="1" x14ac:dyDescent="0.35">
      <c r="A629" s="13"/>
      <c r="B629" s="12">
        <v>2</v>
      </c>
      <c r="C629" s="2">
        <v>1</v>
      </c>
      <c r="D629" s="2">
        <v>0</v>
      </c>
      <c r="E629" s="2">
        <v>0</v>
      </c>
    </row>
    <row r="630" spans="1:5" ht="17.25" hidden="1" customHeight="1" thickBot="1" x14ac:dyDescent="0.35">
      <c r="A630" s="13"/>
      <c r="B630" s="12">
        <v>3</v>
      </c>
      <c r="C630" s="2">
        <v>0</v>
      </c>
      <c r="D630" s="2">
        <v>1</v>
      </c>
      <c r="E630" s="2">
        <v>0</v>
      </c>
    </row>
    <row r="631" spans="1:5" ht="16.5" hidden="1" customHeight="1" x14ac:dyDescent="0.3">
      <c r="A631" s="14"/>
      <c r="B631" s="15">
        <v>4</v>
      </c>
      <c r="C631" s="2">
        <v>0</v>
      </c>
      <c r="D631" s="2">
        <v>0</v>
      </c>
      <c r="E631" s="2">
        <v>1</v>
      </c>
    </row>
    <row r="632" spans="1:5" ht="16.5" hidden="1" customHeight="1" thickBot="1" x14ac:dyDescent="0.35"/>
    <row r="633" spans="1:5" ht="66" hidden="1" customHeight="1" x14ac:dyDescent="0.3">
      <c r="A633" s="4" t="s">
        <v>465</v>
      </c>
    </row>
    <row r="634" spans="1:5" ht="99" hidden="1" customHeight="1" x14ac:dyDescent="0.3">
      <c r="A634" s="23" t="s">
        <v>466</v>
      </c>
    </row>
    <row r="635" spans="1:5" ht="16.5" hidden="1" customHeight="1" thickBot="1" x14ac:dyDescent="0.35"/>
    <row r="636" spans="1:5" ht="16.5" hidden="1" customHeight="1" x14ac:dyDescent="0.3">
      <c r="A636" s="24" t="s">
        <v>467</v>
      </c>
      <c r="B636" s="26"/>
      <c r="C636" s="26"/>
    </row>
    <row r="637" spans="1:5" ht="66" hidden="1" customHeight="1" x14ac:dyDescent="0.3">
      <c r="A637" s="6" t="s">
        <v>468</v>
      </c>
      <c r="B637" s="3" t="s">
        <v>469</v>
      </c>
      <c r="C637" s="3" t="s">
        <v>470</v>
      </c>
    </row>
    <row r="638" spans="1:5" ht="17.25" hidden="1" customHeight="1" thickBot="1" x14ac:dyDescent="0.35">
      <c r="A638" s="13" t="s">
        <v>471</v>
      </c>
      <c r="B638" s="2">
        <v>938973.86</v>
      </c>
      <c r="C638" s="2">
        <v>936424.54</v>
      </c>
    </row>
    <row r="639" spans="1:5" ht="17.25" hidden="1" customHeight="1" thickBot="1" x14ac:dyDescent="0.35">
      <c r="A639" s="13" t="s">
        <v>472</v>
      </c>
      <c r="B639" s="2">
        <v>938986.69</v>
      </c>
      <c r="C639" s="2">
        <v>936475.89</v>
      </c>
    </row>
    <row r="640" spans="1:5" ht="16.5" hidden="1" customHeight="1" x14ac:dyDescent="0.3">
      <c r="A640" s="14" t="s">
        <v>473</v>
      </c>
      <c r="B640" s="2" t="s">
        <v>624</v>
      </c>
      <c r="C640" s="2">
        <v>936416.54</v>
      </c>
    </row>
    <row r="641" spans="1:6" ht="16.5" hidden="1" customHeight="1" thickBot="1" x14ac:dyDescent="0.35"/>
    <row r="642" spans="1:6" ht="16.5" hidden="1" customHeight="1" x14ac:dyDescent="0.3">
      <c r="A642" s="24" t="s">
        <v>474</v>
      </c>
      <c r="B642" s="26"/>
      <c r="C642" s="26"/>
      <c r="D642" s="26"/>
      <c r="E642" s="26"/>
    </row>
    <row r="643" spans="1:6" ht="16.5" hidden="1" customHeight="1" x14ac:dyDescent="0.3">
      <c r="A643" s="6" t="s">
        <v>475</v>
      </c>
      <c r="B643" s="3" t="s">
        <v>476</v>
      </c>
      <c r="C643" s="3" t="s">
        <v>477</v>
      </c>
      <c r="D643" s="3" t="s">
        <v>478</v>
      </c>
      <c r="E643" s="3" t="s">
        <v>479</v>
      </c>
    </row>
    <row r="644" spans="1:6" ht="33" hidden="1" customHeight="1" x14ac:dyDescent="0.3">
      <c r="A644" s="25" t="s">
        <v>512</v>
      </c>
      <c r="B644" s="27"/>
      <c r="C644" s="27"/>
      <c r="D644" s="27"/>
      <c r="E644" s="27"/>
    </row>
    <row r="645" spans="1:6" ht="26.25" hidden="1" customHeight="1" thickBot="1" x14ac:dyDescent="0.35">
      <c r="A645" s="13" t="s">
        <v>481</v>
      </c>
      <c r="B645" s="2">
        <v>2.84</v>
      </c>
      <c r="C645" s="2">
        <v>2.9857999999999998</v>
      </c>
      <c r="D645" s="2">
        <v>6482.18</v>
      </c>
      <c r="E645" s="2">
        <v>3.6700000000000003E-2</v>
      </c>
    </row>
    <row r="646" spans="1:6" ht="17.25" hidden="1" customHeight="1" thickBot="1" x14ac:dyDescent="0.35">
      <c r="A646" s="13" t="s">
        <v>483</v>
      </c>
      <c r="B646" s="2">
        <v>3.03</v>
      </c>
      <c r="C646" s="2">
        <v>3</v>
      </c>
      <c r="D646" s="2">
        <v>2169</v>
      </c>
      <c r="E646" s="2">
        <v>2.81E-2</v>
      </c>
    </row>
    <row r="647" spans="1:6" ht="16.5" hidden="1" customHeight="1" x14ac:dyDescent="0.3">
      <c r="A647" s="14" t="s">
        <v>484</v>
      </c>
      <c r="B647" s="2">
        <v>2.52</v>
      </c>
      <c r="C647" s="2">
        <v>3</v>
      </c>
      <c r="D647" s="2">
        <v>2169</v>
      </c>
      <c r="E647" s="2">
        <v>5.6500000000000002E-2</v>
      </c>
    </row>
    <row r="648" spans="1:6" ht="16.5" hidden="1" customHeight="1" thickBot="1" x14ac:dyDescent="0.35"/>
    <row r="649" spans="1:6" ht="16.5" hidden="1" customHeight="1" x14ac:dyDescent="0.3">
      <c r="A649" s="24" t="s">
        <v>485</v>
      </c>
      <c r="B649" s="26"/>
      <c r="C649" s="26"/>
      <c r="D649" s="26"/>
      <c r="E649" s="26"/>
    </row>
    <row r="650" spans="1:6" ht="16.5" hidden="1" customHeight="1" x14ac:dyDescent="0.3">
      <c r="A650" s="6" t="s">
        <v>486</v>
      </c>
      <c r="B650" s="3" t="s">
        <v>476</v>
      </c>
      <c r="C650" s="3" t="s">
        <v>477</v>
      </c>
      <c r="D650" s="3" t="s">
        <v>478</v>
      </c>
      <c r="E650" s="3" t="s">
        <v>479</v>
      </c>
    </row>
    <row r="651" spans="1:6" ht="16.5" hidden="1" customHeight="1" x14ac:dyDescent="0.3">
      <c r="A651" s="14" t="s">
        <v>28</v>
      </c>
      <c r="B651" s="2">
        <v>2.52</v>
      </c>
      <c r="C651" s="2">
        <v>3</v>
      </c>
      <c r="D651" s="2">
        <v>2169</v>
      </c>
      <c r="E651" s="2">
        <v>5.6500000000000002E-2</v>
      </c>
    </row>
    <row r="652" spans="1:6" ht="16.5" hidden="1" customHeight="1" thickBot="1" x14ac:dyDescent="0.35"/>
    <row r="653" spans="1:6" ht="16.5" hidden="1" customHeight="1" x14ac:dyDescent="0.3">
      <c r="A653" s="24" t="s">
        <v>487</v>
      </c>
      <c r="B653" s="26"/>
      <c r="C653" s="26"/>
      <c r="D653" s="26"/>
      <c r="E653" s="26"/>
      <c r="F653" s="26"/>
    </row>
    <row r="654" spans="1:6" ht="16.5" hidden="1" customHeight="1" x14ac:dyDescent="0.3">
      <c r="A654" s="25" t="s">
        <v>488</v>
      </c>
      <c r="B654" s="27"/>
      <c r="C654" s="27" t="s">
        <v>489</v>
      </c>
      <c r="D654" s="3" t="s">
        <v>490</v>
      </c>
      <c r="E654" s="27" t="s">
        <v>492</v>
      </c>
      <c r="F654" s="27" t="s">
        <v>493</v>
      </c>
    </row>
    <row r="655" spans="1:6" ht="16.5" hidden="1" customHeight="1" x14ac:dyDescent="0.3">
      <c r="A655" s="25"/>
      <c r="B655" s="27"/>
      <c r="C655" s="27"/>
      <c r="D655" s="3" t="s">
        <v>491</v>
      </c>
      <c r="E655" s="27"/>
      <c r="F655" s="27"/>
    </row>
    <row r="656" spans="1:6" ht="16.5" hidden="1" customHeight="1" x14ac:dyDescent="0.3">
      <c r="A656" s="25" t="s">
        <v>544</v>
      </c>
      <c r="B656" s="27"/>
      <c r="C656" s="27"/>
      <c r="D656" s="27"/>
      <c r="E656" s="27"/>
      <c r="F656" s="27"/>
    </row>
    <row r="657" spans="1:9" ht="17.25" hidden="1" customHeight="1" thickBot="1" x14ac:dyDescent="0.35">
      <c r="A657" s="13" t="s">
        <v>495</v>
      </c>
      <c r="B657" s="12"/>
      <c r="C657" s="16">
        <v>-3.5518000000000001</v>
      </c>
      <c r="D657" s="2">
        <v>0.18720000000000001</v>
      </c>
      <c r="E657" s="16">
        <v>-18.97</v>
      </c>
      <c r="F657" s="2" t="s">
        <v>482</v>
      </c>
    </row>
    <row r="658" spans="1:9" ht="17.25" hidden="1" customHeight="1" thickBot="1" x14ac:dyDescent="0.35">
      <c r="A658" s="13" t="s">
        <v>28</v>
      </c>
      <c r="B658" s="12">
        <v>2</v>
      </c>
      <c r="C658" s="2">
        <v>0.31640000000000001</v>
      </c>
      <c r="D658" s="2">
        <v>0.23089999999999999</v>
      </c>
      <c r="E658" s="2">
        <v>1.37</v>
      </c>
      <c r="F658" s="2">
        <v>0.1706</v>
      </c>
    </row>
    <row r="659" spans="1:9" ht="17.25" hidden="1" customHeight="1" thickBot="1" x14ac:dyDescent="0.35">
      <c r="A659" s="13" t="s">
        <v>28</v>
      </c>
      <c r="B659" s="12">
        <v>3</v>
      </c>
      <c r="C659" s="2">
        <v>0.39460000000000001</v>
      </c>
      <c r="D659" s="2">
        <v>0.21260000000000001</v>
      </c>
      <c r="E659" s="2">
        <v>1.86</v>
      </c>
      <c r="F659" s="2">
        <v>6.3600000000000004E-2</v>
      </c>
    </row>
    <row r="660" spans="1:9" ht="16.5" hidden="1" customHeight="1" x14ac:dyDescent="0.3">
      <c r="A660" s="14" t="s">
        <v>28</v>
      </c>
      <c r="B660" s="15">
        <v>4</v>
      </c>
      <c r="C660" s="2">
        <v>0.53839999999999999</v>
      </c>
      <c r="D660" s="2">
        <v>0.20469999999999999</v>
      </c>
      <c r="E660" s="2">
        <v>2.63</v>
      </c>
      <c r="F660" s="2">
        <v>8.6E-3</v>
      </c>
    </row>
    <row r="661" spans="1:9" ht="16.5" hidden="1" customHeight="1" thickBot="1" x14ac:dyDescent="0.35"/>
    <row r="662" spans="1:9" ht="16.5" hidden="1" customHeight="1" x14ac:dyDescent="0.3">
      <c r="A662" s="24" t="s">
        <v>496</v>
      </c>
      <c r="B662" s="26"/>
      <c r="C662" s="26"/>
      <c r="D662" s="26"/>
    </row>
    <row r="663" spans="1:9" ht="33" hidden="1" customHeight="1" x14ac:dyDescent="0.3">
      <c r="A663" s="6" t="s">
        <v>486</v>
      </c>
      <c r="B663" s="3" t="s">
        <v>497</v>
      </c>
      <c r="C663" s="27" t="s">
        <v>91</v>
      </c>
      <c r="D663" s="27"/>
    </row>
    <row r="664" spans="1:9" ht="49.5" hidden="1" customHeight="1" x14ac:dyDescent="0.3">
      <c r="A664" s="25" t="s">
        <v>545</v>
      </c>
      <c r="B664" s="27"/>
      <c r="C664" s="27"/>
      <c r="D664" s="27"/>
    </row>
    <row r="665" spans="1:9" ht="26.25" thickBot="1" x14ac:dyDescent="0.35">
      <c r="A665" s="13" t="s">
        <v>525</v>
      </c>
      <c r="B665" s="2">
        <v>1.3720000000000001</v>
      </c>
      <c r="C665" s="2">
        <v>0.873</v>
      </c>
      <c r="D665" s="2">
        <v>2.1579999999999999</v>
      </c>
      <c r="H665" s="8" t="str">
        <f t="shared" ref="H665:H667" si="14">TEXT(B665,"0.00")&amp;" ("&amp;TEXT(C665,"0.00")&amp;" to "&amp;TEXT(D665,"0.00")&amp;")"</f>
        <v>1.37 (0.87 to 2.16)</v>
      </c>
      <c r="I665">
        <f>F658</f>
        <v>0.1706</v>
      </c>
    </row>
    <row r="666" spans="1:9" ht="26.25" thickBot="1" x14ac:dyDescent="0.35">
      <c r="A666" s="13" t="s">
        <v>526</v>
      </c>
      <c r="B666" s="2">
        <v>1.484</v>
      </c>
      <c r="C666" s="2">
        <v>0.97799999999999998</v>
      </c>
      <c r="D666" s="2">
        <v>2.2519999999999998</v>
      </c>
      <c r="H666" s="8" t="str">
        <f t="shared" si="14"/>
        <v>1.48 (0.98 to 2.25)</v>
      </c>
      <c r="I666">
        <f t="shared" ref="I666:I667" si="15">F659</f>
        <v>6.3600000000000004E-2</v>
      </c>
    </row>
    <row r="667" spans="1:9" ht="25.5" x14ac:dyDescent="0.3">
      <c r="A667" s="14" t="s">
        <v>527</v>
      </c>
      <c r="B667" s="2">
        <v>1.7130000000000001</v>
      </c>
      <c r="C667" s="2">
        <v>1.147</v>
      </c>
      <c r="D667" s="2">
        <v>2.56</v>
      </c>
      <c r="H667" s="8" t="str">
        <f t="shared" si="14"/>
        <v>1.71 (1.15 to 2.56)</v>
      </c>
      <c r="I667">
        <f t="shared" si="15"/>
        <v>8.6E-3</v>
      </c>
    </row>
    <row r="668" spans="1:9" ht="16.5" hidden="1" customHeight="1" thickBot="1" x14ac:dyDescent="0.35"/>
    <row r="669" spans="1:9" ht="33" hidden="1" customHeight="1" x14ac:dyDescent="0.3">
      <c r="A669" s="24" t="s">
        <v>502</v>
      </c>
      <c r="B669" s="26"/>
      <c r="C669" s="26"/>
      <c r="D669" s="26"/>
    </row>
    <row r="670" spans="1:9" ht="39" hidden="1" customHeight="1" thickBot="1" x14ac:dyDescent="0.35">
      <c r="A670" s="13" t="s">
        <v>503</v>
      </c>
      <c r="B670" s="2">
        <v>40.4</v>
      </c>
      <c r="C670" s="12" t="s">
        <v>504</v>
      </c>
      <c r="D670" s="2">
        <v>8.8999999999999996E-2</v>
      </c>
    </row>
    <row r="671" spans="1:9" ht="26.25" hidden="1" customHeight="1" thickBot="1" x14ac:dyDescent="0.35">
      <c r="A671" s="13" t="s">
        <v>505</v>
      </c>
      <c r="B671" s="2">
        <v>31.5</v>
      </c>
      <c r="C671" s="12" t="s">
        <v>506</v>
      </c>
      <c r="D671" s="2">
        <v>0.124</v>
      </c>
    </row>
    <row r="672" spans="1:9" ht="26.25" hidden="1" customHeight="1" thickBot="1" x14ac:dyDescent="0.35">
      <c r="A672" s="13" t="s">
        <v>507</v>
      </c>
      <c r="B672" s="2">
        <v>28.2</v>
      </c>
      <c r="C672" s="12" t="s">
        <v>508</v>
      </c>
      <c r="D672" s="2">
        <v>8.0000000000000002E-3</v>
      </c>
    </row>
    <row r="673" spans="1:4" ht="16.5" hidden="1" customHeight="1" x14ac:dyDescent="0.3">
      <c r="A673" s="14" t="s">
        <v>509</v>
      </c>
      <c r="B673" s="2">
        <v>3586728</v>
      </c>
      <c r="C673" s="15" t="s">
        <v>510</v>
      </c>
      <c r="D673" s="2">
        <v>0.54400000000000004</v>
      </c>
    </row>
    <row r="674" spans="1:4" ht="16.5" hidden="1" customHeight="1" x14ac:dyDescent="0.3"/>
    <row r="675" spans="1:4" ht="16.5" hidden="1" customHeight="1" x14ac:dyDescent="0.3"/>
    <row r="676" spans="1:4" ht="16.5" hidden="1" customHeight="1" x14ac:dyDescent="0.3"/>
    <row r="677" spans="1:4" ht="16.5" hidden="1" customHeight="1" x14ac:dyDescent="0.3">
      <c r="A677" s="1" t="s">
        <v>436</v>
      </c>
    </row>
    <row r="678" spans="1:4" ht="16.5" hidden="1" customHeight="1" x14ac:dyDescent="0.3"/>
    <row r="679" spans="1:4" ht="16.5" hidden="1" customHeight="1" x14ac:dyDescent="0.3">
      <c r="A679" s="1" t="s">
        <v>402</v>
      </c>
    </row>
    <row r="680" spans="1:4" ht="16.5" hidden="1" customHeight="1" thickBot="1" x14ac:dyDescent="0.35"/>
    <row r="681" spans="1:4" ht="16.5" hidden="1" customHeight="1" x14ac:dyDescent="0.3">
      <c r="A681" s="24" t="s">
        <v>437</v>
      </c>
      <c r="B681" s="26"/>
    </row>
    <row r="682" spans="1:4" ht="26.25" hidden="1" customHeight="1" thickBot="1" x14ac:dyDescent="0.35">
      <c r="A682" s="13" t="s">
        <v>438</v>
      </c>
      <c r="B682" s="18" t="s">
        <v>439</v>
      </c>
    </row>
    <row r="683" spans="1:4" ht="26.25" hidden="1" customHeight="1" thickBot="1" x14ac:dyDescent="0.35">
      <c r="A683" s="13" t="s">
        <v>440</v>
      </c>
      <c r="B683" s="18" t="s">
        <v>19</v>
      </c>
    </row>
    <row r="684" spans="1:4" ht="39" hidden="1" customHeight="1" thickBot="1" x14ac:dyDescent="0.35">
      <c r="A684" s="13" t="s">
        <v>441</v>
      </c>
      <c r="B684" s="18">
        <v>2</v>
      </c>
    </row>
    <row r="685" spans="1:4" ht="26.25" hidden="1" customHeight="1" thickBot="1" x14ac:dyDescent="0.35">
      <c r="A685" s="13" t="s">
        <v>442</v>
      </c>
      <c r="B685" s="18" t="s">
        <v>443</v>
      </c>
    </row>
    <row r="686" spans="1:4" ht="26.25" hidden="1" customHeight="1" thickBot="1" x14ac:dyDescent="0.35">
      <c r="A686" s="13" t="s">
        <v>76</v>
      </c>
      <c r="B686" s="18">
        <v>183</v>
      </c>
    </row>
    <row r="687" spans="1:4" ht="26.25" hidden="1" customHeight="1" thickBot="1" x14ac:dyDescent="0.35">
      <c r="A687" s="13" t="s">
        <v>444</v>
      </c>
      <c r="B687" s="18" t="s">
        <v>445</v>
      </c>
    </row>
    <row r="688" spans="1:4" ht="26.25" hidden="1" customHeight="1" thickBot="1" x14ac:dyDescent="0.35">
      <c r="A688" s="13" t="s">
        <v>77</v>
      </c>
      <c r="B688" s="18">
        <v>2477</v>
      </c>
    </row>
    <row r="689" spans="1:4" ht="26.25" hidden="1" customHeight="1" thickBot="1" x14ac:dyDescent="0.35">
      <c r="A689" s="13" t="s">
        <v>446</v>
      </c>
      <c r="B689" s="18" t="s">
        <v>447</v>
      </c>
    </row>
    <row r="690" spans="1:4" ht="26.25" hidden="1" customHeight="1" thickBot="1" x14ac:dyDescent="0.35">
      <c r="A690" s="13" t="s">
        <v>448</v>
      </c>
      <c r="B690" s="18" t="s">
        <v>449</v>
      </c>
    </row>
    <row r="691" spans="1:4" ht="39" hidden="1" customHeight="1" thickBot="1" x14ac:dyDescent="0.35">
      <c r="A691" s="13" t="s">
        <v>450</v>
      </c>
      <c r="B691" s="18" t="s">
        <v>451</v>
      </c>
    </row>
    <row r="692" spans="1:4" ht="38.25" hidden="1" customHeight="1" x14ac:dyDescent="0.3">
      <c r="A692" s="14" t="s">
        <v>452</v>
      </c>
      <c r="B692" s="19" t="s">
        <v>453</v>
      </c>
    </row>
    <row r="693" spans="1:4" ht="16.5" hidden="1" customHeight="1" thickBot="1" x14ac:dyDescent="0.35"/>
    <row r="694" spans="1:4" ht="33" hidden="1" customHeight="1" x14ac:dyDescent="0.3">
      <c r="A694" s="24" t="s">
        <v>80</v>
      </c>
      <c r="B694" s="26"/>
    </row>
    <row r="695" spans="1:4" ht="33.75" hidden="1" customHeight="1" thickBot="1" x14ac:dyDescent="0.35">
      <c r="A695" s="13" t="s">
        <v>81</v>
      </c>
      <c r="B695" s="2" t="s">
        <v>82</v>
      </c>
    </row>
    <row r="696" spans="1:4" ht="66" hidden="1" customHeight="1" x14ac:dyDescent="0.3">
      <c r="A696" s="14" t="s">
        <v>452</v>
      </c>
      <c r="B696" s="2" t="s">
        <v>453</v>
      </c>
    </row>
    <row r="697" spans="1:4" ht="16.5" hidden="1" customHeight="1" thickBot="1" x14ac:dyDescent="0.35"/>
    <row r="698" spans="1:4" ht="39" hidden="1" customHeight="1" thickBot="1" x14ac:dyDescent="0.35">
      <c r="A698" s="20" t="s">
        <v>454</v>
      </c>
      <c r="B698" s="21">
        <v>7937</v>
      </c>
    </row>
    <row r="699" spans="1:4" ht="39" hidden="1" customHeight="1" thickBot="1" x14ac:dyDescent="0.35">
      <c r="A699" s="13" t="s">
        <v>455</v>
      </c>
      <c r="B699" s="2">
        <v>7937</v>
      </c>
    </row>
    <row r="700" spans="1:4" ht="39" hidden="1" customHeight="1" thickBot="1" x14ac:dyDescent="0.35">
      <c r="A700" s="13" t="s">
        <v>456</v>
      </c>
      <c r="B700" s="2">
        <v>2682504</v>
      </c>
    </row>
    <row r="701" spans="1:4" ht="38.25" hidden="1" customHeight="1" x14ac:dyDescent="0.3">
      <c r="A701" s="14" t="s">
        <v>457</v>
      </c>
      <c r="B701" s="2">
        <v>2682504</v>
      </c>
    </row>
    <row r="702" spans="1:4" ht="16.5" hidden="1" customHeight="1" thickBot="1" x14ac:dyDescent="0.35"/>
    <row r="703" spans="1:4" ht="16.5" hidden="1" customHeight="1" x14ac:dyDescent="0.3">
      <c r="A703" s="24" t="s">
        <v>458</v>
      </c>
      <c r="B703" s="26"/>
      <c r="C703" s="26"/>
      <c r="D703" s="26"/>
    </row>
    <row r="704" spans="1:4" ht="16.5" hidden="1" customHeight="1" x14ac:dyDescent="0.3">
      <c r="A704" s="6" t="s">
        <v>459</v>
      </c>
      <c r="B704" s="27" t="s">
        <v>19</v>
      </c>
      <c r="C704" s="3" t="s">
        <v>93</v>
      </c>
      <c r="D704" s="3" t="s">
        <v>93</v>
      </c>
    </row>
    <row r="705" spans="1:5" ht="33" hidden="1" customHeight="1" x14ac:dyDescent="0.3">
      <c r="A705" s="6" t="s">
        <v>460</v>
      </c>
      <c r="B705" s="27"/>
      <c r="C705" s="3" t="s">
        <v>86</v>
      </c>
      <c r="D705" s="3" t="s">
        <v>461</v>
      </c>
    </row>
    <row r="706" spans="1:5" ht="17.25" hidden="1" customHeight="1" thickBot="1" x14ac:dyDescent="0.35">
      <c r="A706" s="6">
        <v>1</v>
      </c>
      <c r="B706" s="17">
        <v>0</v>
      </c>
      <c r="C706" s="2">
        <v>7686</v>
      </c>
      <c r="D706" s="2">
        <v>2604484.5</v>
      </c>
    </row>
    <row r="707" spans="1:5" ht="16.5" hidden="1" customHeight="1" x14ac:dyDescent="0.3">
      <c r="A707" s="6">
        <v>2</v>
      </c>
      <c r="B707" s="22">
        <v>1</v>
      </c>
      <c r="C707" s="2">
        <v>251</v>
      </c>
      <c r="D707" s="2">
        <v>78020</v>
      </c>
    </row>
    <row r="708" spans="1:5" ht="16.5" hidden="1" customHeight="1" x14ac:dyDescent="0.3"/>
    <row r="709" spans="1:5" ht="16.5" hidden="1" customHeight="1" x14ac:dyDescent="0.3">
      <c r="A709" s="1" t="s">
        <v>513</v>
      </c>
    </row>
    <row r="710" spans="1:5" ht="16.5" hidden="1" customHeight="1" thickBot="1" x14ac:dyDescent="0.35"/>
    <row r="711" spans="1:5" ht="16.5" hidden="1" customHeight="1" x14ac:dyDescent="0.3">
      <c r="A711" s="24" t="s">
        <v>462</v>
      </c>
      <c r="B711" s="26"/>
      <c r="C711" s="26"/>
      <c r="D711" s="26"/>
      <c r="E711" s="26"/>
    </row>
    <row r="712" spans="1:5" ht="16.5" hidden="1" customHeight="1" x14ac:dyDescent="0.3">
      <c r="A712" s="6" t="s">
        <v>463</v>
      </c>
      <c r="B712" s="3" t="s">
        <v>460</v>
      </c>
      <c r="C712" s="27" t="s">
        <v>464</v>
      </c>
      <c r="D712" s="27"/>
      <c r="E712" s="27"/>
    </row>
    <row r="713" spans="1:5" ht="17.25" hidden="1" customHeight="1" thickBot="1" x14ac:dyDescent="0.35">
      <c r="A713" s="13" t="s">
        <v>28</v>
      </c>
      <c r="B713" s="12">
        <v>1</v>
      </c>
      <c r="C713" s="2">
        <v>0</v>
      </c>
      <c r="D713" s="2">
        <v>0</v>
      </c>
      <c r="E713" s="2">
        <v>0</v>
      </c>
    </row>
    <row r="714" spans="1:5" ht="17.25" hidden="1" customHeight="1" thickBot="1" x14ac:dyDescent="0.35">
      <c r="A714" s="13"/>
      <c r="B714" s="12">
        <v>2</v>
      </c>
      <c r="C714" s="2">
        <v>1</v>
      </c>
      <c r="D714" s="2">
        <v>0</v>
      </c>
      <c r="E714" s="2">
        <v>0</v>
      </c>
    </row>
    <row r="715" spans="1:5" ht="17.25" hidden="1" customHeight="1" thickBot="1" x14ac:dyDescent="0.35">
      <c r="A715" s="13"/>
      <c r="B715" s="12">
        <v>3</v>
      </c>
      <c r="C715" s="2">
        <v>0</v>
      </c>
      <c r="D715" s="2">
        <v>1</v>
      </c>
      <c r="E715" s="2">
        <v>0</v>
      </c>
    </row>
    <row r="716" spans="1:5" ht="16.5" hidden="1" customHeight="1" x14ac:dyDescent="0.3">
      <c r="A716" s="14"/>
      <c r="B716" s="15">
        <v>4</v>
      </c>
      <c r="C716" s="2">
        <v>0</v>
      </c>
      <c r="D716" s="2">
        <v>0</v>
      </c>
      <c r="E716" s="2">
        <v>1</v>
      </c>
    </row>
    <row r="717" spans="1:5" ht="16.5" hidden="1" customHeight="1" thickBot="1" x14ac:dyDescent="0.35"/>
    <row r="718" spans="1:5" ht="66" hidden="1" customHeight="1" x14ac:dyDescent="0.3">
      <c r="A718" s="4" t="s">
        <v>465</v>
      </c>
    </row>
    <row r="719" spans="1:5" ht="99" hidden="1" customHeight="1" x14ac:dyDescent="0.3">
      <c r="A719" s="23" t="s">
        <v>466</v>
      </c>
    </row>
    <row r="720" spans="1:5" ht="16.5" hidden="1" customHeight="1" thickBot="1" x14ac:dyDescent="0.35"/>
    <row r="721" spans="1:5" ht="16.5" hidden="1" customHeight="1" x14ac:dyDescent="0.3">
      <c r="A721" s="24" t="s">
        <v>467</v>
      </c>
      <c r="B721" s="26"/>
      <c r="C721" s="26"/>
    </row>
    <row r="722" spans="1:5" ht="66" hidden="1" customHeight="1" x14ac:dyDescent="0.3">
      <c r="A722" s="6" t="s">
        <v>468</v>
      </c>
      <c r="B722" s="3" t="s">
        <v>469</v>
      </c>
      <c r="C722" s="3" t="s">
        <v>470</v>
      </c>
    </row>
    <row r="723" spans="1:5" ht="17.25" hidden="1" customHeight="1" thickBot="1" x14ac:dyDescent="0.35">
      <c r="A723" s="13" t="s">
        <v>471</v>
      </c>
      <c r="B723" s="2">
        <v>705748.16</v>
      </c>
      <c r="C723" s="2">
        <v>699605.41</v>
      </c>
    </row>
    <row r="724" spans="1:5" ht="17.25" hidden="1" customHeight="1" thickBot="1" x14ac:dyDescent="0.35">
      <c r="A724" s="13" t="s">
        <v>472</v>
      </c>
      <c r="B724" s="2">
        <v>705760.97</v>
      </c>
      <c r="C724" s="2">
        <v>699656.62</v>
      </c>
    </row>
    <row r="725" spans="1:5" ht="16.5" hidden="1" customHeight="1" x14ac:dyDescent="0.3">
      <c r="A725" s="14" t="s">
        <v>473</v>
      </c>
      <c r="B725" s="2" t="s">
        <v>625</v>
      </c>
      <c r="C725" s="2">
        <v>699597.41</v>
      </c>
    </row>
    <row r="726" spans="1:5" ht="16.5" hidden="1" customHeight="1" thickBot="1" x14ac:dyDescent="0.35"/>
    <row r="727" spans="1:5" ht="16.5" hidden="1" customHeight="1" x14ac:dyDescent="0.3">
      <c r="A727" s="24" t="s">
        <v>474</v>
      </c>
      <c r="B727" s="26"/>
      <c r="C727" s="26"/>
      <c r="D727" s="26"/>
      <c r="E727" s="26"/>
    </row>
    <row r="728" spans="1:5" ht="16.5" hidden="1" customHeight="1" x14ac:dyDescent="0.3">
      <c r="A728" s="6" t="s">
        <v>475</v>
      </c>
      <c r="B728" s="3" t="s">
        <v>476</v>
      </c>
      <c r="C728" s="3" t="s">
        <v>477</v>
      </c>
      <c r="D728" s="3" t="s">
        <v>478</v>
      </c>
      <c r="E728" s="3" t="s">
        <v>479</v>
      </c>
    </row>
    <row r="729" spans="1:5" ht="33" hidden="1" customHeight="1" x14ac:dyDescent="0.3">
      <c r="A729" s="25" t="s">
        <v>650</v>
      </c>
      <c r="B729" s="27"/>
      <c r="C729" s="27"/>
      <c r="D729" s="27"/>
      <c r="E729" s="27"/>
    </row>
    <row r="730" spans="1:5" ht="26.25" hidden="1" customHeight="1" thickBot="1" x14ac:dyDescent="0.35">
      <c r="A730" s="13" t="s">
        <v>481</v>
      </c>
      <c r="B730" s="2">
        <v>5.98</v>
      </c>
      <c r="C730" s="2">
        <v>2.9809000000000001</v>
      </c>
      <c r="D730" s="2">
        <v>6838.23</v>
      </c>
      <c r="E730" s="2">
        <v>5.0000000000000001E-4</v>
      </c>
    </row>
    <row r="731" spans="1:5" ht="17.25" hidden="1" customHeight="1" thickBot="1" x14ac:dyDescent="0.35">
      <c r="A731" s="13" t="s">
        <v>483</v>
      </c>
      <c r="B731" s="2">
        <v>8.42</v>
      </c>
      <c r="C731" s="2">
        <v>3</v>
      </c>
      <c r="D731" s="2">
        <v>2292</v>
      </c>
      <c r="E731" s="2" t="s">
        <v>482</v>
      </c>
    </row>
    <row r="732" spans="1:5" ht="16.5" hidden="1" customHeight="1" x14ac:dyDescent="0.3">
      <c r="A732" s="14" t="s">
        <v>484</v>
      </c>
      <c r="B732" s="2">
        <v>4.29</v>
      </c>
      <c r="C732" s="2">
        <v>3</v>
      </c>
      <c r="D732" s="2">
        <v>2292</v>
      </c>
      <c r="E732" s="2">
        <v>5.0000000000000001E-3</v>
      </c>
    </row>
    <row r="733" spans="1:5" ht="16.5" hidden="1" customHeight="1" thickBot="1" x14ac:dyDescent="0.35"/>
    <row r="734" spans="1:5" ht="16.5" hidden="1" customHeight="1" x14ac:dyDescent="0.3">
      <c r="A734" s="24" t="s">
        <v>485</v>
      </c>
      <c r="B734" s="26"/>
      <c r="C734" s="26"/>
      <c r="D734" s="26"/>
      <c r="E734" s="26"/>
    </row>
    <row r="735" spans="1:5" ht="16.5" hidden="1" customHeight="1" x14ac:dyDescent="0.3">
      <c r="A735" s="6" t="s">
        <v>486</v>
      </c>
      <c r="B735" s="3" t="s">
        <v>476</v>
      </c>
      <c r="C735" s="3" t="s">
        <v>477</v>
      </c>
      <c r="D735" s="3" t="s">
        <v>478</v>
      </c>
      <c r="E735" s="3" t="s">
        <v>479</v>
      </c>
    </row>
    <row r="736" spans="1:5" ht="16.5" hidden="1" customHeight="1" x14ac:dyDescent="0.3">
      <c r="A736" s="14" t="s">
        <v>28</v>
      </c>
      <c r="B736" s="2">
        <v>4.29</v>
      </c>
      <c r="C736" s="2">
        <v>3</v>
      </c>
      <c r="D736" s="2">
        <v>2292</v>
      </c>
      <c r="E736" s="2">
        <v>5.0000000000000001E-3</v>
      </c>
    </row>
    <row r="737" spans="1:9" ht="16.5" hidden="1" customHeight="1" thickBot="1" x14ac:dyDescent="0.35"/>
    <row r="738" spans="1:9" ht="16.5" hidden="1" customHeight="1" x14ac:dyDescent="0.3">
      <c r="A738" s="24" t="s">
        <v>487</v>
      </c>
      <c r="B738" s="26"/>
      <c r="C738" s="26"/>
      <c r="D738" s="26"/>
      <c r="E738" s="26"/>
      <c r="F738" s="26"/>
    </row>
    <row r="739" spans="1:9" ht="16.5" hidden="1" customHeight="1" x14ac:dyDescent="0.3">
      <c r="A739" s="25" t="s">
        <v>488</v>
      </c>
      <c r="B739" s="27"/>
      <c r="C739" s="27" t="s">
        <v>489</v>
      </c>
      <c r="D739" s="3" t="s">
        <v>490</v>
      </c>
      <c r="E739" s="27" t="s">
        <v>492</v>
      </c>
      <c r="F739" s="27" t="s">
        <v>493</v>
      </c>
    </row>
    <row r="740" spans="1:9" ht="16.5" hidden="1" customHeight="1" x14ac:dyDescent="0.3">
      <c r="A740" s="25"/>
      <c r="B740" s="27"/>
      <c r="C740" s="27"/>
      <c r="D740" s="3" t="s">
        <v>491</v>
      </c>
      <c r="E740" s="27"/>
      <c r="F740" s="27"/>
    </row>
    <row r="741" spans="1:9" ht="16.5" hidden="1" customHeight="1" x14ac:dyDescent="0.3">
      <c r="A741" s="25" t="s">
        <v>546</v>
      </c>
      <c r="B741" s="27"/>
      <c r="C741" s="27"/>
      <c r="D741" s="27"/>
      <c r="E741" s="27"/>
      <c r="F741" s="27"/>
    </row>
    <row r="742" spans="1:9" ht="17.25" hidden="1" customHeight="1" thickBot="1" x14ac:dyDescent="0.35">
      <c r="A742" s="13" t="s">
        <v>495</v>
      </c>
      <c r="B742" s="12"/>
      <c r="C742" s="16">
        <v>-4.3734000000000002</v>
      </c>
      <c r="D742" s="2">
        <v>0.2843</v>
      </c>
      <c r="E742" s="16">
        <v>-15.38</v>
      </c>
      <c r="F742" s="2" t="s">
        <v>482</v>
      </c>
    </row>
    <row r="743" spans="1:9" ht="17.25" hidden="1" customHeight="1" thickBot="1" x14ac:dyDescent="0.35">
      <c r="A743" s="13" t="s">
        <v>28</v>
      </c>
      <c r="B743" s="12">
        <v>2</v>
      </c>
      <c r="C743" s="2">
        <v>0.74370000000000003</v>
      </c>
      <c r="D743" s="2">
        <v>0.34079999999999999</v>
      </c>
      <c r="E743" s="2">
        <v>2.1800000000000002</v>
      </c>
      <c r="F743" s="2">
        <v>2.92E-2</v>
      </c>
    </row>
    <row r="744" spans="1:9" ht="17.25" hidden="1" customHeight="1" thickBot="1" x14ac:dyDescent="0.35">
      <c r="A744" s="13" t="s">
        <v>28</v>
      </c>
      <c r="B744" s="12">
        <v>3</v>
      </c>
      <c r="C744" s="2">
        <v>1.0150999999999999</v>
      </c>
      <c r="D744" s="2">
        <v>0.30680000000000002</v>
      </c>
      <c r="E744" s="2">
        <v>3.31</v>
      </c>
      <c r="F744" s="2">
        <v>1E-3</v>
      </c>
    </row>
    <row r="745" spans="1:9" ht="16.5" hidden="1" customHeight="1" x14ac:dyDescent="0.3">
      <c r="A745" s="14" t="s">
        <v>28</v>
      </c>
      <c r="B745" s="15">
        <v>4</v>
      </c>
      <c r="C745" s="2">
        <v>1.0371999999999999</v>
      </c>
      <c r="D745" s="2">
        <v>0.31380000000000002</v>
      </c>
      <c r="E745" s="2">
        <v>3.31</v>
      </c>
      <c r="F745" s="2">
        <v>1E-3</v>
      </c>
    </row>
    <row r="746" spans="1:9" ht="16.5" hidden="1" customHeight="1" thickBot="1" x14ac:dyDescent="0.35"/>
    <row r="747" spans="1:9" ht="16.5" hidden="1" customHeight="1" x14ac:dyDescent="0.3">
      <c r="A747" s="24" t="s">
        <v>496</v>
      </c>
      <c r="B747" s="26"/>
      <c r="C747" s="26"/>
      <c r="D747" s="26"/>
    </row>
    <row r="748" spans="1:9" ht="33" hidden="1" customHeight="1" x14ac:dyDescent="0.3">
      <c r="A748" s="6" t="s">
        <v>486</v>
      </c>
      <c r="B748" s="3" t="s">
        <v>497</v>
      </c>
      <c r="C748" s="27" t="s">
        <v>91</v>
      </c>
      <c r="D748" s="27"/>
    </row>
    <row r="749" spans="1:9" ht="49.5" hidden="1" customHeight="1" x14ac:dyDescent="0.3">
      <c r="A749" s="25" t="s">
        <v>547</v>
      </c>
      <c r="B749" s="27"/>
      <c r="C749" s="27"/>
      <c r="D749" s="27"/>
    </row>
    <row r="750" spans="1:9" ht="26.25" thickBot="1" x14ac:dyDescent="0.35">
      <c r="A750" s="13" t="s">
        <v>525</v>
      </c>
      <c r="B750" s="2">
        <v>2.1040000000000001</v>
      </c>
      <c r="C750" s="2">
        <v>1.0780000000000001</v>
      </c>
      <c r="D750" s="2">
        <v>4.1040000000000001</v>
      </c>
      <c r="H750" s="8" t="str">
        <f t="shared" ref="H750:H752" si="16">TEXT(B750,"0.00")&amp;" ("&amp;TEXT(C750,"0.00")&amp;" to "&amp;TEXT(D750,"0.00")&amp;")"</f>
        <v>2.10 (1.08 to 4.10)</v>
      </c>
      <c r="I750">
        <f>F743</f>
        <v>2.92E-2</v>
      </c>
    </row>
    <row r="751" spans="1:9" ht="26.25" thickBot="1" x14ac:dyDescent="0.35">
      <c r="A751" s="13" t="s">
        <v>526</v>
      </c>
      <c r="B751" s="2">
        <v>2.76</v>
      </c>
      <c r="C751" s="2">
        <v>1.512</v>
      </c>
      <c r="D751" s="2">
        <v>5.0359999999999996</v>
      </c>
      <c r="H751" s="8" t="str">
        <f t="shared" si="16"/>
        <v>2.76 (1.51 to 5.04)</v>
      </c>
      <c r="I751">
        <f t="shared" ref="I751:I752" si="17">F744</f>
        <v>1E-3</v>
      </c>
    </row>
    <row r="752" spans="1:9" ht="25.5" x14ac:dyDescent="0.3">
      <c r="A752" s="14" t="s">
        <v>527</v>
      </c>
      <c r="B752" s="2">
        <v>2.8210000000000002</v>
      </c>
      <c r="C752" s="2">
        <v>1.5249999999999999</v>
      </c>
      <c r="D752" s="2">
        <v>5.22</v>
      </c>
      <c r="H752" s="8" t="str">
        <f t="shared" si="16"/>
        <v>2.82 (1.53 to 5.22)</v>
      </c>
      <c r="I752">
        <f t="shared" si="17"/>
        <v>1E-3</v>
      </c>
    </row>
    <row r="753" spans="1:4" ht="16.5" hidden="1" customHeight="1" thickBot="1" x14ac:dyDescent="0.35"/>
    <row r="754" spans="1:4" ht="33" hidden="1" customHeight="1" x14ac:dyDescent="0.3">
      <c r="A754" s="24" t="s">
        <v>502</v>
      </c>
      <c r="B754" s="26"/>
      <c r="C754" s="26"/>
      <c r="D754" s="26"/>
    </row>
    <row r="755" spans="1:4" ht="39" hidden="1" customHeight="1" thickBot="1" x14ac:dyDescent="0.35">
      <c r="A755" s="13" t="s">
        <v>503</v>
      </c>
      <c r="B755" s="2">
        <v>43.6</v>
      </c>
      <c r="C755" s="12" t="s">
        <v>504</v>
      </c>
      <c r="D755" s="2">
        <v>0.157</v>
      </c>
    </row>
    <row r="756" spans="1:4" ht="26.25" hidden="1" customHeight="1" thickBot="1" x14ac:dyDescent="0.35">
      <c r="A756" s="13" t="s">
        <v>505</v>
      </c>
      <c r="B756" s="2">
        <v>28</v>
      </c>
      <c r="C756" s="12" t="s">
        <v>506</v>
      </c>
      <c r="D756" s="2">
        <v>0.219</v>
      </c>
    </row>
    <row r="757" spans="1:4" ht="26.25" hidden="1" customHeight="1" thickBot="1" x14ac:dyDescent="0.35">
      <c r="A757" s="13" t="s">
        <v>507</v>
      </c>
      <c r="B757" s="2">
        <v>28.4</v>
      </c>
      <c r="C757" s="12" t="s">
        <v>508</v>
      </c>
      <c r="D757" s="2">
        <v>0.01</v>
      </c>
    </row>
    <row r="758" spans="1:4" ht="16.5" hidden="1" customHeight="1" x14ac:dyDescent="0.3">
      <c r="A758" s="14" t="s">
        <v>509</v>
      </c>
      <c r="B758" s="2">
        <v>1929186</v>
      </c>
      <c r="C758" s="15" t="s">
        <v>510</v>
      </c>
      <c r="D758" s="2">
        <v>0.57799999999999996</v>
      </c>
    </row>
    <row r="759" spans="1:4" ht="16.5" hidden="1" customHeight="1" x14ac:dyDescent="0.3"/>
    <row r="760" spans="1:4" ht="16.5" hidden="1" customHeight="1" x14ac:dyDescent="0.3"/>
    <row r="761" spans="1:4" ht="16.5" hidden="1" customHeight="1" x14ac:dyDescent="0.3"/>
    <row r="762" spans="1:4" ht="16.5" hidden="1" customHeight="1" x14ac:dyDescent="0.3">
      <c r="A762" s="1" t="s">
        <v>436</v>
      </c>
    </row>
    <row r="763" spans="1:4" ht="16.5" hidden="1" customHeight="1" x14ac:dyDescent="0.3"/>
    <row r="764" spans="1:4" ht="16.5" hidden="1" customHeight="1" x14ac:dyDescent="0.3">
      <c r="A764" s="1" t="s">
        <v>403</v>
      </c>
    </row>
    <row r="765" spans="1:4" ht="16.5" hidden="1" customHeight="1" thickBot="1" x14ac:dyDescent="0.35"/>
    <row r="766" spans="1:4" ht="16.5" hidden="1" customHeight="1" x14ac:dyDescent="0.3">
      <c r="A766" s="24" t="s">
        <v>437</v>
      </c>
      <c r="B766" s="26"/>
    </row>
    <row r="767" spans="1:4" ht="26.25" hidden="1" customHeight="1" thickBot="1" x14ac:dyDescent="0.35">
      <c r="A767" s="13" t="s">
        <v>438</v>
      </c>
      <c r="B767" s="18" t="s">
        <v>439</v>
      </c>
    </row>
    <row r="768" spans="1:4" ht="26.25" hidden="1" customHeight="1" thickBot="1" x14ac:dyDescent="0.35">
      <c r="A768" s="13" t="s">
        <v>440</v>
      </c>
      <c r="B768" s="18" t="s">
        <v>19</v>
      </c>
    </row>
    <row r="769" spans="1:2" ht="39" hidden="1" customHeight="1" thickBot="1" x14ac:dyDescent="0.35">
      <c r="A769" s="13" t="s">
        <v>441</v>
      </c>
      <c r="B769" s="18">
        <v>2</v>
      </c>
    </row>
    <row r="770" spans="1:2" ht="26.25" hidden="1" customHeight="1" thickBot="1" x14ac:dyDescent="0.35">
      <c r="A770" s="13" t="s">
        <v>442</v>
      </c>
      <c r="B770" s="18" t="s">
        <v>443</v>
      </c>
    </row>
    <row r="771" spans="1:2" ht="26.25" hidden="1" customHeight="1" thickBot="1" x14ac:dyDescent="0.35">
      <c r="A771" s="13" t="s">
        <v>76</v>
      </c>
      <c r="B771" s="18">
        <v>183</v>
      </c>
    </row>
    <row r="772" spans="1:2" ht="26.25" hidden="1" customHeight="1" thickBot="1" x14ac:dyDescent="0.35">
      <c r="A772" s="13" t="s">
        <v>444</v>
      </c>
      <c r="B772" s="18" t="s">
        <v>445</v>
      </c>
    </row>
    <row r="773" spans="1:2" ht="26.25" hidden="1" customHeight="1" thickBot="1" x14ac:dyDescent="0.35">
      <c r="A773" s="13" t="s">
        <v>77</v>
      </c>
      <c r="B773" s="18">
        <v>2888</v>
      </c>
    </row>
    <row r="774" spans="1:2" ht="26.25" hidden="1" customHeight="1" thickBot="1" x14ac:dyDescent="0.35">
      <c r="A774" s="13" t="s">
        <v>446</v>
      </c>
      <c r="B774" s="18" t="s">
        <v>447</v>
      </c>
    </row>
    <row r="775" spans="1:2" ht="26.25" hidden="1" customHeight="1" thickBot="1" x14ac:dyDescent="0.35">
      <c r="A775" s="13" t="s">
        <v>448</v>
      </c>
      <c r="B775" s="18" t="s">
        <v>449</v>
      </c>
    </row>
    <row r="776" spans="1:2" ht="39" hidden="1" customHeight="1" thickBot="1" x14ac:dyDescent="0.35">
      <c r="A776" s="13" t="s">
        <v>450</v>
      </c>
      <c r="B776" s="18" t="s">
        <v>451</v>
      </c>
    </row>
    <row r="777" spans="1:2" ht="38.25" hidden="1" customHeight="1" x14ac:dyDescent="0.3">
      <c r="A777" s="14" t="s">
        <v>452</v>
      </c>
      <c r="B777" s="19" t="s">
        <v>453</v>
      </c>
    </row>
    <row r="778" spans="1:2" ht="16.5" hidden="1" customHeight="1" thickBot="1" x14ac:dyDescent="0.35"/>
    <row r="779" spans="1:2" ht="33" hidden="1" customHeight="1" x14ac:dyDescent="0.3">
      <c r="A779" s="24" t="s">
        <v>80</v>
      </c>
      <c r="B779" s="26"/>
    </row>
    <row r="780" spans="1:2" ht="33.75" hidden="1" customHeight="1" thickBot="1" x14ac:dyDescent="0.35">
      <c r="A780" s="13" t="s">
        <v>81</v>
      </c>
      <c r="B780" s="2" t="s">
        <v>82</v>
      </c>
    </row>
    <row r="781" spans="1:2" ht="66" hidden="1" customHeight="1" x14ac:dyDescent="0.3">
      <c r="A781" s="14" t="s">
        <v>452</v>
      </c>
      <c r="B781" s="2" t="s">
        <v>453</v>
      </c>
    </row>
    <row r="782" spans="1:2" ht="16.5" hidden="1" customHeight="1" thickBot="1" x14ac:dyDescent="0.35"/>
    <row r="783" spans="1:2" ht="39" hidden="1" customHeight="1" thickBot="1" x14ac:dyDescent="0.35">
      <c r="A783" s="20" t="s">
        <v>454</v>
      </c>
      <c r="B783" s="21">
        <v>17758</v>
      </c>
    </row>
    <row r="784" spans="1:2" ht="39" hidden="1" customHeight="1" thickBot="1" x14ac:dyDescent="0.35">
      <c r="A784" s="13" t="s">
        <v>455</v>
      </c>
      <c r="B784" s="2">
        <v>17758</v>
      </c>
    </row>
    <row r="785" spans="1:5" ht="39" hidden="1" customHeight="1" thickBot="1" x14ac:dyDescent="0.35">
      <c r="A785" s="13" t="s">
        <v>456</v>
      </c>
      <c r="B785" s="2">
        <v>7987796</v>
      </c>
    </row>
    <row r="786" spans="1:5" ht="38.25" hidden="1" customHeight="1" x14ac:dyDescent="0.3">
      <c r="A786" s="14" t="s">
        <v>457</v>
      </c>
      <c r="B786" s="2">
        <v>7987796</v>
      </c>
    </row>
    <row r="787" spans="1:5" ht="16.5" hidden="1" customHeight="1" thickBot="1" x14ac:dyDescent="0.35"/>
    <row r="788" spans="1:5" ht="16.5" hidden="1" customHeight="1" x14ac:dyDescent="0.3">
      <c r="A788" s="24" t="s">
        <v>458</v>
      </c>
      <c r="B788" s="26"/>
      <c r="C788" s="26"/>
      <c r="D788" s="26"/>
    </row>
    <row r="789" spans="1:5" ht="16.5" hidden="1" customHeight="1" x14ac:dyDescent="0.3">
      <c r="A789" s="6" t="s">
        <v>459</v>
      </c>
      <c r="B789" s="27" t="s">
        <v>19</v>
      </c>
      <c r="C789" s="3" t="s">
        <v>93</v>
      </c>
      <c r="D789" s="3" t="s">
        <v>93</v>
      </c>
    </row>
    <row r="790" spans="1:5" ht="33" hidden="1" customHeight="1" x14ac:dyDescent="0.3">
      <c r="A790" s="6" t="s">
        <v>460</v>
      </c>
      <c r="B790" s="27"/>
      <c r="C790" s="3" t="s">
        <v>86</v>
      </c>
      <c r="D790" s="3" t="s">
        <v>461</v>
      </c>
    </row>
    <row r="791" spans="1:5" ht="17.25" hidden="1" customHeight="1" thickBot="1" x14ac:dyDescent="0.35">
      <c r="A791" s="6">
        <v>1</v>
      </c>
      <c r="B791" s="17">
        <v>0</v>
      </c>
      <c r="C791" s="2">
        <v>17445</v>
      </c>
      <c r="D791" s="2">
        <v>7882221.5</v>
      </c>
    </row>
    <row r="792" spans="1:5" ht="16.5" hidden="1" customHeight="1" x14ac:dyDescent="0.3">
      <c r="A792" s="6">
        <v>2</v>
      </c>
      <c r="B792" s="22">
        <v>1</v>
      </c>
      <c r="C792" s="2">
        <v>313</v>
      </c>
      <c r="D792" s="2">
        <v>105574.39999999999</v>
      </c>
    </row>
    <row r="793" spans="1:5" ht="16.5" hidden="1" customHeight="1" x14ac:dyDescent="0.3"/>
    <row r="794" spans="1:5" ht="16.5" hidden="1" customHeight="1" x14ac:dyDescent="0.3">
      <c r="A794" s="1" t="s">
        <v>513</v>
      </c>
    </row>
    <row r="795" spans="1:5" ht="16.5" hidden="1" customHeight="1" thickBot="1" x14ac:dyDescent="0.35"/>
    <row r="796" spans="1:5" ht="16.5" hidden="1" customHeight="1" x14ac:dyDescent="0.3">
      <c r="A796" s="24" t="s">
        <v>462</v>
      </c>
      <c r="B796" s="26"/>
      <c r="C796" s="26"/>
      <c r="D796" s="26"/>
      <c r="E796" s="26"/>
    </row>
    <row r="797" spans="1:5" ht="16.5" hidden="1" customHeight="1" x14ac:dyDescent="0.3">
      <c r="A797" s="6" t="s">
        <v>463</v>
      </c>
      <c r="B797" s="3" t="s">
        <v>460</v>
      </c>
      <c r="C797" s="27" t="s">
        <v>464</v>
      </c>
      <c r="D797" s="27"/>
      <c r="E797" s="27"/>
    </row>
    <row r="798" spans="1:5" ht="17.25" hidden="1" customHeight="1" thickBot="1" x14ac:dyDescent="0.35">
      <c r="A798" s="13" t="s">
        <v>28</v>
      </c>
      <c r="B798" s="12">
        <v>1</v>
      </c>
      <c r="C798" s="2">
        <v>0</v>
      </c>
      <c r="D798" s="2">
        <v>0</v>
      </c>
      <c r="E798" s="2">
        <v>0</v>
      </c>
    </row>
    <row r="799" spans="1:5" ht="17.25" hidden="1" customHeight="1" thickBot="1" x14ac:dyDescent="0.35">
      <c r="A799" s="13"/>
      <c r="B799" s="12">
        <v>2</v>
      </c>
      <c r="C799" s="2">
        <v>1</v>
      </c>
      <c r="D799" s="2">
        <v>0</v>
      </c>
      <c r="E799" s="2">
        <v>0</v>
      </c>
    </row>
    <row r="800" spans="1:5" ht="17.25" hidden="1" customHeight="1" thickBot="1" x14ac:dyDescent="0.35">
      <c r="A800" s="13"/>
      <c r="B800" s="12">
        <v>3</v>
      </c>
      <c r="C800" s="2">
        <v>0</v>
      </c>
      <c r="D800" s="2">
        <v>1</v>
      </c>
      <c r="E800" s="2">
        <v>0</v>
      </c>
    </row>
    <row r="801" spans="1:5" ht="16.5" hidden="1" customHeight="1" x14ac:dyDescent="0.3">
      <c r="A801" s="14"/>
      <c r="B801" s="15">
        <v>4</v>
      </c>
      <c r="C801" s="2">
        <v>0</v>
      </c>
      <c r="D801" s="2">
        <v>0</v>
      </c>
      <c r="E801" s="2">
        <v>1</v>
      </c>
    </row>
    <row r="802" spans="1:5" ht="16.5" hidden="1" customHeight="1" thickBot="1" x14ac:dyDescent="0.35"/>
    <row r="803" spans="1:5" ht="66" hidden="1" customHeight="1" x14ac:dyDescent="0.3">
      <c r="A803" s="4" t="s">
        <v>465</v>
      </c>
    </row>
    <row r="804" spans="1:5" ht="99" hidden="1" customHeight="1" x14ac:dyDescent="0.3">
      <c r="A804" s="23" t="s">
        <v>466</v>
      </c>
    </row>
    <row r="805" spans="1:5" ht="16.5" hidden="1" customHeight="1" thickBot="1" x14ac:dyDescent="0.35"/>
    <row r="806" spans="1:5" ht="16.5" hidden="1" customHeight="1" x14ac:dyDescent="0.3">
      <c r="A806" s="24" t="s">
        <v>467</v>
      </c>
      <c r="B806" s="26"/>
      <c r="C806" s="26"/>
    </row>
    <row r="807" spans="1:5" ht="66" hidden="1" customHeight="1" x14ac:dyDescent="0.3">
      <c r="A807" s="6" t="s">
        <v>468</v>
      </c>
      <c r="B807" s="3" t="s">
        <v>469</v>
      </c>
      <c r="C807" s="3" t="s">
        <v>470</v>
      </c>
    </row>
    <row r="808" spans="1:5" ht="17.25" hidden="1" customHeight="1" thickBot="1" x14ac:dyDescent="0.35">
      <c r="A808" s="13" t="s">
        <v>471</v>
      </c>
      <c r="B808" s="2">
        <v>1123232.3</v>
      </c>
      <c r="C808" s="2">
        <v>1110134.2</v>
      </c>
    </row>
    <row r="809" spans="1:5" ht="17.25" hidden="1" customHeight="1" thickBot="1" x14ac:dyDescent="0.35">
      <c r="A809" s="13" t="s">
        <v>472</v>
      </c>
      <c r="B809" s="2">
        <v>1123246.1000000001</v>
      </c>
      <c r="C809" s="2">
        <v>1110189.8</v>
      </c>
    </row>
    <row r="810" spans="1:5" ht="16.5" hidden="1" customHeight="1" x14ac:dyDescent="0.3">
      <c r="A810" s="14" t="s">
        <v>473</v>
      </c>
      <c r="B810" s="2" t="s">
        <v>626</v>
      </c>
      <c r="C810" s="2">
        <v>1110126.2</v>
      </c>
    </row>
    <row r="811" spans="1:5" ht="16.5" hidden="1" customHeight="1" thickBot="1" x14ac:dyDescent="0.35"/>
    <row r="812" spans="1:5" ht="16.5" hidden="1" customHeight="1" x14ac:dyDescent="0.3">
      <c r="A812" s="24" t="s">
        <v>474</v>
      </c>
      <c r="B812" s="26"/>
      <c r="C812" s="26"/>
      <c r="D812" s="26"/>
      <c r="E812" s="26"/>
    </row>
    <row r="813" spans="1:5" ht="16.5" hidden="1" customHeight="1" x14ac:dyDescent="0.3">
      <c r="A813" s="6" t="s">
        <v>475</v>
      </c>
      <c r="B813" s="3" t="s">
        <v>476</v>
      </c>
      <c r="C813" s="3" t="s">
        <v>477</v>
      </c>
      <c r="D813" s="3" t="s">
        <v>478</v>
      </c>
      <c r="E813" s="3" t="s">
        <v>479</v>
      </c>
    </row>
    <row r="814" spans="1:5" ht="33" hidden="1" customHeight="1" x14ac:dyDescent="0.3">
      <c r="A814" s="25" t="s">
        <v>592</v>
      </c>
      <c r="B814" s="27"/>
      <c r="C814" s="27"/>
      <c r="D814" s="27"/>
      <c r="E814" s="27"/>
    </row>
    <row r="815" spans="1:5" ht="26.25" hidden="1" customHeight="1" thickBot="1" x14ac:dyDescent="0.35">
      <c r="A815" s="13" t="s">
        <v>481</v>
      </c>
      <c r="B815" s="2">
        <v>9.6199999999999992</v>
      </c>
      <c r="C815" s="2">
        <v>2.9897999999999998</v>
      </c>
      <c r="D815" s="2">
        <v>8087.39</v>
      </c>
      <c r="E815" s="2" t="s">
        <v>482</v>
      </c>
    </row>
    <row r="816" spans="1:5" ht="17.25" hidden="1" customHeight="1" thickBot="1" x14ac:dyDescent="0.35">
      <c r="A816" s="13" t="s">
        <v>483</v>
      </c>
      <c r="B816" s="2">
        <v>14.03</v>
      </c>
      <c r="C816" s="2">
        <v>3</v>
      </c>
      <c r="D816" s="2">
        <v>2703</v>
      </c>
      <c r="E816" s="2" t="s">
        <v>482</v>
      </c>
    </row>
    <row r="817" spans="1:6" ht="16.5" hidden="1" customHeight="1" x14ac:dyDescent="0.3">
      <c r="A817" s="14" t="s">
        <v>484</v>
      </c>
      <c r="B817" s="2">
        <v>8.02</v>
      </c>
      <c r="C817" s="2">
        <v>3</v>
      </c>
      <c r="D817" s="2">
        <v>2703</v>
      </c>
      <c r="E817" s="2" t="s">
        <v>482</v>
      </c>
    </row>
    <row r="818" spans="1:6" ht="16.5" hidden="1" customHeight="1" thickBot="1" x14ac:dyDescent="0.35"/>
    <row r="819" spans="1:6" ht="16.5" hidden="1" customHeight="1" x14ac:dyDescent="0.3">
      <c r="A819" s="24" t="s">
        <v>485</v>
      </c>
      <c r="B819" s="26"/>
      <c r="C819" s="26"/>
      <c r="D819" s="26"/>
      <c r="E819" s="26"/>
    </row>
    <row r="820" spans="1:6" ht="16.5" hidden="1" customHeight="1" x14ac:dyDescent="0.3">
      <c r="A820" s="6" t="s">
        <v>486</v>
      </c>
      <c r="B820" s="3" t="s">
        <v>476</v>
      </c>
      <c r="C820" s="3" t="s">
        <v>477</v>
      </c>
      <c r="D820" s="3" t="s">
        <v>478</v>
      </c>
      <c r="E820" s="3" t="s">
        <v>479</v>
      </c>
    </row>
    <row r="821" spans="1:6" ht="16.5" hidden="1" customHeight="1" x14ac:dyDescent="0.3">
      <c r="A821" s="14" t="s">
        <v>28</v>
      </c>
      <c r="B821" s="2">
        <v>8.02</v>
      </c>
      <c r="C821" s="2">
        <v>3</v>
      </c>
      <c r="D821" s="2">
        <v>2703</v>
      </c>
      <c r="E821" s="2" t="s">
        <v>482</v>
      </c>
    </row>
    <row r="822" spans="1:6" ht="16.5" hidden="1" customHeight="1" thickBot="1" x14ac:dyDescent="0.35"/>
    <row r="823" spans="1:6" ht="16.5" hidden="1" customHeight="1" x14ac:dyDescent="0.3">
      <c r="A823" s="24" t="s">
        <v>487</v>
      </c>
      <c r="B823" s="26"/>
      <c r="C823" s="26"/>
      <c r="D823" s="26"/>
      <c r="E823" s="26"/>
      <c r="F823" s="26"/>
    </row>
    <row r="824" spans="1:6" ht="16.5" hidden="1" customHeight="1" x14ac:dyDescent="0.3">
      <c r="A824" s="25" t="s">
        <v>488</v>
      </c>
      <c r="B824" s="27"/>
      <c r="C824" s="27" t="s">
        <v>489</v>
      </c>
      <c r="D824" s="3" t="s">
        <v>490</v>
      </c>
      <c r="E824" s="27" t="s">
        <v>492</v>
      </c>
      <c r="F824" s="27" t="s">
        <v>493</v>
      </c>
    </row>
    <row r="825" spans="1:6" ht="16.5" hidden="1" customHeight="1" x14ac:dyDescent="0.3">
      <c r="A825" s="25"/>
      <c r="B825" s="27"/>
      <c r="C825" s="27"/>
      <c r="D825" s="3" t="s">
        <v>491</v>
      </c>
      <c r="E825" s="27"/>
      <c r="F825" s="27"/>
    </row>
    <row r="826" spans="1:6" ht="16.5" hidden="1" customHeight="1" x14ac:dyDescent="0.3">
      <c r="A826" s="25" t="s">
        <v>548</v>
      </c>
      <c r="B826" s="27"/>
      <c r="C826" s="27"/>
      <c r="D826" s="27"/>
      <c r="E826" s="27"/>
      <c r="F826" s="27"/>
    </row>
    <row r="827" spans="1:6" ht="17.25" hidden="1" customHeight="1" thickBot="1" x14ac:dyDescent="0.35">
      <c r="A827" s="13" t="s">
        <v>495</v>
      </c>
      <c r="B827" s="12"/>
      <c r="C827" s="16">
        <v>-5.1364000000000001</v>
      </c>
      <c r="D827" s="2">
        <v>0.21590000000000001</v>
      </c>
      <c r="E827" s="16">
        <v>-23.79</v>
      </c>
      <c r="F827" s="2" t="s">
        <v>482</v>
      </c>
    </row>
    <row r="828" spans="1:6" ht="17.25" hidden="1" customHeight="1" thickBot="1" x14ac:dyDescent="0.35">
      <c r="A828" s="13" t="s">
        <v>28</v>
      </c>
      <c r="B828" s="12">
        <v>2</v>
      </c>
      <c r="C828" s="2">
        <v>0.68330000000000002</v>
      </c>
      <c r="D828" s="2">
        <v>0.25290000000000001</v>
      </c>
      <c r="E828" s="2">
        <v>2.7</v>
      </c>
      <c r="F828" s="2">
        <v>6.8999999999999999E-3</v>
      </c>
    </row>
    <row r="829" spans="1:6" ht="17.25" hidden="1" customHeight="1" thickBot="1" x14ac:dyDescent="0.35">
      <c r="A829" s="13" t="s">
        <v>28</v>
      </c>
      <c r="B829" s="12">
        <v>3</v>
      </c>
      <c r="C829" s="2">
        <v>0.98160000000000003</v>
      </c>
      <c r="D829" s="2">
        <v>0.24490000000000001</v>
      </c>
      <c r="E829" s="2">
        <v>4.01</v>
      </c>
      <c r="F829" s="2" t="s">
        <v>482</v>
      </c>
    </row>
    <row r="830" spans="1:6" ht="16.5" hidden="1" customHeight="1" x14ac:dyDescent="0.3">
      <c r="A830" s="14" t="s">
        <v>28</v>
      </c>
      <c r="B830" s="15">
        <v>4</v>
      </c>
      <c r="C830" s="2">
        <v>1.1296999999999999</v>
      </c>
      <c r="D830" s="2">
        <v>0.245</v>
      </c>
      <c r="E830" s="2">
        <v>4.6100000000000003</v>
      </c>
      <c r="F830" s="2" t="s">
        <v>482</v>
      </c>
    </row>
    <row r="831" spans="1:6" ht="16.5" hidden="1" customHeight="1" thickBot="1" x14ac:dyDescent="0.35"/>
    <row r="832" spans="1:6" ht="16.5" hidden="1" customHeight="1" x14ac:dyDescent="0.3">
      <c r="A832" s="24" t="s">
        <v>496</v>
      </c>
      <c r="B832" s="26"/>
      <c r="C832" s="26"/>
      <c r="D832" s="26"/>
    </row>
    <row r="833" spans="1:9" ht="33" hidden="1" customHeight="1" x14ac:dyDescent="0.3">
      <c r="A833" s="6" t="s">
        <v>486</v>
      </c>
      <c r="B833" s="3" t="s">
        <v>497</v>
      </c>
      <c r="C833" s="27" t="s">
        <v>91</v>
      </c>
      <c r="D833" s="27"/>
    </row>
    <row r="834" spans="1:9" ht="49.5" hidden="1" customHeight="1" x14ac:dyDescent="0.3">
      <c r="A834" s="25" t="s">
        <v>549</v>
      </c>
      <c r="B834" s="27"/>
      <c r="C834" s="27"/>
      <c r="D834" s="27"/>
    </row>
    <row r="835" spans="1:9" ht="26.25" thickBot="1" x14ac:dyDescent="0.35">
      <c r="A835" s="13" t="s">
        <v>525</v>
      </c>
      <c r="B835" s="2">
        <v>1.98</v>
      </c>
      <c r="C835" s="2">
        <v>1.206</v>
      </c>
      <c r="D835" s="2">
        <v>3.2519999999999998</v>
      </c>
      <c r="H835" s="8" t="str">
        <f t="shared" ref="H835:H837" si="18">TEXT(B835,"0.00")&amp;" ("&amp;TEXT(C835,"0.00")&amp;" to "&amp;TEXT(D835,"0.00")&amp;")"</f>
        <v>1.98 (1.21 to 3.25)</v>
      </c>
      <c r="I835">
        <f>F828</f>
        <v>6.8999999999999999E-3</v>
      </c>
    </row>
    <row r="836" spans="1:9" ht="26.25" thickBot="1" x14ac:dyDescent="0.35">
      <c r="A836" s="13" t="s">
        <v>526</v>
      </c>
      <c r="B836" s="2">
        <v>2.669</v>
      </c>
      <c r="C836" s="2">
        <v>1.651</v>
      </c>
      <c r="D836" s="2">
        <v>4.3140000000000001</v>
      </c>
      <c r="H836" s="8" t="str">
        <f t="shared" si="18"/>
        <v>2.67 (1.65 to 4.31)</v>
      </c>
      <c r="I836" t="str">
        <f t="shared" ref="I836:I837" si="19">F829</f>
        <v>&lt;.0001</v>
      </c>
    </row>
    <row r="837" spans="1:9" ht="25.5" x14ac:dyDescent="0.3">
      <c r="A837" s="14" t="s">
        <v>527</v>
      </c>
      <c r="B837" s="2">
        <v>3.0950000000000002</v>
      </c>
      <c r="C837" s="2">
        <v>1.9139999999999999</v>
      </c>
      <c r="D837" s="2">
        <v>5.0030000000000001</v>
      </c>
      <c r="H837" s="8" t="str">
        <f t="shared" si="18"/>
        <v>3.10 (1.91 to 5.00)</v>
      </c>
      <c r="I837" t="str">
        <f t="shared" si="19"/>
        <v>&lt;.0001</v>
      </c>
    </row>
    <row r="838" spans="1:9" ht="16.5" hidden="1" customHeight="1" thickBot="1" x14ac:dyDescent="0.35"/>
    <row r="839" spans="1:9" ht="33" hidden="1" customHeight="1" x14ac:dyDescent="0.3">
      <c r="A839" s="24" t="s">
        <v>502</v>
      </c>
      <c r="B839" s="26"/>
      <c r="C839" s="26"/>
      <c r="D839" s="26"/>
    </row>
    <row r="840" spans="1:9" ht="39" hidden="1" customHeight="1" thickBot="1" x14ac:dyDescent="0.35">
      <c r="A840" s="13" t="s">
        <v>503</v>
      </c>
      <c r="B840" s="2">
        <v>45.3</v>
      </c>
      <c r="C840" s="12" t="s">
        <v>504</v>
      </c>
      <c r="D840" s="2">
        <v>0.16600000000000001</v>
      </c>
    </row>
    <row r="841" spans="1:9" ht="26.25" hidden="1" customHeight="1" thickBot="1" x14ac:dyDescent="0.35">
      <c r="A841" s="13" t="s">
        <v>505</v>
      </c>
      <c r="B841" s="2">
        <v>28.7</v>
      </c>
      <c r="C841" s="12" t="s">
        <v>506</v>
      </c>
      <c r="D841" s="2">
        <v>0.22500000000000001</v>
      </c>
    </row>
    <row r="842" spans="1:9" ht="26.25" hidden="1" customHeight="1" thickBot="1" x14ac:dyDescent="0.35">
      <c r="A842" s="13" t="s">
        <v>507</v>
      </c>
      <c r="B842" s="2">
        <v>26.1</v>
      </c>
      <c r="C842" s="12" t="s">
        <v>508</v>
      </c>
      <c r="D842" s="2">
        <v>6.0000000000000001E-3</v>
      </c>
    </row>
    <row r="843" spans="1:9" ht="16.5" hidden="1" customHeight="1" x14ac:dyDescent="0.3">
      <c r="A843" s="14" t="s">
        <v>509</v>
      </c>
      <c r="B843" s="2">
        <v>5460285</v>
      </c>
      <c r="C843" s="15" t="s">
        <v>510</v>
      </c>
      <c r="D843" s="2">
        <v>0.58299999999999996</v>
      </c>
    </row>
    <row r="844" spans="1:9" ht="16.5" hidden="1" customHeight="1" x14ac:dyDescent="0.3"/>
    <row r="845" spans="1:9" ht="16.5" hidden="1" customHeight="1" x14ac:dyDescent="0.3"/>
    <row r="846" spans="1:9" ht="16.5" hidden="1" customHeight="1" x14ac:dyDescent="0.3"/>
    <row r="847" spans="1:9" ht="16.5" hidden="1" customHeight="1" x14ac:dyDescent="0.3">
      <c r="A847" s="1" t="s">
        <v>436</v>
      </c>
    </row>
    <row r="848" spans="1:9" ht="16.5" hidden="1" customHeight="1" x14ac:dyDescent="0.3"/>
    <row r="849" spans="1:2" ht="16.5" hidden="1" customHeight="1" x14ac:dyDescent="0.3">
      <c r="A849" s="1" t="s">
        <v>404</v>
      </c>
    </row>
    <row r="850" spans="1:2" ht="16.5" hidden="1" customHeight="1" thickBot="1" x14ac:dyDescent="0.35"/>
    <row r="851" spans="1:2" ht="16.5" hidden="1" customHeight="1" x14ac:dyDescent="0.3">
      <c r="A851" s="24" t="s">
        <v>437</v>
      </c>
      <c r="B851" s="26"/>
    </row>
    <row r="852" spans="1:2" ht="26.25" hidden="1" customHeight="1" thickBot="1" x14ac:dyDescent="0.35">
      <c r="A852" s="13" t="s">
        <v>438</v>
      </c>
      <c r="B852" s="18" t="s">
        <v>439</v>
      </c>
    </row>
    <row r="853" spans="1:2" ht="26.25" hidden="1" customHeight="1" thickBot="1" x14ac:dyDescent="0.35">
      <c r="A853" s="13" t="s">
        <v>440</v>
      </c>
      <c r="B853" s="18" t="s">
        <v>19</v>
      </c>
    </row>
    <row r="854" spans="1:2" ht="39" hidden="1" customHeight="1" thickBot="1" x14ac:dyDescent="0.35">
      <c r="A854" s="13" t="s">
        <v>441</v>
      </c>
      <c r="B854" s="18">
        <v>2</v>
      </c>
    </row>
    <row r="855" spans="1:2" ht="26.25" hidden="1" customHeight="1" thickBot="1" x14ac:dyDescent="0.35">
      <c r="A855" s="13" t="s">
        <v>442</v>
      </c>
      <c r="B855" s="18" t="s">
        <v>443</v>
      </c>
    </row>
    <row r="856" spans="1:2" ht="26.25" hidden="1" customHeight="1" thickBot="1" x14ac:dyDescent="0.35">
      <c r="A856" s="13" t="s">
        <v>76</v>
      </c>
      <c r="B856" s="18">
        <v>183</v>
      </c>
    </row>
    <row r="857" spans="1:2" ht="26.25" hidden="1" customHeight="1" thickBot="1" x14ac:dyDescent="0.35">
      <c r="A857" s="13" t="s">
        <v>444</v>
      </c>
      <c r="B857" s="18" t="s">
        <v>445</v>
      </c>
    </row>
    <row r="858" spans="1:2" ht="26.25" hidden="1" customHeight="1" thickBot="1" x14ac:dyDescent="0.35">
      <c r="A858" s="13" t="s">
        <v>77</v>
      </c>
      <c r="B858" s="18">
        <v>2925</v>
      </c>
    </row>
    <row r="859" spans="1:2" ht="26.25" hidden="1" customHeight="1" thickBot="1" x14ac:dyDescent="0.35">
      <c r="A859" s="13" t="s">
        <v>446</v>
      </c>
      <c r="B859" s="18" t="s">
        <v>447</v>
      </c>
    </row>
    <row r="860" spans="1:2" ht="26.25" hidden="1" customHeight="1" thickBot="1" x14ac:dyDescent="0.35">
      <c r="A860" s="13" t="s">
        <v>448</v>
      </c>
      <c r="B860" s="18" t="s">
        <v>449</v>
      </c>
    </row>
    <row r="861" spans="1:2" ht="39" hidden="1" customHeight="1" thickBot="1" x14ac:dyDescent="0.35">
      <c r="A861" s="13" t="s">
        <v>450</v>
      </c>
      <c r="B861" s="18" t="s">
        <v>451</v>
      </c>
    </row>
    <row r="862" spans="1:2" ht="38.25" hidden="1" customHeight="1" x14ac:dyDescent="0.3">
      <c r="A862" s="14" t="s">
        <v>452</v>
      </c>
      <c r="B862" s="19" t="s">
        <v>453</v>
      </c>
    </row>
    <row r="863" spans="1:2" ht="16.5" hidden="1" customHeight="1" thickBot="1" x14ac:dyDescent="0.35"/>
    <row r="864" spans="1:2" ht="33" hidden="1" customHeight="1" x14ac:dyDescent="0.3">
      <c r="A864" s="24" t="s">
        <v>80</v>
      </c>
      <c r="B864" s="26"/>
    </row>
    <row r="865" spans="1:4" ht="33.75" hidden="1" customHeight="1" thickBot="1" x14ac:dyDescent="0.35">
      <c r="A865" s="13" t="s">
        <v>81</v>
      </c>
      <c r="B865" s="2" t="s">
        <v>82</v>
      </c>
    </row>
    <row r="866" spans="1:4" ht="66" hidden="1" customHeight="1" x14ac:dyDescent="0.3">
      <c r="A866" s="14" t="s">
        <v>452</v>
      </c>
      <c r="B866" s="2" t="s">
        <v>453</v>
      </c>
    </row>
    <row r="867" spans="1:4" ht="16.5" hidden="1" customHeight="1" thickBot="1" x14ac:dyDescent="0.35"/>
    <row r="868" spans="1:4" ht="39" hidden="1" customHeight="1" thickBot="1" x14ac:dyDescent="0.35">
      <c r="A868" s="20" t="s">
        <v>454</v>
      </c>
      <c r="B868" s="21">
        <v>33741</v>
      </c>
    </row>
    <row r="869" spans="1:4" ht="39" hidden="1" customHeight="1" thickBot="1" x14ac:dyDescent="0.35">
      <c r="A869" s="13" t="s">
        <v>455</v>
      </c>
      <c r="B869" s="2">
        <v>33741</v>
      </c>
    </row>
    <row r="870" spans="1:4" ht="39" hidden="1" customHeight="1" thickBot="1" x14ac:dyDescent="0.35">
      <c r="A870" s="13" t="s">
        <v>456</v>
      </c>
      <c r="B870" s="2">
        <v>16802927</v>
      </c>
    </row>
    <row r="871" spans="1:4" ht="38.25" hidden="1" customHeight="1" x14ac:dyDescent="0.3">
      <c r="A871" s="14" t="s">
        <v>457</v>
      </c>
      <c r="B871" s="2">
        <v>16802927</v>
      </c>
    </row>
    <row r="872" spans="1:4" ht="16.5" hidden="1" customHeight="1" thickBot="1" x14ac:dyDescent="0.35"/>
    <row r="873" spans="1:4" ht="16.5" hidden="1" customHeight="1" x14ac:dyDescent="0.3">
      <c r="A873" s="24" t="s">
        <v>458</v>
      </c>
      <c r="B873" s="26"/>
      <c r="C873" s="26"/>
      <c r="D873" s="26"/>
    </row>
    <row r="874" spans="1:4" ht="16.5" hidden="1" customHeight="1" x14ac:dyDescent="0.3">
      <c r="A874" s="6" t="s">
        <v>459</v>
      </c>
      <c r="B874" s="27" t="s">
        <v>19</v>
      </c>
      <c r="C874" s="3" t="s">
        <v>93</v>
      </c>
      <c r="D874" s="3" t="s">
        <v>93</v>
      </c>
    </row>
    <row r="875" spans="1:4" ht="33" hidden="1" customHeight="1" x14ac:dyDescent="0.3">
      <c r="A875" s="6" t="s">
        <v>460</v>
      </c>
      <c r="B875" s="27"/>
      <c r="C875" s="3" t="s">
        <v>86</v>
      </c>
      <c r="D875" s="3" t="s">
        <v>461</v>
      </c>
    </row>
    <row r="876" spans="1:4" ht="17.25" hidden="1" customHeight="1" thickBot="1" x14ac:dyDescent="0.35">
      <c r="A876" s="6">
        <v>1</v>
      </c>
      <c r="B876" s="17">
        <v>0</v>
      </c>
      <c r="C876" s="2">
        <v>33512</v>
      </c>
      <c r="D876" s="2">
        <v>16720813</v>
      </c>
    </row>
    <row r="877" spans="1:4" ht="16.5" hidden="1" customHeight="1" x14ac:dyDescent="0.3">
      <c r="A877" s="6">
        <v>2</v>
      </c>
      <c r="B877" s="22">
        <v>1</v>
      </c>
      <c r="C877" s="2">
        <v>229</v>
      </c>
      <c r="D877" s="2">
        <v>82114</v>
      </c>
    </row>
    <row r="878" spans="1:4" ht="16.5" hidden="1" customHeight="1" x14ac:dyDescent="0.3"/>
    <row r="879" spans="1:4" ht="16.5" hidden="1" customHeight="1" x14ac:dyDescent="0.3">
      <c r="A879" s="1" t="s">
        <v>513</v>
      </c>
    </row>
    <row r="880" spans="1:4" ht="16.5" hidden="1" customHeight="1" thickBot="1" x14ac:dyDescent="0.35"/>
    <row r="881" spans="1:5" ht="16.5" hidden="1" customHeight="1" x14ac:dyDescent="0.3">
      <c r="A881" s="24" t="s">
        <v>462</v>
      </c>
      <c r="B881" s="26"/>
      <c r="C881" s="26"/>
      <c r="D881" s="26"/>
      <c r="E881" s="26"/>
    </row>
    <row r="882" spans="1:5" ht="16.5" hidden="1" customHeight="1" x14ac:dyDescent="0.3">
      <c r="A882" s="6" t="s">
        <v>463</v>
      </c>
      <c r="B882" s="3" t="s">
        <v>460</v>
      </c>
      <c r="C882" s="27" t="s">
        <v>464</v>
      </c>
      <c r="D882" s="27"/>
      <c r="E882" s="27"/>
    </row>
    <row r="883" spans="1:5" ht="17.25" hidden="1" customHeight="1" thickBot="1" x14ac:dyDescent="0.35">
      <c r="A883" s="13" t="s">
        <v>28</v>
      </c>
      <c r="B883" s="12">
        <v>1</v>
      </c>
      <c r="C883" s="2">
        <v>0</v>
      </c>
      <c r="D883" s="2">
        <v>0</v>
      </c>
      <c r="E883" s="2">
        <v>0</v>
      </c>
    </row>
    <row r="884" spans="1:5" ht="17.25" hidden="1" customHeight="1" thickBot="1" x14ac:dyDescent="0.35">
      <c r="A884" s="13"/>
      <c r="B884" s="12">
        <v>2</v>
      </c>
      <c r="C884" s="2">
        <v>1</v>
      </c>
      <c r="D884" s="2">
        <v>0</v>
      </c>
      <c r="E884" s="2">
        <v>0</v>
      </c>
    </row>
    <row r="885" spans="1:5" ht="17.25" hidden="1" customHeight="1" thickBot="1" x14ac:dyDescent="0.35">
      <c r="A885" s="13"/>
      <c r="B885" s="12">
        <v>3</v>
      </c>
      <c r="C885" s="2">
        <v>0</v>
      </c>
      <c r="D885" s="2">
        <v>1</v>
      </c>
      <c r="E885" s="2">
        <v>0</v>
      </c>
    </row>
    <row r="886" spans="1:5" ht="16.5" hidden="1" customHeight="1" x14ac:dyDescent="0.3">
      <c r="A886" s="14"/>
      <c r="B886" s="15">
        <v>4</v>
      </c>
      <c r="C886" s="2">
        <v>0</v>
      </c>
      <c r="D886" s="2">
        <v>0</v>
      </c>
      <c r="E886" s="2">
        <v>1</v>
      </c>
    </row>
    <row r="887" spans="1:5" ht="16.5" hidden="1" customHeight="1" thickBot="1" x14ac:dyDescent="0.35"/>
    <row r="888" spans="1:5" ht="66" hidden="1" customHeight="1" x14ac:dyDescent="0.3">
      <c r="A888" s="4" t="s">
        <v>465</v>
      </c>
    </row>
    <row r="889" spans="1:5" ht="99" hidden="1" customHeight="1" x14ac:dyDescent="0.3">
      <c r="A889" s="23" t="s">
        <v>466</v>
      </c>
    </row>
    <row r="890" spans="1:5" ht="16.5" hidden="1" customHeight="1" thickBot="1" x14ac:dyDescent="0.35"/>
    <row r="891" spans="1:5" ht="16.5" hidden="1" customHeight="1" x14ac:dyDescent="0.3">
      <c r="A891" s="24" t="s">
        <v>467</v>
      </c>
      <c r="B891" s="26"/>
      <c r="C891" s="26"/>
    </row>
    <row r="892" spans="1:5" ht="66" hidden="1" customHeight="1" x14ac:dyDescent="0.3">
      <c r="A892" s="6" t="s">
        <v>468</v>
      </c>
      <c r="B892" s="3" t="s">
        <v>469</v>
      </c>
      <c r="C892" s="3" t="s">
        <v>470</v>
      </c>
    </row>
    <row r="893" spans="1:5" ht="17.25" hidden="1" customHeight="1" thickBot="1" x14ac:dyDescent="0.35">
      <c r="A893" s="13" t="s">
        <v>471</v>
      </c>
      <c r="B893" s="2">
        <v>1037721.2</v>
      </c>
      <c r="C893" s="2">
        <v>1024249.9</v>
      </c>
    </row>
    <row r="894" spans="1:5" ht="17.25" hidden="1" customHeight="1" thickBot="1" x14ac:dyDescent="0.35">
      <c r="A894" s="13" t="s">
        <v>472</v>
      </c>
      <c r="B894" s="2">
        <v>1037735.8</v>
      </c>
      <c r="C894" s="2">
        <v>1024308.5</v>
      </c>
    </row>
    <row r="895" spans="1:5" ht="16.5" hidden="1" customHeight="1" x14ac:dyDescent="0.3">
      <c r="A895" s="14" t="s">
        <v>473</v>
      </c>
      <c r="B895" s="2" t="s">
        <v>627</v>
      </c>
      <c r="C895" s="2">
        <v>1024241.9</v>
      </c>
    </row>
    <row r="896" spans="1:5" ht="16.5" hidden="1" customHeight="1" thickBot="1" x14ac:dyDescent="0.35"/>
    <row r="897" spans="1:6" ht="16.5" hidden="1" customHeight="1" x14ac:dyDescent="0.3">
      <c r="A897" s="24" t="s">
        <v>474</v>
      </c>
      <c r="B897" s="26"/>
      <c r="C897" s="26"/>
      <c r="D897" s="26"/>
      <c r="E897" s="26"/>
    </row>
    <row r="898" spans="1:6" ht="16.5" hidden="1" customHeight="1" x14ac:dyDescent="0.3">
      <c r="A898" s="6" t="s">
        <v>475</v>
      </c>
      <c r="B898" s="3" t="s">
        <v>476</v>
      </c>
      <c r="C898" s="3" t="s">
        <v>477</v>
      </c>
      <c r="D898" s="3" t="s">
        <v>478</v>
      </c>
      <c r="E898" s="3" t="s">
        <v>479</v>
      </c>
    </row>
    <row r="899" spans="1:6" ht="33" hidden="1" customHeight="1" x14ac:dyDescent="0.3">
      <c r="A899" s="25" t="s">
        <v>480</v>
      </c>
      <c r="B899" s="27"/>
      <c r="C899" s="27"/>
      <c r="D899" s="27"/>
      <c r="E899" s="27"/>
    </row>
    <row r="900" spans="1:6" ht="26.25" hidden="1" customHeight="1" thickBot="1" x14ac:dyDescent="0.35">
      <c r="A900" s="13" t="s">
        <v>481</v>
      </c>
      <c r="B900" s="2">
        <v>8.74</v>
      </c>
      <c r="C900" s="2">
        <v>2.9971999999999999</v>
      </c>
      <c r="D900" s="2">
        <v>8218.44</v>
      </c>
      <c r="E900" s="2" t="s">
        <v>482</v>
      </c>
    </row>
    <row r="901" spans="1:6" ht="17.25" hidden="1" customHeight="1" thickBot="1" x14ac:dyDescent="0.35">
      <c r="A901" s="13" t="s">
        <v>483</v>
      </c>
      <c r="B901" s="2">
        <v>9.1999999999999993</v>
      </c>
      <c r="C901" s="2">
        <v>3</v>
      </c>
      <c r="D901" s="2">
        <v>2740</v>
      </c>
      <c r="E901" s="2" t="s">
        <v>482</v>
      </c>
    </row>
    <row r="902" spans="1:6" ht="16.5" hidden="1" customHeight="1" x14ac:dyDescent="0.3">
      <c r="A902" s="14" t="s">
        <v>484</v>
      </c>
      <c r="B902" s="2">
        <v>6.75</v>
      </c>
      <c r="C902" s="2">
        <v>3</v>
      </c>
      <c r="D902" s="2">
        <v>2740</v>
      </c>
      <c r="E902" s="2">
        <v>2.0000000000000001E-4</v>
      </c>
    </row>
    <row r="903" spans="1:6" ht="16.5" hidden="1" customHeight="1" thickBot="1" x14ac:dyDescent="0.35"/>
    <row r="904" spans="1:6" ht="16.5" hidden="1" customHeight="1" x14ac:dyDescent="0.3">
      <c r="A904" s="24" t="s">
        <v>485</v>
      </c>
      <c r="B904" s="26"/>
      <c r="C904" s="26"/>
      <c r="D904" s="26"/>
      <c r="E904" s="26"/>
    </row>
    <row r="905" spans="1:6" ht="16.5" hidden="1" customHeight="1" x14ac:dyDescent="0.3">
      <c r="A905" s="6" t="s">
        <v>486</v>
      </c>
      <c r="B905" s="3" t="s">
        <v>476</v>
      </c>
      <c r="C905" s="3" t="s">
        <v>477</v>
      </c>
      <c r="D905" s="3" t="s">
        <v>478</v>
      </c>
      <c r="E905" s="3" t="s">
        <v>479</v>
      </c>
    </row>
    <row r="906" spans="1:6" ht="16.5" hidden="1" customHeight="1" x14ac:dyDescent="0.3">
      <c r="A906" s="14" t="s">
        <v>28</v>
      </c>
      <c r="B906" s="2">
        <v>6.75</v>
      </c>
      <c r="C906" s="2">
        <v>3</v>
      </c>
      <c r="D906" s="2">
        <v>2740</v>
      </c>
      <c r="E906" s="2">
        <v>2.0000000000000001E-4</v>
      </c>
    </row>
    <row r="907" spans="1:6" ht="16.5" hidden="1" customHeight="1" thickBot="1" x14ac:dyDescent="0.35"/>
    <row r="908" spans="1:6" ht="16.5" hidden="1" customHeight="1" x14ac:dyDescent="0.3">
      <c r="A908" s="24" t="s">
        <v>487</v>
      </c>
      <c r="B908" s="26"/>
      <c r="C908" s="26"/>
      <c r="D908" s="26"/>
      <c r="E908" s="26"/>
      <c r="F908" s="26"/>
    </row>
    <row r="909" spans="1:6" ht="16.5" hidden="1" customHeight="1" x14ac:dyDescent="0.3">
      <c r="A909" s="25" t="s">
        <v>488</v>
      </c>
      <c r="B909" s="27"/>
      <c r="C909" s="27" t="s">
        <v>489</v>
      </c>
      <c r="D909" s="3" t="s">
        <v>490</v>
      </c>
      <c r="E909" s="27" t="s">
        <v>492</v>
      </c>
      <c r="F909" s="27" t="s">
        <v>493</v>
      </c>
    </row>
    <row r="910" spans="1:6" ht="16.5" hidden="1" customHeight="1" x14ac:dyDescent="0.3">
      <c r="A910" s="25"/>
      <c r="B910" s="27"/>
      <c r="C910" s="27"/>
      <c r="D910" s="3" t="s">
        <v>491</v>
      </c>
      <c r="E910" s="27"/>
      <c r="F910" s="27"/>
    </row>
    <row r="911" spans="1:6" ht="16.5" hidden="1" customHeight="1" x14ac:dyDescent="0.3">
      <c r="A911" s="25" t="s">
        <v>551</v>
      </c>
      <c r="B911" s="27"/>
      <c r="C911" s="27"/>
      <c r="D911" s="27"/>
      <c r="E911" s="27"/>
      <c r="F911" s="27"/>
    </row>
    <row r="912" spans="1:6" ht="17.25" hidden="1" customHeight="1" thickBot="1" x14ac:dyDescent="0.35">
      <c r="A912" s="13" t="s">
        <v>495</v>
      </c>
      <c r="B912" s="12"/>
      <c r="C912" s="16">
        <v>-6.0180999999999996</v>
      </c>
      <c r="D912" s="2">
        <v>0.23469999999999999</v>
      </c>
      <c r="E912" s="16">
        <v>-25.65</v>
      </c>
      <c r="F912" s="2" t="s">
        <v>482</v>
      </c>
    </row>
    <row r="913" spans="1:9" ht="17.25" hidden="1" customHeight="1" thickBot="1" x14ac:dyDescent="0.35">
      <c r="A913" s="13" t="s">
        <v>28</v>
      </c>
      <c r="B913" s="12">
        <v>2</v>
      </c>
      <c r="C913" s="2">
        <v>0.53359999999999996</v>
      </c>
      <c r="D913" s="2">
        <v>0.29189999999999999</v>
      </c>
      <c r="E913" s="2">
        <v>1.83</v>
      </c>
      <c r="F913" s="2">
        <v>6.7599999999999993E-2</v>
      </c>
    </row>
    <row r="914" spans="1:9" ht="17.25" hidden="1" customHeight="1" thickBot="1" x14ac:dyDescent="0.35">
      <c r="A914" s="13" t="s">
        <v>28</v>
      </c>
      <c r="B914" s="12">
        <v>3</v>
      </c>
      <c r="C914" s="2">
        <v>0.90569999999999995</v>
      </c>
      <c r="D914" s="2">
        <v>0.27379999999999999</v>
      </c>
      <c r="E914" s="2">
        <v>3.31</v>
      </c>
      <c r="F914" s="2">
        <v>1E-3</v>
      </c>
    </row>
    <row r="915" spans="1:9" ht="16.5" hidden="1" customHeight="1" x14ac:dyDescent="0.3">
      <c r="A915" s="14" t="s">
        <v>28</v>
      </c>
      <c r="B915" s="15">
        <v>4</v>
      </c>
      <c r="C915" s="2">
        <v>1.1293</v>
      </c>
      <c r="D915" s="2">
        <v>0.27460000000000001</v>
      </c>
      <c r="E915" s="2">
        <v>4.1100000000000003</v>
      </c>
      <c r="F915" s="2" t="s">
        <v>482</v>
      </c>
    </row>
    <row r="916" spans="1:9" ht="16.5" hidden="1" customHeight="1" thickBot="1" x14ac:dyDescent="0.35"/>
    <row r="917" spans="1:9" ht="16.5" hidden="1" customHeight="1" x14ac:dyDescent="0.3">
      <c r="A917" s="24" t="s">
        <v>496</v>
      </c>
      <c r="B917" s="26"/>
      <c r="C917" s="26"/>
      <c r="D917" s="26"/>
    </row>
    <row r="918" spans="1:9" ht="33" hidden="1" customHeight="1" x14ac:dyDescent="0.3">
      <c r="A918" s="6" t="s">
        <v>486</v>
      </c>
      <c r="B918" s="3" t="s">
        <v>497</v>
      </c>
      <c r="C918" s="27" t="s">
        <v>91</v>
      </c>
      <c r="D918" s="27"/>
    </row>
    <row r="919" spans="1:9" ht="49.5" hidden="1" customHeight="1" x14ac:dyDescent="0.3">
      <c r="A919" s="25" t="s">
        <v>552</v>
      </c>
      <c r="B919" s="27"/>
      <c r="C919" s="27"/>
      <c r="D919" s="27"/>
    </row>
    <row r="920" spans="1:9" ht="26.25" thickBot="1" x14ac:dyDescent="0.35">
      <c r="A920" s="13" t="s">
        <v>525</v>
      </c>
      <c r="B920" s="2">
        <v>1.7050000000000001</v>
      </c>
      <c r="C920" s="2">
        <v>0.96199999999999997</v>
      </c>
      <c r="D920" s="2">
        <v>3.0219999999999998</v>
      </c>
      <c r="H920" s="8" t="str">
        <f t="shared" ref="H920:H922" si="20">TEXT(B920,"0.00")&amp;" ("&amp;TEXT(C920,"0.00")&amp;" to "&amp;TEXT(D920,"0.00")&amp;")"</f>
        <v>1.71 (0.96 to 3.02)</v>
      </c>
      <c r="I920">
        <f>F913</f>
        <v>6.7599999999999993E-2</v>
      </c>
    </row>
    <row r="921" spans="1:9" ht="26.25" thickBot="1" x14ac:dyDescent="0.35">
      <c r="A921" s="13" t="s">
        <v>526</v>
      </c>
      <c r="B921" s="2">
        <v>2.4740000000000002</v>
      </c>
      <c r="C921" s="2">
        <v>1.446</v>
      </c>
      <c r="D921" s="2">
        <v>4.2309999999999999</v>
      </c>
      <c r="H921" s="8" t="str">
        <f t="shared" si="20"/>
        <v>2.47 (1.45 to 4.23)</v>
      </c>
      <c r="I921">
        <f t="shared" ref="I921:I922" si="21">F914</f>
        <v>1E-3</v>
      </c>
    </row>
    <row r="922" spans="1:9" ht="25.5" x14ac:dyDescent="0.3">
      <c r="A922" s="14" t="s">
        <v>527</v>
      </c>
      <c r="B922" s="2">
        <v>3.093</v>
      </c>
      <c r="C922" s="2">
        <v>1.8049999999999999</v>
      </c>
      <c r="D922" s="2">
        <v>5.3</v>
      </c>
      <c r="H922" s="8" t="str">
        <f t="shared" si="20"/>
        <v>3.09 (1.81 to 5.30)</v>
      </c>
      <c r="I922" t="str">
        <f t="shared" si="21"/>
        <v>&lt;.0001</v>
      </c>
    </row>
    <row r="923" spans="1:9" ht="16.5" hidden="1" customHeight="1" thickBot="1" x14ac:dyDescent="0.35"/>
    <row r="924" spans="1:9" ht="33" hidden="1" customHeight="1" x14ac:dyDescent="0.3">
      <c r="A924" s="24" t="s">
        <v>502</v>
      </c>
      <c r="B924" s="26"/>
      <c r="C924" s="26"/>
      <c r="D924" s="26"/>
    </row>
    <row r="925" spans="1:9" ht="39" hidden="1" customHeight="1" thickBot="1" x14ac:dyDescent="0.35">
      <c r="A925" s="13" t="s">
        <v>503</v>
      </c>
      <c r="B925" s="2">
        <v>41.5</v>
      </c>
      <c r="C925" s="12" t="s">
        <v>504</v>
      </c>
      <c r="D925" s="2">
        <v>0.20399999999999999</v>
      </c>
    </row>
    <row r="926" spans="1:9" ht="26.25" hidden="1" customHeight="1" thickBot="1" x14ac:dyDescent="0.35">
      <c r="A926" s="13" t="s">
        <v>505</v>
      </c>
      <c r="B926" s="2">
        <v>21.1</v>
      </c>
      <c r="C926" s="12" t="s">
        <v>506</v>
      </c>
      <c r="D926" s="2">
        <v>0.32500000000000001</v>
      </c>
    </row>
    <row r="927" spans="1:9" ht="26.25" hidden="1" customHeight="1" thickBot="1" x14ac:dyDescent="0.35">
      <c r="A927" s="13" t="s">
        <v>507</v>
      </c>
      <c r="B927" s="2">
        <v>37.4</v>
      </c>
      <c r="C927" s="12" t="s">
        <v>508</v>
      </c>
      <c r="D927" s="2">
        <v>3.0000000000000001E-3</v>
      </c>
    </row>
    <row r="928" spans="1:9" ht="16.5" hidden="1" customHeight="1" x14ac:dyDescent="0.3">
      <c r="A928" s="14" t="s">
        <v>509</v>
      </c>
      <c r="B928" s="2">
        <v>7674248</v>
      </c>
      <c r="C928" s="15" t="s">
        <v>510</v>
      </c>
      <c r="D928" s="2">
        <v>0.60199999999999998</v>
      </c>
    </row>
    <row r="929" spans="1:2" ht="16.5" hidden="1" customHeight="1" x14ac:dyDescent="0.3"/>
    <row r="930" spans="1:2" ht="16.5" hidden="1" customHeight="1" x14ac:dyDescent="0.3"/>
    <row r="931" spans="1:2" ht="16.5" hidden="1" customHeight="1" x14ac:dyDescent="0.3"/>
    <row r="932" spans="1:2" ht="16.5" hidden="1" customHeight="1" x14ac:dyDescent="0.3">
      <c r="A932" s="1" t="s">
        <v>436</v>
      </c>
    </row>
    <row r="933" spans="1:2" ht="16.5" hidden="1" customHeight="1" x14ac:dyDescent="0.3"/>
    <row r="934" spans="1:2" ht="16.5" hidden="1" customHeight="1" x14ac:dyDescent="0.3">
      <c r="A934" s="1" t="s">
        <v>405</v>
      </c>
    </row>
    <row r="935" spans="1:2" ht="16.5" hidden="1" customHeight="1" thickBot="1" x14ac:dyDescent="0.35"/>
    <row r="936" spans="1:2" ht="16.5" hidden="1" customHeight="1" x14ac:dyDescent="0.3">
      <c r="A936" s="24" t="s">
        <v>437</v>
      </c>
      <c r="B936" s="26"/>
    </row>
    <row r="937" spans="1:2" ht="26.25" hidden="1" customHeight="1" thickBot="1" x14ac:dyDescent="0.35">
      <c r="A937" s="13" t="s">
        <v>438</v>
      </c>
      <c r="B937" s="18" t="s">
        <v>439</v>
      </c>
    </row>
    <row r="938" spans="1:2" ht="26.25" hidden="1" customHeight="1" thickBot="1" x14ac:dyDescent="0.35">
      <c r="A938" s="13" t="s">
        <v>440</v>
      </c>
      <c r="B938" s="18" t="s">
        <v>19</v>
      </c>
    </row>
    <row r="939" spans="1:2" ht="39" hidden="1" customHeight="1" thickBot="1" x14ac:dyDescent="0.35">
      <c r="A939" s="13" t="s">
        <v>441</v>
      </c>
      <c r="B939" s="18">
        <v>2</v>
      </c>
    </row>
    <row r="940" spans="1:2" ht="26.25" hidden="1" customHeight="1" thickBot="1" x14ac:dyDescent="0.35">
      <c r="A940" s="13" t="s">
        <v>442</v>
      </c>
      <c r="B940" s="18" t="s">
        <v>443</v>
      </c>
    </row>
    <row r="941" spans="1:2" ht="26.25" hidden="1" customHeight="1" thickBot="1" x14ac:dyDescent="0.35">
      <c r="A941" s="13" t="s">
        <v>76</v>
      </c>
      <c r="B941" s="18">
        <v>183</v>
      </c>
    </row>
    <row r="942" spans="1:2" ht="26.25" hidden="1" customHeight="1" thickBot="1" x14ac:dyDescent="0.35">
      <c r="A942" s="13" t="s">
        <v>444</v>
      </c>
      <c r="B942" s="18" t="s">
        <v>445</v>
      </c>
    </row>
    <row r="943" spans="1:2" ht="26.25" hidden="1" customHeight="1" thickBot="1" x14ac:dyDescent="0.35">
      <c r="A943" s="13" t="s">
        <v>77</v>
      </c>
      <c r="B943" s="18">
        <v>2478</v>
      </c>
    </row>
    <row r="944" spans="1:2" ht="26.25" hidden="1" customHeight="1" thickBot="1" x14ac:dyDescent="0.35">
      <c r="A944" s="13" t="s">
        <v>446</v>
      </c>
      <c r="B944" s="18" t="s">
        <v>447</v>
      </c>
    </row>
    <row r="945" spans="1:4" ht="26.25" hidden="1" customHeight="1" thickBot="1" x14ac:dyDescent="0.35">
      <c r="A945" s="13" t="s">
        <v>448</v>
      </c>
      <c r="B945" s="18" t="s">
        <v>449</v>
      </c>
    </row>
    <row r="946" spans="1:4" ht="39" hidden="1" customHeight="1" thickBot="1" x14ac:dyDescent="0.35">
      <c r="A946" s="13" t="s">
        <v>450</v>
      </c>
      <c r="B946" s="18" t="s">
        <v>451</v>
      </c>
    </row>
    <row r="947" spans="1:4" ht="38.25" hidden="1" customHeight="1" x14ac:dyDescent="0.3">
      <c r="A947" s="14" t="s">
        <v>452</v>
      </c>
      <c r="B947" s="19" t="s">
        <v>453</v>
      </c>
    </row>
    <row r="948" spans="1:4" ht="16.5" hidden="1" customHeight="1" thickBot="1" x14ac:dyDescent="0.35"/>
    <row r="949" spans="1:4" ht="33" hidden="1" customHeight="1" x14ac:dyDescent="0.3">
      <c r="A949" s="24" t="s">
        <v>80</v>
      </c>
      <c r="B949" s="26"/>
    </row>
    <row r="950" spans="1:4" ht="33.75" hidden="1" customHeight="1" thickBot="1" x14ac:dyDescent="0.35">
      <c r="A950" s="13" t="s">
        <v>81</v>
      </c>
      <c r="B950" s="2" t="s">
        <v>82</v>
      </c>
    </row>
    <row r="951" spans="1:4" ht="66" hidden="1" customHeight="1" x14ac:dyDescent="0.3">
      <c r="A951" s="14" t="s">
        <v>452</v>
      </c>
      <c r="B951" s="2" t="s">
        <v>453</v>
      </c>
    </row>
    <row r="952" spans="1:4" ht="16.5" hidden="1" customHeight="1" thickBot="1" x14ac:dyDescent="0.35"/>
    <row r="953" spans="1:4" ht="39" hidden="1" customHeight="1" thickBot="1" x14ac:dyDescent="0.35">
      <c r="A953" s="20" t="s">
        <v>454</v>
      </c>
      <c r="B953" s="21">
        <v>11265</v>
      </c>
    </row>
    <row r="954" spans="1:4" ht="39" hidden="1" customHeight="1" thickBot="1" x14ac:dyDescent="0.35">
      <c r="A954" s="13" t="s">
        <v>455</v>
      </c>
      <c r="B954" s="2">
        <v>11265</v>
      </c>
    </row>
    <row r="955" spans="1:4" ht="39" hidden="1" customHeight="1" thickBot="1" x14ac:dyDescent="0.35">
      <c r="A955" s="13" t="s">
        <v>456</v>
      </c>
      <c r="B955" s="2">
        <v>3936155</v>
      </c>
    </row>
    <row r="956" spans="1:4" ht="38.25" hidden="1" customHeight="1" x14ac:dyDescent="0.3">
      <c r="A956" s="14" t="s">
        <v>457</v>
      </c>
      <c r="B956" s="2">
        <v>3936155</v>
      </c>
    </row>
    <row r="957" spans="1:4" ht="16.5" hidden="1" customHeight="1" thickBot="1" x14ac:dyDescent="0.35"/>
    <row r="958" spans="1:4" ht="16.5" hidden="1" customHeight="1" x14ac:dyDescent="0.3">
      <c r="A958" s="24" t="s">
        <v>458</v>
      </c>
      <c r="B958" s="26"/>
      <c r="C958" s="26"/>
      <c r="D958" s="26"/>
    </row>
    <row r="959" spans="1:4" ht="16.5" hidden="1" customHeight="1" x14ac:dyDescent="0.3">
      <c r="A959" s="6" t="s">
        <v>459</v>
      </c>
      <c r="B959" s="27" t="s">
        <v>19</v>
      </c>
      <c r="C959" s="3" t="s">
        <v>93</v>
      </c>
      <c r="D959" s="3" t="s">
        <v>93</v>
      </c>
    </row>
    <row r="960" spans="1:4" ht="33" hidden="1" customHeight="1" x14ac:dyDescent="0.3">
      <c r="A960" s="6" t="s">
        <v>460</v>
      </c>
      <c r="B960" s="27"/>
      <c r="C960" s="3" t="s">
        <v>86</v>
      </c>
      <c r="D960" s="3" t="s">
        <v>461</v>
      </c>
    </row>
    <row r="961" spans="1:5" ht="17.25" hidden="1" customHeight="1" thickBot="1" x14ac:dyDescent="0.35">
      <c r="A961" s="6">
        <v>1</v>
      </c>
      <c r="B961" s="17">
        <v>0</v>
      </c>
      <c r="C961" s="2">
        <v>10852</v>
      </c>
      <c r="D961" s="2">
        <v>3826401.2</v>
      </c>
    </row>
    <row r="962" spans="1:5" ht="16.5" hidden="1" customHeight="1" x14ac:dyDescent="0.3">
      <c r="A962" s="6">
        <v>2</v>
      </c>
      <c r="B962" s="22">
        <v>1</v>
      </c>
      <c r="C962" s="2">
        <v>413</v>
      </c>
      <c r="D962" s="2">
        <v>109754.3</v>
      </c>
    </row>
    <row r="963" spans="1:5" ht="16.5" hidden="1" customHeight="1" x14ac:dyDescent="0.3"/>
    <row r="964" spans="1:5" ht="16.5" hidden="1" customHeight="1" x14ac:dyDescent="0.3">
      <c r="A964" s="1" t="s">
        <v>513</v>
      </c>
    </row>
    <row r="965" spans="1:5" ht="16.5" hidden="1" customHeight="1" thickBot="1" x14ac:dyDescent="0.35"/>
    <row r="966" spans="1:5" ht="16.5" hidden="1" customHeight="1" x14ac:dyDescent="0.3">
      <c r="A966" s="24" t="s">
        <v>462</v>
      </c>
      <c r="B966" s="26"/>
      <c r="C966" s="26"/>
      <c r="D966" s="26"/>
      <c r="E966" s="26"/>
    </row>
    <row r="967" spans="1:5" ht="16.5" hidden="1" customHeight="1" x14ac:dyDescent="0.3">
      <c r="A967" s="6" t="s">
        <v>463</v>
      </c>
      <c r="B967" s="3" t="s">
        <v>460</v>
      </c>
      <c r="C967" s="27" t="s">
        <v>464</v>
      </c>
      <c r="D967" s="27"/>
      <c r="E967" s="27"/>
    </row>
    <row r="968" spans="1:5" ht="17.25" hidden="1" customHeight="1" thickBot="1" x14ac:dyDescent="0.35">
      <c r="A968" s="13" t="s">
        <v>28</v>
      </c>
      <c r="B968" s="12">
        <v>1</v>
      </c>
      <c r="C968" s="2">
        <v>0</v>
      </c>
      <c r="D968" s="2">
        <v>0</v>
      </c>
      <c r="E968" s="2">
        <v>0</v>
      </c>
    </row>
    <row r="969" spans="1:5" ht="17.25" hidden="1" customHeight="1" thickBot="1" x14ac:dyDescent="0.35">
      <c r="A969" s="13"/>
      <c r="B969" s="12">
        <v>2</v>
      </c>
      <c r="C969" s="2">
        <v>1</v>
      </c>
      <c r="D969" s="2">
        <v>0</v>
      </c>
      <c r="E969" s="2">
        <v>0</v>
      </c>
    </row>
    <row r="970" spans="1:5" ht="17.25" hidden="1" customHeight="1" thickBot="1" x14ac:dyDescent="0.35">
      <c r="A970" s="13"/>
      <c r="B970" s="12">
        <v>3</v>
      </c>
      <c r="C970" s="2">
        <v>0</v>
      </c>
      <c r="D970" s="2">
        <v>1</v>
      </c>
      <c r="E970" s="2">
        <v>0</v>
      </c>
    </row>
    <row r="971" spans="1:5" ht="16.5" hidden="1" customHeight="1" x14ac:dyDescent="0.3">
      <c r="A971" s="14"/>
      <c r="B971" s="15">
        <v>4</v>
      </c>
      <c r="C971" s="2">
        <v>0</v>
      </c>
      <c r="D971" s="2">
        <v>0</v>
      </c>
      <c r="E971" s="2">
        <v>1</v>
      </c>
    </row>
    <row r="972" spans="1:5" ht="16.5" hidden="1" customHeight="1" thickBot="1" x14ac:dyDescent="0.35"/>
    <row r="973" spans="1:5" ht="66" hidden="1" customHeight="1" x14ac:dyDescent="0.3">
      <c r="A973" s="4" t="s">
        <v>465</v>
      </c>
    </row>
    <row r="974" spans="1:5" ht="99" hidden="1" customHeight="1" x14ac:dyDescent="0.3">
      <c r="A974" s="23" t="s">
        <v>466</v>
      </c>
    </row>
    <row r="975" spans="1:5" ht="16.5" hidden="1" customHeight="1" thickBot="1" x14ac:dyDescent="0.35"/>
    <row r="976" spans="1:5" ht="16.5" hidden="1" customHeight="1" x14ac:dyDescent="0.3">
      <c r="A976" s="24" t="s">
        <v>467</v>
      </c>
      <c r="B976" s="26"/>
      <c r="C976" s="26"/>
    </row>
    <row r="977" spans="1:5" ht="66" hidden="1" customHeight="1" x14ac:dyDescent="0.3">
      <c r="A977" s="6" t="s">
        <v>468</v>
      </c>
      <c r="B977" s="3" t="s">
        <v>469</v>
      </c>
      <c r="C977" s="3" t="s">
        <v>470</v>
      </c>
    </row>
    <row r="978" spans="1:5" ht="17.25" hidden="1" customHeight="1" thickBot="1" x14ac:dyDescent="0.35">
      <c r="A978" s="13" t="s">
        <v>471</v>
      </c>
      <c r="B978" s="2">
        <v>1002199.6</v>
      </c>
      <c r="C978" s="2">
        <v>991274.78</v>
      </c>
    </row>
    <row r="979" spans="1:5" ht="17.25" hidden="1" customHeight="1" thickBot="1" x14ac:dyDescent="0.35">
      <c r="A979" s="13" t="s">
        <v>472</v>
      </c>
      <c r="B979" s="2">
        <v>1002212.8</v>
      </c>
      <c r="C979" s="2">
        <v>991327.52</v>
      </c>
    </row>
    <row r="980" spans="1:5" ht="16.5" hidden="1" customHeight="1" x14ac:dyDescent="0.3">
      <c r="A980" s="14" t="s">
        <v>473</v>
      </c>
      <c r="B980" s="2" t="s">
        <v>628</v>
      </c>
      <c r="C980" s="2">
        <v>991266.78</v>
      </c>
    </row>
    <row r="981" spans="1:5" ht="16.5" hidden="1" customHeight="1" thickBot="1" x14ac:dyDescent="0.35"/>
    <row r="982" spans="1:5" ht="16.5" hidden="1" customHeight="1" x14ac:dyDescent="0.3">
      <c r="A982" s="24" t="s">
        <v>474</v>
      </c>
      <c r="B982" s="26"/>
      <c r="C982" s="26"/>
      <c r="D982" s="26"/>
      <c r="E982" s="26"/>
    </row>
    <row r="983" spans="1:5" ht="16.5" hidden="1" customHeight="1" x14ac:dyDescent="0.3">
      <c r="A983" s="6" t="s">
        <v>475</v>
      </c>
      <c r="B983" s="3" t="s">
        <v>476</v>
      </c>
      <c r="C983" s="3" t="s">
        <v>477</v>
      </c>
      <c r="D983" s="3" t="s">
        <v>478</v>
      </c>
      <c r="E983" s="3" t="s">
        <v>479</v>
      </c>
    </row>
    <row r="984" spans="1:5" ht="33" hidden="1" customHeight="1" x14ac:dyDescent="0.3">
      <c r="A984" s="25" t="s">
        <v>538</v>
      </c>
      <c r="B984" s="27"/>
      <c r="C984" s="27"/>
      <c r="D984" s="27"/>
      <c r="E984" s="27"/>
    </row>
    <row r="985" spans="1:5" ht="26.25" hidden="1" customHeight="1" thickBot="1" x14ac:dyDescent="0.35">
      <c r="A985" s="13" t="s">
        <v>481</v>
      </c>
      <c r="B985" s="2">
        <v>10.52</v>
      </c>
      <c r="C985" s="2">
        <v>2.9971000000000001</v>
      </c>
      <c r="D985" s="2">
        <v>6878.32</v>
      </c>
      <c r="E985" s="2" t="s">
        <v>482</v>
      </c>
    </row>
    <row r="986" spans="1:5" ht="17.25" hidden="1" customHeight="1" thickBot="1" x14ac:dyDescent="0.35">
      <c r="A986" s="13" t="s">
        <v>483</v>
      </c>
      <c r="B986" s="2">
        <v>16.03</v>
      </c>
      <c r="C986" s="2">
        <v>3</v>
      </c>
      <c r="D986" s="2">
        <v>2293</v>
      </c>
      <c r="E986" s="2" t="s">
        <v>482</v>
      </c>
    </row>
    <row r="987" spans="1:5" ht="16.5" hidden="1" customHeight="1" x14ac:dyDescent="0.3">
      <c r="A987" s="14" t="s">
        <v>484</v>
      </c>
      <c r="B987" s="2">
        <v>9.4600000000000009</v>
      </c>
      <c r="C987" s="2">
        <v>3</v>
      </c>
      <c r="D987" s="2">
        <v>2293</v>
      </c>
      <c r="E987" s="2" t="s">
        <v>482</v>
      </c>
    </row>
    <row r="988" spans="1:5" ht="16.5" hidden="1" customHeight="1" thickBot="1" x14ac:dyDescent="0.35"/>
    <row r="989" spans="1:5" ht="16.5" hidden="1" customHeight="1" x14ac:dyDescent="0.3">
      <c r="A989" s="24" t="s">
        <v>485</v>
      </c>
      <c r="B989" s="26"/>
      <c r="C989" s="26"/>
      <c r="D989" s="26"/>
      <c r="E989" s="26"/>
    </row>
    <row r="990" spans="1:5" ht="16.5" hidden="1" customHeight="1" x14ac:dyDescent="0.3">
      <c r="A990" s="6" t="s">
        <v>486</v>
      </c>
      <c r="B990" s="3" t="s">
        <v>476</v>
      </c>
      <c r="C990" s="3" t="s">
        <v>477</v>
      </c>
      <c r="D990" s="3" t="s">
        <v>478</v>
      </c>
      <c r="E990" s="3" t="s">
        <v>479</v>
      </c>
    </row>
    <row r="991" spans="1:5" ht="16.5" hidden="1" customHeight="1" x14ac:dyDescent="0.3">
      <c r="A991" s="14" t="s">
        <v>28</v>
      </c>
      <c r="B991" s="2">
        <v>9.4600000000000009</v>
      </c>
      <c r="C991" s="2">
        <v>3</v>
      </c>
      <c r="D991" s="2">
        <v>2293</v>
      </c>
      <c r="E991" s="2" t="s">
        <v>482</v>
      </c>
    </row>
    <row r="992" spans="1:5" ht="16.5" hidden="1" customHeight="1" thickBot="1" x14ac:dyDescent="0.35"/>
    <row r="993" spans="1:9" ht="16.5" hidden="1" customHeight="1" x14ac:dyDescent="0.3">
      <c r="A993" s="24" t="s">
        <v>487</v>
      </c>
      <c r="B993" s="26"/>
      <c r="C993" s="26"/>
      <c r="D993" s="26"/>
      <c r="E993" s="26"/>
      <c r="F993" s="26"/>
    </row>
    <row r="994" spans="1:9" ht="16.5" hidden="1" customHeight="1" x14ac:dyDescent="0.3">
      <c r="A994" s="25" t="s">
        <v>488</v>
      </c>
      <c r="B994" s="27"/>
      <c r="C994" s="27" t="s">
        <v>489</v>
      </c>
      <c r="D994" s="3" t="s">
        <v>490</v>
      </c>
      <c r="E994" s="27" t="s">
        <v>492</v>
      </c>
      <c r="F994" s="27" t="s">
        <v>493</v>
      </c>
    </row>
    <row r="995" spans="1:9" ht="16.5" hidden="1" customHeight="1" x14ac:dyDescent="0.3">
      <c r="A995" s="25"/>
      <c r="B995" s="27"/>
      <c r="C995" s="27"/>
      <c r="D995" s="3" t="s">
        <v>491</v>
      </c>
      <c r="E995" s="27"/>
      <c r="F995" s="27"/>
    </row>
    <row r="996" spans="1:9" ht="16.5" hidden="1" customHeight="1" x14ac:dyDescent="0.3">
      <c r="A996" s="25" t="s">
        <v>553</v>
      </c>
      <c r="B996" s="27"/>
      <c r="C996" s="27"/>
      <c r="D996" s="27"/>
      <c r="E996" s="27"/>
      <c r="F996" s="27"/>
    </row>
    <row r="997" spans="1:9" ht="17.25" hidden="1" customHeight="1" thickBot="1" x14ac:dyDescent="0.35">
      <c r="A997" s="13" t="s">
        <v>495</v>
      </c>
      <c r="B997" s="12"/>
      <c r="C997" s="16">
        <v>-4.3303000000000003</v>
      </c>
      <c r="D997" s="2">
        <v>0.1726</v>
      </c>
      <c r="E997" s="16">
        <v>-25.08</v>
      </c>
      <c r="F997" s="2" t="s">
        <v>482</v>
      </c>
    </row>
    <row r="998" spans="1:9" ht="17.25" hidden="1" customHeight="1" thickBot="1" x14ac:dyDescent="0.35">
      <c r="A998" s="13" t="s">
        <v>28</v>
      </c>
      <c r="B998" s="12">
        <v>2</v>
      </c>
      <c r="C998" s="2">
        <v>0.77659999999999996</v>
      </c>
      <c r="D998" s="2">
        <v>0.21199999999999999</v>
      </c>
      <c r="E998" s="2">
        <v>3.66</v>
      </c>
      <c r="F998" s="2">
        <v>2.9999999999999997E-4</v>
      </c>
    </row>
    <row r="999" spans="1:9" ht="17.25" hidden="1" customHeight="1" thickBot="1" x14ac:dyDescent="0.35">
      <c r="A999" s="13" t="s">
        <v>28</v>
      </c>
      <c r="B999" s="12">
        <v>3</v>
      </c>
      <c r="C999" s="2">
        <v>0.87409999999999999</v>
      </c>
      <c r="D999" s="2">
        <v>0.20039999999999999</v>
      </c>
      <c r="E999" s="2">
        <v>4.3600000000000003</v>
      </c>
      <c r="F999" s="2" t="s">
        <v>482</v>
      </c>
    </row>
    <row r="1000" spans="1:9" ht="16.5" hidden="1" customHeight="1" x14ac:dyDescent="0.3">
      <c r="A1000" s="14" t="s">
        <v>28</v>
      </c>
      <c r="B1000" s="15">
        <v>4</v>
      </c>
      <c r="C1000" s="2">
        <v>1.0409999999999999</v>
      </c>
      <c r="D1000" s="2">
        <v>0.1978</v>
      </c>
      <c r="E1000" s="2">
        <v>5.26</v>
      </c>
      <c r="F1000" s="2" t="s">
        <v>482</v>
      </c>
    </row>
    <row r="1001" spans="1:9" ht="16.5" hidden="1" customHeight="1" thickBot="1" x14ac:dyDescent="0.35"/>
    <row r="1002" spans="1:9" ht="16.5" hidden="1" customHeight="1" x14ac:dyDescent="0.3">
      <c r="A1002" s="24" t="s">
        <v>496</v>
      </c>
      <c r="B1002" s="26"/>
      <c r="C1002" s="26"/>
      <c r="D1002" s="26"/>
    </row>
    <row r="1003" spans="1:9" ht="33" hidden="1" customHeight="1" x14ac:dyDescent="0.3">
      <c r="A1003" s="6" t="s">
        <v>486</v>
      </c>
      <c r="B1003" s="3" t="s">
        <v>497</v>
      </c>
      <c r="C1003" s="27" t="s">
        <v>91</v>
      </c>
      <c r="D1003" s="27"/>
    </row>
    <row r="1004" spans="1:9" ht="49.5" hidden="1" customHeight="1" x14ac:dyDescent="0.3">
      <c r="A1004" s="25" t="s">
        <v>554</v>
      </c>
      <c r="B1004" s="27"/>
      <c r="C1004" s="27"/>
      <c r="D1004" s="27"/>
    </row>
    <row r="1005" spans="1:9" ht="26.25" thickBot="1" x14ac:dyDescent="0.35">
      <c r="A1005" s="13" t="s">
        <v>525</v>
      </c>
      <c r="B1005" s="2">
        <v>2.1739999999999999</v>
      </c>
      <c r="C1005" s="2">
        <v>1.4350000000000001</v>
      </c>
      <c r="D1005" s="2">
        <v>3.2949999999999999</v>
      </c>
      <c r="H1005" s="8" t="str">
        <f t="shared" ref="H1005:H1007" si="22">TEXT(B1005,"0.00")&amp;" ("&amp;TEXT(C1005,"0.00")&amp;" to "&amp;TEXT(D1005,"0.00")&amp;")"</f>
        <v>2.17 (1.44 to 3.30)</v>
      </c>
      <c r="I1005">
        <f>F998</f>
        <v>2.9999999999999997E-4</v>
      </c>
    </row>
    <row r="1006" spans="1:9" ht="26.25" thickBot="1" x14ac:dyDescent="0.35">
      <c r="A1006" s="13" t="s">
        <v>526</v>
      </c>
      <c r="B1006" s="2">
        <v>2.3969999999999998</v>
      </c>
      <c r="C1006" s="2">
        <v>1.6180000000000001</v>
      </c>
      <c r="D1006" s="2">
        <v>3.55</v>
      </c>
      <c r="H1006" s="8" t="str">
        <f t="shared" si="22"/>
        <v>2.40 (1.62 to 3.55)</v>
      </c>
      <c r="I1006" t="str">
        <f t="shared" ref="I1006:I1007" si="23">F999</f>
        <v>&lt;.0001</v>
      </c>
    </row>
    <row r="1007" spans="1:9" ht="25.5" x14ac:dyDescent="0.3">
      <c r="A1007" s="14" t="s">
        <v>527</v>
      </c>
      <c r="B1007" s="2">
        <v>2.8319999999999999</v>
      </c>
      <c r="C1007" s="2">
        <v>1.9219999999999999</v>
      </c>
      <c r="D1007" s="2">
        <v>4.1740000000000004</v>
      </c>
      <c r="H1007" s="8" t="str">
        <f t="shared" si="22"/>
        <v>2.83 (1.92 to 4.17)</v>
      </c>
      <c r="I1007" t="str">
        <f t="shared" si="23"/>
        <v>&lt;.0001</v>
      </c>
    </row>
    <row r="1008" spans="1:9" ht="16.5" hidden="1" customHeight="1" thickBot="1" x14ac:dyDescent="0.35"/>
    <row r="1009" spans="1:4" ht="33" hidden="1" customHeight="1" x14ac:dyDescent="0.3">
      <c r="A1009" s="24" t="s">
        <v>502</v>
      </c>
      <c r="B1009" s="26"/>
      <c r="C1009" s="26"/>
      <c r="D1009" s="26"/>
    </row>
    <row r="1010" spans="1:4" ht="39" hidden="1" customHeight="1" thickBot="1" x14ac:dyDescent="0.35">
      <c r="A1010" s="13" t="s">
        <v>503</v>
      </c>
      <c r="B1010" s="2">
        <v>43.1</v>
      </c>
      <c r="C1010" s="12" t="s">
        <v>504</v>
      </c>
      <c r="D1010" s="2">
        <v>0.128</v>
      </c>
    </row>
    <row r="1011" spans="1:4" ht="26.25" hidden="1" customHeight="1" thickBot="1" x14ac:dyDescent="0.35">
      <c r="A1011" s="13" t="s">
        <v>505</v>
      </c>
      <c r="B1011" s="2">
        <v>30.3</v>
      </c>
      <c r="C1011" s="12" t="s">
        <v>506</v>
      </c>
      <c r="D1011" s="2">
        <v>0.17399999999999999</v>
      </c>
    </row>
    <row r="1012" spans="1:4" ht="26.25" hidden="1" customHeight="1" thickBot="1" x14ac:dyDescent="0.35">
      <c r="A1012" s="13" t="s">
        <v>507</v>
      </c>
      <c r="B1012" s="2">
        <v>26.5</v>
      </c>
      <c r="C1012" s="12" t="s">
        <v>508</v>
      </c>
      <c r="D1012" s="2">
        <v>8.9999999999999993E-3</v>
      </c>
    </row>
    <row r="1013" spans="1:4" ht="16.5" hidden="1" customHeight="1" x14ac:dyDescent="0.3">
      <c r="A1013" s="14" t="s">
        <v>509</v>
      </c>
      <c r="B1013" s="2">
        <v>4481876</v>
      </c>
      <c r="C1013" s="15" t="s">
        <v>510</v>
      </c>
      <c r="D1013" s="2">
        <v>0.56399999999999995</v>
      </c>
    </row>
    <row r="1014" spans="1:4" ht="16.5" hidden="1" customHeight="1" x14ac:dyDescent="0.3"/>
    <row r="1015" spans="1:4" ht="16.5" hidden="1" customHeight="1" x14ac:dyDescent="0.3"/>
    <row r="1016" spans="1:4" ht="16.5" hidden="1" customHeight="1" x14ac:dyDescent="0.3"/>
    <row r="1017" spans="1:4" ht="16.5" hidden="1" customHeight="1" x14ac:dyDescent="0.3">
      <c r="A1017" s="1" t="s">
        <v>436</v>
      </c>
    </row>
    <row r="1018" spans="1:4" ht="16.5" hidden="1" customHeight="1" x14ac:dyDescent="0.3"/>
    <row r="1019" spans="1:4" ht="16.5" hidden="1" customHeight="1" x14ac:dyDescent="0.3">
      <c r="A1019" s="1" t="s">
        <v>406</v>
      </c>
    </row>
    <row r="1020" spans="1:4" ht="16.5" hidden="1" customHeight="1" thickBot="1" x14ac:dyDescent="0.35"/>
    <row r="1021" spans="1:4" ht="16.5" hidden="1" customHeight="1" x14ac:dyDescent="0.3">
      <c r="A1021" s="24" t="s">
        <v>437</v>
      </c>
      <c r="B1021" s="26"/>
    </row>
    <row r="1022" spans="1:4" ht="26.25" hidden="1" customHeight="1" thickBot="1" x14ac:dyDescent="0.35">
      <c r="A1022" s="13" t="s">
        <v>438</v>
      </c>
      <c r="B1022" s="18" t="s">
        <v>439</v>
      </c>
    </row>
    <row r="1023" spans="1:4" ht="26.25" hidden="1" customHeight="1" thickBot="1" x14ac:dyDescent="0.35">
      <c r="A1023" s="13" t="s">
        <v>440</v>
      </c>
      <c r="B1023" s="18" t="s">
        <v>19</v>
      </c>
    </row>
    <row r="1024" spans="1:4" ht="39" hidden="1" customHeight="1" thickBot="1" x14ac:dyDescent="0.35">
      <c r="A1024" s="13" t="s">
        <v>441</v>
      </c>
      <c r="B1024" s="18">
        <v>2</v>
      </c>
    </row>
    <row r="1025" spans="1:2" ht="26.25" hidden="1" customHeight="1" thickBot="1" x14ac:dyDescent="0.35">
      <c r="A1025" s="13" t="s">
        <v>442</v>
      </c>
      <c r="B1025" s="18" t="s">
        <v>443</v>
      </c>
    </row>
    <row r="1026" spans="1:2" ht="26.25" hidden="1" customHeight="1" thickBot="1" x14ac:dyDescent="0.35">
      <c r="A1026" s="13" t="s">
        <v>76</v>
      </c>
      <c r="B1026" s="18">
        <v>183</v>
      </c>
    </row>
    <row r="1027" spans="1:2" ht="26.25" hidden="1" customHeight="1" thickBot="1" x14ac:dyDescent="0.35">
      <c r="A1027" s="13" t="s">
        <v>444</v>
      </c>
      <c r="B1027" s="18" t="s">
        <v>445</v>
      </c>
    </row>
    <row r="1028" spans="1:2" ht="26.25" hidden="1" customHeight="1" thickBot="1" x14ac:dyDescent="0.35">
      <c r="A1028" s="13" t="s">
        <v>77</v>
      </c>
      <c r="B1028" s="18">
        <v>2823</v>
      </c>
    </row>
    <row r="1029" spans="1:2" ht="26.25" hidden="1" customHeight="1" thickBot="1" x14ac:dyDescent="0.35">
      <c r="A1029" s="13" t="s">
        <v>446</v>
      </c>
      <c r="B1029" s="18" t="s">
        <v>447</v>
      </c>
    </row>
    <row r="1030" spans="1:2" ht="26.25" hidden="1" customHeight="1" thickBot="1" x14ac:dyDescent="0.35">
      <c r="A1030" s="13" t="s">
        <v>448</v>
      </c>
      <c r="B1030" s="18" t="s">
        <v>449</v>
      </c>
    </row>
    <row r="1031" spans="1:2" ht="39" hidden="1" customHeight="1" thickBot="1" x14ac:dyDescent="0.35">
      <c r="A1031" s="13" t="s">
        <v>450</v>
      </c>
      <c r="B1031" s="18" t="s">
        <v>451</v>
      </c>
    </row>
    <row r="1032" spans="1:2" ht="38.25" hidden="1" customHeight="1" x14ac:dyDescent="0.3">
      <c r="A1032" s="14" t="s">
        <v>452</v>
      </c>
      <c r="B1032" s="19" t="s">
        <v>453</v>
      </c>
    </row>
    <row r="1033" spans="1:2" ht="16.5" hidden="1" customHeight="1" thickBot="1" x14ac:dyDescent="0.35"/>
    <row r="1034" spans="1:2" ht="33" hidden="1" customHeight="1" x14ac:dyDescent="0.3">
      <c r="A1034" s="24" t="s">
        <v>80</v>
      </c>
      <c r="B1034" s="26"/>
    </row>
    <row r="1035" spans="1:2" ht="33.75" hidden="1" customHeight="1" thickBot="1" x14ac:dyDescent="0.35">
      <c r="A1035" s="13" t="s">
        <v>81</v>
      </c>
      <c r="B1035" s="2" t="s">
        <v>82</v>
      </c>
    </row>
    <row r="1036" spans="1:2" ht="66" hidden="1" customHeight="1" x14ac:dyDescent="0.3">
      <c r="A1036" s="14" t="s">
        <v>452</v>
      </c>
      <c r="B1036" s="2" t="s">
        <v>453</v>
      </c>
    </row>
    <row r="1037" spans="1:2" ht="16.5" hidden="1" customHeight="1" thickBot="1" x14ac:dyDescent="0.35"/>
    <row r="1038" spans="1:2" ht="39" hidden="1" customHeight="1" thickBot="1" x14ac:dyDescent="0.35">
      <c r="A1038" s="20" t="s">
        <v>454</v>
      </c>
      <c r="B1038" s="21">
        <v>16834</v>
      </c>
    </row>
    <row r="1039" spans="1:2" ht="39" hidden="1" customHeight="1" thickBot="1" x14ac:dyDescent="0.35">
      <c r="A1039" s="13" t="s">
        <v>455</v>
      </c>
      <c r="B1039" s="2">
        <v>16834</v>
      </c>
    </row>
    <row r="1040" spans="1:2" ht="39" hidden="1" customHeight="1" thickBot="1" x14ac:dyDescent="0.35">
      <c r="A1040" s="13" t="s">
        <v>456</v>
      </c>
      <c r="B1040" s="2">
        <v>7267525</v>
      </c>
    </row>
    <row r="1041" spans="1:5" ht="38.25" hidden="1" customHeight="1" x14ac:dyDescent="0.3">
      <c r="A1041" s="14" t="s">
        <v>457</v>
      </c>
      <c r="B1041" s="2">
        <v>7267525</v>
      </c>
    </row>
    <row r="1042" spans="1:5" ht="16.5" hidden="1" customHeight="1" thickBot="1" x14ac:dyDescent="0.35"/>
    <row r="1043" spans="1:5" ht="16.5" hidden="1" customHeight="1" x14ac:dyDescent="0.3">
      <c r="A1043" s="24" t="s">
        <v>458</v>
      </c>
      <c r="B1043" s="26"/>
      <c r="C1043" s="26"/>
      <c r="D1043" s="26"/>
    </row>
    <row r="1044" spans="1:5" ht="16.5" hidden="1" customHeight="1" x14ac:dyDescent="0.3">
      <c r="A1044" s="6" t="s">
        <v>459</v>
      </c>
      <c r="B1044" s="27" t="s">
        <v>19</v>
      </c>
      <c r="C1044" s="3" t="s">
        <v>93</v>
      </c>
      <c r="D1044" s="3" t="s">
        <v>93</v>
      </c>
    </row>
    <row r="1045" spans="1:5" ht="33" hidden="1" customHeight="1" x14ac:dyDescent="0.3">
      <c r="A1045" s="6" t="s">
        <v>460</v>
      </c>
      <c r="B1045" s="27"/>
      <c r="C1045" s="3" t="s">
        <v>86</v>
      </c>
      <c r="D1045" s="3" t="s">
        <v>461</v>
      </c>
    </row>
    <row r="1046" spans="1:5" ht="17.25" hidden="1" customHeight="1" thickBot="1" x14ac:dyDescent="0.35">
      <c r="A1046" s="6">
        <v>1</v>
      </c>
      <c r="B1046" s="17">
        <v>0</v>
      </c>
      <c r="C1046" s="2">
        <v>16521</v>
      </c>
      <c r="D1046" s="2">
        <v>7174724.2000000002</v>
      </c>
    </row>
    <row r="1047" spans="1:5" ht="16.5" hidden="1" customHeight="1" x14ac:dyDescent="0.3">
      <c r="A1047" s="6">
        <v>2</v>
      </c>
      <c r="B1047" s="22">
        <v>1</v>
      </c>
      <c r="C1047" s="2">
        <v>313</v>
      </c>
      <c r="D1047" s="2">
        <v>92800.8</v>
      </c>
    </row>
    <row r="1048" spans="1:5" ht="16.5" hidden="1" customHeight="1" x14ac:dyDescent="0.3"/>
    <row r="1049" spans="1:5" ht="16.5" hidden="1" customHeight="1" x14ac:dyDescent="0.3">
      <c r="A1049" s="1" t="s">
        <v>513</v>
      </c>
    </row>
    <row r="1050" spans="1:5" ht="16.5" hidden="1" customHeight="1" thickBot="1" x14ac:dyDescent="0.35"/>
    <row r="1051" spans="1:5" ht="16.5" hidden="1" customHeight="1" x14ac:dyDescent="0.3">
      <c r="A1051" s="24" t="s">
        <v>462</v>
      </c>
      <c r="B1051" s="26"/>
      <c r="C1051" s="26"/>
      <c r="D1051" s="26"/>
      <c r="E1051" s="26"/>
    </row>
    <row r="1052" spans="1:5" ht="16.5" hidden="1" customHeight="1" x14ac:dyDescent="0.3">
      <c r="A1052" s="6" t="s">
        <v>463</v>
      </c>
      <c r="B1052" s="3" t="s">
        <v>460</v>
      </c>
      <c r="C1052" s="27" t="s">
        <v>464</v>
      </c>
      <c r="D1052" s="27"/>
      <c r="E1052" s="27"/>
    </row>
    <row r="1053" spans="1:5" ht="17.25" hidden="1" customHeight="1" thickBot="1" x14ac:dyDescent="0.35">
      <c r="A1053" s="13" t="s">
        <v>28</v>
      </c>
      <c r="B1053" s="12">
        <v>1</v>
      </c>
      <c r="C1053" s="2">
        <v>0</v>
      </c>
      <c r="D1053" s="2">
        <v>0</v>
      </c>
      <c r="E1053" s="2">
        <v>0</v>
      </c>
    </row>
    <row r="1054" spans="1:5" ht="17.25" hidden="1" customHeight="1" thickBot="1" x14ac:dyDescent="0.35">
      <c r="A1054" s="13"/>
      <c r="B1054" s="12">
        <v>2</v>
      </c>
      <c r="C1054" s="2">
        <v>1</v>
      </c>
      <c r="D1054" s="2">
        <v>0</v>
      </c>
      <c r="E1054" s="2">
        <v>0</v>
      </c>
    </row>
    <row r="1055" spans="1:5" ht="17.25" hidden="1" customHeight="1" thickBot="1" x14ac:dyDescent="0.35">
      <c r="A1055" s="13"/>
      <c r="B1055" s="12">
        <v>3</v>
      </c>
      <c r="C1055" s="2">
        <v>0</v>
      </c>
      <c r="D1055" s="2">
        <v>1</v>
      </c>
      <c r="E1055" s="2">
        <v>0</v>
      </c>
    </row>
    <row r="1056" spans="1:5" ht="16.5" hidden="1" customHeight="1" x14ac:dyDescent="0.3">
      <c r="A1056" s="14"/>
      <c r="B1056" s="15">
        <v>4</v>
      </c>
      <c r="C1056" s="2">
        <v>0</v>
      </c>
      <c r="D1056" s="2">
        <v>0</v>
      </c>
      <c r="E1056" s="2">
        <v>1</v>
      </c>
    </row>
    <row r="1057" spans="1:5" ht="16.5" hidden="1" customHeight="1" thickBot="1" x14ac:dyDescent="0.35"/>
    <row r="1058" spans="1:5" ht="66" hidden="1" customHeight="1" x14ac:dyDescent="0.3">
      <c r="A1058" s="4" t="s">
        <v>465</v>
      </c>
    </row>
    <row r="1059" spans="1:5" ht="99" hidden="1" customHeight="1" x14ac:dyDescent="0.3">
      <c r="A1059" s="23" t="s">
        <v>466</v>
      </c>
    </row>
    <row r="1060" spans="1:5" ht="16.5" hidden="1" customHeight="1" thickBot="1" x14ac:dyDescent="0.35"/>
    <row r="1061" spans="1:5" ht="16.5" hidden="1" customHeight="1" x14ac:dyDescent="0.3">
      <c r="A1061" s="24" t="s">
        <v>467</v>
      </c>
      <c r="B1061" s="26"/>
      <c r="C1061" s="26"/>
    </row>
    <row r="1062" spans="1:5" ht="66" hidden="1" customHeight="1" x14ac:dyDescent="0.3">
      <c r="A1062" s="6" t="s">
        <v>468</v>
      </c>
      <c r="B1062" s="3" t="s">
        <v>469</v>
      </c>
      <c r="C1062" s="3" t="s">
        <v>470</v>
      </c>
    </row>
    <row r="1063" spans="1:5" ht="17.25" hidden="1" customHeight="1" thickBot="1" x14ac:dyDescent="0.35">
      <c r="A1063" s="13" t="s">
        <v>471</v>
      </c>
      <c r="B1063" s="2">
        <v>993769.16</v>
      </c>
      <c r="C1063" s="2">
        <v>975888.03</v>
      </c>
    </row>
    <row r="1064" spans="1:5" ht="17.25" hidden="1" customHeight="1" thickBot="1" x14ac:dyDescent="0.35">
      <c r="A1064" s="13" t="s">
        <v>472</v>
      </c>
      <c r="B1064" s="2">
        <v>993782.96</v>
      </c>
      <c r="C1064" s="2">
        <v>975943.23</v>
      </c>
    </row>
    <row r="1065" spans="1:5" ht="16.5" hidden="1" customHeight="1" x14ac:dyDescent="0.3">
      <c r="A1065" s="14" t="s">
        <v>473</v>
      </c>
      <c r="B1065" s="2" t="s">
        <v>629</v>
      </c>
      <c r="C1065" s="2">
        <v>975880.03</v>
      </c>
    </row>
    <row r="1066" spans="1:5" ht="16.5" hidden="1" customHeight="1" thickBot="1" x14ac:dyDescent="0.35"/>
    <row r="1067" spans="1:5" ht="16.5" hidden="1" customHeight="1" x14ac:dyDescent="0.3">
      <c r="A1067" s="24" t="s">
        <v>474</v>
      </c>
      <c r="B1067" s="26"/>
      <c r="C1067" s="26"/>
      <c r="D1067" s="26"/>
      <c r="E1067" s="26"/>
    </row>
    <row r="1068" spans="1:5" ht="16.5" hidden="1" customHeight="1" x14ac:dyDescent="0.3">
      <c r="A1068" s="6" t="s">
        <v>475</v>
      </c>
      <c r="B1068" s="3" t="s">
        <v>476</v>
      </c>
      <c r="C1068" s="3" t="s">
        <v>477</v>
      </c>
      <c r="D1068" s="3" t="s">
        <v>478</v>
      </c>
      <c r="E1068" s="3" t="s">
        <v>479</v>
      </c>
    </row>
    <row r="1069" spans="1:5" ht="33" hidden="1" customHeight="1" x14ac:dyDescent="0.3">
      <c r="A1069" s="25" t="s">
        <v>543</v>
      </c>
      <c r="B1069" s="27"/>
      <c r="C1069" s="27"/>
      <c r="D1069" s="27"/>
      <c r="E1069" s="27"/>
    </row>
    <row r="1070" spans="1:5" ht="26.25" hidden="1" customHeight="1" thickBot="1" x14ac:dyDescent="0.35">
      <c r="A1070" s="13" t="s">
        <v>481</v>
      </c>
      <c r="B1070" s="2">
        <v>13.79</v>
      </c>
      <c r="C1070" s="2">
        <v>2.9931999999999999</v>
      </c>
      <c r="D1070" s="2">
        <v>7901.95</v>
      </c>
      <c r="E1070" s="2" t="s">
        <v>482</v>
      </c>
    </row>
    <row r="1071" spans="1:5" ht="17.25" hidden="1" customHeight="1" thickBot="1" x14ac:dyDescent="0.35">
      <c r="A1071" s="13" t="s">
        <v>483</v>
      </c>
      <c r="B1071" s="2">
        <v>28.81</v>
      </c>
      <c r="C1071" s="2">
        <v>3</v>
      </c>
      <c r="D1071" s="2">
        <v>2638</v>
      </c>
      <c r="E1071" s="2" t="s">
        <v>482</v>
      </c>
    </row>
    <row r="1072" spans="1:5" ht="16.5" hidden="1" customHeight="1" x14ac:dyDescent="0.3">
      <c r="A1072" s="14" t="s">
        <v>484</v>
      </c>
      <c r="B1072" s="2">
        <v>10.96</v>
      </c>
      <c r="C1072" s="2">
        <v>3</v>
      </c>
      <c r="D1072" s="2">
        <v>2638</v>
      </c>
      <c r="E1072" s="2" t="s">
        <v>482</v>
      </c>
    </row>
    <row r="1073" spans="1:6" ht="16.5" hidden="1" customHeight="1" thickBot="1" x14ac:dyDescent="0.35"/>
    <row r="1074" spans="1:6" ht="16.5" hidden="1" customHeight="1" x14ac:dyDescent="0.3">
      <c r="A1074" s="24" t="s">
        <v>485</v>
      </c>
      <c r="B1074" s="26"/>
      <c r="C1074" s="26"/>
      <c r="D1074" s="26"/>
      <c r="E1074" s="26"/>
    </row>
    <row r="1075" spans="1:6" ht="16.5" hidden="1" customHeight="1" x14ac:dyDescent="0.3">
      <c r="A1075" s="6" t="s">
        <v>486</v>
      </c>
      <c r="B1075" s="3" t="s">
        <v>476</v>
      </c>
      <c r="C1075" s="3" t="s">
        <v>477</v>
      </c>
      <c r="D1075" s="3" t="s">
        <v>478</v>
      </c>
      <c r="E1075" s="3" t="s">
        <v>479</v>
      </c>
    </row>
    <row r="1076" spans="1:6" ht="16.5" hidden="1" customHeight="1" x14ac:dyDescent="0.3">
      <c r="A1076" s="14" t="s">
        <v>28</v>
      </c>
      <c r="B1076" s="2">
        <v>10.96</v>
      </c>
      <c r="C1076" s="2">
        <v>3</v>
      </c>
      <c r="D1076" s="2">
        <v>2638</v>
      </c>
      <c r="E1076" s="2" t="s">
        <v>482</v>
      </c>
    </row>
    <row r="1077" spans="1:6" ht="16.5" hidden="1" customHeight="1" thickBot="1" x14ac:dyDescent="0.35"/>
    <row r="1078" spans="1:6" ht="16.5" hidden="1" customHeight="1" x14ac:dyDescent="0.3">
      <c r="A1078" s="24" t="s">
        <v>487</v>
      </c>
      <c r="B1078" s="26"/>
      <c r="C1078" s="26"/>
      <c r="D1078" s="26"/>
      <c r="E1078" s="26"/>
      <c r="F1078" s="26"/>
    </row>
    <row r="1079" spans="1:6" ht="16.5" hidden="1" customHeight="1" x14ac:dyDescent="0.3">
      <c r="A1079" s="25" t="s">
        <v>488</v>
      </c>
      <c r="B1079" s="27"/>
      <c r="C1079" s="27" t="s">
        <v>489</v>
      </c>
      <c r="D1079" s="3" t="s">
        <v>490</v>
      </c>
      <c r="E1079" s="27" t="s">
        <v>492</v>
      </c>
      <c r="F1079" s="27" t="s">
        <v>493</v>
      </c>
    </row>
    <row r="1080" spans="1:6" ht="16.5" hidden="1" customHeight="1" x14ac:dyDescent="0.3">
      <c r="A1080" s="25"/>
      <c r="B1080" s="27"/>
      <c r="C1080" s="27"/>
      <c r="D1080" s="3" t="s">
        <v>491</v>
      </c>
      <c r="E1080" s="27"/>
      <c r="F1080" s="27"/>
    </row>
    <row r="1081" spans="1:6" ht="16.5" hidden="1" customHeight="1" x14ac:dyDescent="0.3">
      <c r="A1081" s="25" t="s">
        <v>556</v>
      </c>
      <c r="B1081" s="27"/>
      <c r="C1081" s="27"/>
      <c r="D1081" s="27"/>
      <c r="E1081" s="27"/>
      <c r="F1081" s="27"/>
    </row>
    <row r="1082" spans="1:6" ht="17.25" hidden="1" customHeight="1" thickBot="1" x14ac:dyDescent="0.35">
      <c r="A1082" s="13" t="s">
        <v>495</v>
      </c>
      <c r="B1082" s="12"/>
      <c r="C1082" s="16">
        <v>-5.516</v>
      </c>
      <c r="D1082" s="2">
        <v>0.24249999999999999</v>
      </c>
      <c r="E1082" s="16">
        <v>-22.75</v>
      </c>
      <c r="F1082" s="2" t="s">
        <v>482</v>
      </c>
    </row>
    <row r="1083" spans="1:6" ht="17.25" hidden="1" customHeight="1" thickBot="1" x14ac:dyDescent="0.35">
      <c r="A1083" s="13" t="s">
        <v>28</v>
      </c>
      <c r="B1083" s="12">
        <v>2</v>
      </c>
      <c r="C1083" s="2">
        <v>1.1140000000000001</v>
      </c>
      <c r="D1083" s="2">
        <v>0.28339999999999999</v>
      </c>
      <c r="E1083" s="2">
        <v>3.93</v>
      </c>
      <c r="F1083" s="2" t="s">
        <v>482</v>
      </c>
    </row>
    <row r="1084" spans="1:6" ht="17.25" hidden="1" customHeight="1" thickBot="1" x14ac:dyDescent="0.35">
      <c r="A1084" s="13" t="s">
        <v>28</v>
      </c>
      <c r="B1084" s="12">
        <v>3</v>
      </c>
      <c r="C1084" s="2">
        <v>1.4461999999999999</v>
      </c>
      <c r="D1084" s="2">
        <v>0.2671</v>
      </c>
      <c r="E1084" s="2">
        <v>5.41</v>
      </c>
      <c r="F1084" s="2" t="s">
        <v>482</v>
      </c>
    </row>
    <row r="1085" spans="1:6" ht="16.5" hidden="1" customHeight="1" x14ac:dyDescent="0.3">
      <c r="A1085" s="14" t="s">
        <v>28</v>
      </c>
      <c r="B1085" s="15">
        <v>4</v>
      </c>
      <c r="C1085" s="2">
        <v>1.4366000000000001</v>
      </c>
      <c r="D1085" s="2">
        <v>0.26950000000000002</v>
      </c>
      <c r="E1085" s="2">
        <v>5.33</v>
      </c>
      <c r="F1085" s="2" t="s">
        <v>482</v>
      </c>
    </row>
    <row r="1086" spans="1:6" ht="16.5" hidden="1" customHeight="1" thickBot="1" x14ac:dyDescent="0.35"/>
    <row r="1087" spans="1:6" ht="16.5" hidden="1" customHeight="1" x14ac:dyDescent="0.3">
      <c r="A1087" s="24" t="s">
        <v>496</v>
      </c>
      <c r="B1087" s="26"/>
      <c r="C1087" s="26"/>
      <c r="D1087" s="26"/>
    </row>
    <row r="1088" spans="1:6" ht="33" hidden="1" customHeight="1" x14ac:dyDescent="0.3">
      <c r="A1088" s="6" t="s">
        <v>486</v>
      </c>
      <c r="B1088" s="3" t="s">
        <v>497</v>
      </c>
      <c r="C1088" s="27" t="s">
        <v>91</v>
      </c>
      <c r="D1088" s="27"/>
    </row>
    <row r="1089" spans="1:9" ht="49.5" hidden="1" customHeight="1" x14ac:dyDescent="0.3">
      <c r="A1089" s="25" t="s">
        <v>557</v>
      </c>
      <c r="B1089" s="27"/>
      <c r="C1089" s="27"/>
      <c r="D1089" s="27"/>
    </row>
    <row r="1090" spans="1:9" ht="26.25" thickBot="1" x14ac:dyDescent="0.35">
      <c r="A1090" s="13" t="s">
        <v>525</v>
      </c>
      <c r="B1090" s="2">
        <v>3.0459999999999998</v>
      </c>
      <c r="C1090" s="2">
        <v>1.748</v>
      </c>
      <c r="D1090" s="2">
        <v>5.3109999999999999</v>
      </c>
      <c r="H1090" s="8" t="str">
        <f t="shared" ref="H1090:H1092" si="24">TEXT(B1090,"0.00")&amp;" ("&amp;TEXT(C1090,"0.00")&amp;" to "&amp;TEXT(D1090,"0.00")&amp;")"</f>
        <v>3.05 (1.75 to 5.31)</v>
      </c>
      <c r="I1090" t="str">
        <f>F1083</f>
        <v>&lt;.0001</v>
      </c>
    </row>
    <row r="1091" spans="1:9" ht="26.25" thickBot="1" x14ac:dyDescent="0.35">
      <c r="A1091" s="13" t="s">
        <v>526</v>
      </c>
      <c r="B1091" s="2">
        <v>4.2469999999999999</v>
      </c>
      <c r="C1091" s="2">
        <v>2.516</v>
      </c>
      <c r="D1091" s="2">
        <v>7.1710000000000003</v>
      </c>
      <c r="H1091" s="8" t="str">
        <f t="shared" si="24"/>
        <v>4.25 (2.52 to 7.17)</v>
      </c>
      <c r="I1091" t="str">
        <f t="shared" ref="I1091:I1092" si="25">F1084</f>
        <v>&lt;.0001</v>
      </c>
    </row>
    <row r="1092" spans="1:9" ht="25.5" x14ac:dyDescent="0.3">
      <c r="A1092" s="14" t="s">
        <v>527</v>
      </c>
      <c r="B1092" s="2">
        <v>4.2060000000000004</v>
      </c>
      <c r="C1092" s="2">
        <v>2.48</v>
      </c>
      <c r="D1092" s="2">
        <v>7.1360000000000001</v>
      </c>
      <c r="H1092" s="8" t="str">
        <f t="shared" si="24"/>
        <v>4.21 (2.48 to 7.14)</v>
      </c>
      <c r="I1092" t="str">
        <f t="shared" si="25"/>
        <v>&lt;.0001</v>
      </c>
    </row>
    <row r="1093" spans="1:9" ht="16.5" hidden="1" customHeight="1" thickBot="1" x14ac:dyDescent="0.35"/>
    <row r="1094" spans="1:9" ht="33" hidden="1" customHeight="1" x14ac:dyDescent="0.3">
      <c r="A1094" s="24" t="s">
        <v>502</v>
      </c>
      <c r="B1094" s="26"/>
      <c r="C1094" s="26"/>
      <c r="D1094" s="26"/>
    </row>
    <row r="1095" spans="1:9" ht="39" hidden="1" customHeight="1" thickBot="1" x14ac:dyDescent="0.35">
      <c r="A1095" s="13" t="s">
        <v>503</v>
      </c>
      <c r="B1095" s="2">
        <v>36.799999999999997</v>
      </c>
      <c r="C1095" s="12" t="s">
        <v>504</v>
      </c>
      <c r="D1095" s="2">
        <v>0.189</v>
      </c>
    </row>
    <row r="1096" spans="1:9" ht="26.25" hidden="1" customHeight="1" thickBot="1" x14ac:dyDescent="0.35">
      <c r="A1096" s="13" t="s">
        <v>505</v>
      </c>
      <c r="B1096" s="2">
        <v>17.899999999999999</v>
      </c>
      <c r="C1096" s="12" t="s">
        <v>506</v>
      </c>
      <c r="D1096" s="2">
        <v>0.34599999999999997</v>
      </c>
    </row>
    <row r="1097" spans="1:9" ht="26.25" hidden="1" customHeight="1" thickBot="1" x14ac:dyDescent="0.35">
      <c r="A1097" s="13" t="s">
        <v>507</v>
      </c>
      <c r="B1097" s="2">
        <v>45.3</v>
      </c>
      <c r="C1097" s="12" t="s">
        <v>508</v>
      </c>
      <c r="D1097" s="2">
        <v>7.0000000000000001E-3</v>
      </c>
    </row>
    <row r="1098" spans="1:9" ht="16.5" hidden="1" customHeight="1" x14ac:dyDescent="0.3">
      <c r="A1098" s="14" t="s">
        <v>509</v>
      </c>
      <c r="B1098" s="2">
        <v>5171073</v>
      </c>
      <c r="C1098" s="15" t="s">
        <v>510</v>
      </c>
      <c r="D1098" s="2">
        <v>0.59499999999999997</v>
      </c>
    </row>
    <row r="1099" spans="1:9" ht="16.5" hidden="1" customHeight="1" x14ac:dyDescent="0.3"/>
    <row r="1100" spans="1:9" ht="16.5" hidden="1" customHeight="1" x14ac:dyDescent="0.3"/>
    <row r="1101" spans="1:9" ht="16.5" hidden="1" customHeight="1" x14ac:dyDescent="0.3"/>
    <row r="1102" spans="1:9" ht="16.5" hidden="1" customHeight="1" x14ac:dyDescent="0.3">
      <c r="A1102" s="1" t="s">
        <v>436</v>
      </c>
    </row>
    <row r="1103" spans="1:9" ht="16.5" hidden="1" customHeight="1" x14ac:dyDescent="0.3"/>
    <row r="1104" spans="1:9" ht="16.5" hidden="1" customHeight="1" x14ac:dyDescent="0.3">
      <c r="A1104" s="1" t="s">
        <v>407</v>
      </c>
    </row>
    <row r="1105" spans="1:2" ht="16.5" hidden="1" customHeight="1" thickBot="1" x14ac:dyDescent="0.35"/>
    <row r="1106" spans="1:2" ht="16.5" hidden="1" customHeight="1" x14ac:dyDescent="0.3">
      <c r="A1106" s="24" t="s">
        <v>437</v>
      </c>
      <c r="B1106" s="26"/>
    </row>
    <row r="1107" spans="1:2" ht="26.25" hidden="1" customHeight="1" thickBot="1" x14ac:dyDescent="0.35">
      <c r="A1107" s="13" t="s">
        <v>438</v>
      </c>
      <c r="B1107" s="18" t="s">
        <v>439</v>
      </c>
    </row>
    <row r="1108" spans="1:2" ht="26.25" hidden="1" customHeight="1" thickBot="1" x14ac:dyDescent="0.35">
      <c r="A1108" s="13" t="s">
        <v>440</v>
      </c>
      <c r="B1108" s="18" t="s">
        <v>19</v>
      </c>
    </row>
    <row r="1109" spans="1:2" ht="39" hidden="1" customHeight="1" thickBot="1" x14ac:dyDescent="0.35">
      <c r="A1109" s="13" t="s">
        <v>441</v>
      </c>
      <c r="B1109" s="18">
        <v>2</v>
      </c>
    </row>
    <row r="1110" spans="1:2" ht="26.25" hidden="1" customHeight="1" thickBot="1" x14ac:dyDescent="0.35">
      <c r="A1110" s="13" t="s">
        <v>442</v>
      </c>
      <c r="B1110" s="18" t="s">
        <v>443</v>
      </c>
    </row>
    <row r="1111" spans="1:2" ht="26.25" hidden="1" customHeight="1" thickBot="1" x14ac:dyDescent="0.35">
      <c r="A1111" s="13" t="s">
        <v>76</v>
      </c>
      <c r="B1111" s="18">
        <v>183</v>
      </c>
    </row>
    <row r="1112" spans="1:2" ht="26.25" hidden="1" customHeight="1" thickBot="1" x14ac:dyDescent="0.35">
      <c r="A1112" s="13" t="s">
        <v>444</v>
      </c>
      <c r="B1112" s="18" t="s">
        <v>445</v>
      </c>
    </row>
    <row r="1113" spans="1:2" ht="26.25" hidden="1" customHeight="1" thickBot="1" x14ac:dyDescent="0.35">
      <c r="A1113" s="13" t="s">
        <v>77</v>
      </c>
      <c r="B1113" s="18">
        <v>2858</v>
      </c>
    </row>
    <row r="1114" spans="1:2" ht="26.25" hidden="1" customHeight="1" thickBot="1" x14ac:dyDescent="0.35">
      <c r="A1114" s="13" t="s">
        <v>446</v>
      </c>
      <c r="B1114" s="18" t="s">
        <v>447</v>
      </c>
    </row>
    <row r="1115" spans="1:2" ht="26.25" hidden="1" customHeight="1" thickBot="1" x14ac:dyDescent="0.35">
      <c r="A1115" s="13" t="s">
        <v>448</v>
      </c>
      <c r="B1115" s="18" t="s">
        <v>449</v>
      </c>
    </row>
    <row r="1116" spans="1:2" ht="39" hidden="1" customHeight="1" thickBot="1" x14ac:dyDescent="0.35">
      <c r="A1116" s="13" t="s">
        <v>450</v>
      </c>
      <c r="B1116" s="18" t="s">
        <v>451</v>
      </c>
    </row>
    <row r="1117" spans="1:2" ht="38.25" hidden="1" customHeight="1" x14ac:dyDescent="0.3">
      <c r="A1117" s="14" t="s">
        <v>452</v>
      </c>
      <c r="B1117" s="19" t="s">
        <v>453</v>
      </c>
    </row>
    <row r="1118" spans="1:2" ht="16.5" hidden="1" customHeight="1" thickBot="1" x14ac:dyDescent="0.35"/>
    <row r="1119" spans="1:2" ht="33" hidden="1" customHeight="1" x14ac:dyDescent="0.3">
      <c r="A1119" s="24" t="s">
        <v>80</v>
      </c>
      <c r="B1119" s="26"/>
    </row>
    <row r="1120" spans="1:2" ht="33.75" hidden="1" customHeight="1" thickBot="1" x14ac:dyDescent="0.35">
      <c r="A1120" s="13" t="s">
        <v>81</v>
      </c>
      <c r="B1120" s="2" t="s">
        <v>82</v>
      </c>
    </row>
    <row r="1121" spans="1:5" ht="66" hidden="1" customHeight="1" x14ac:dyDescent="0.3">
      <c r="A1121" s="14" t="s">
        <v>452</v>
      </c>
      <c r="B1121" s="2" t="s">
        <v>453</v>
      </c>
    </row>
    <row r="1122" spans="1:5" ht="16.5" hidden="1" customHeight="1" thickBot="1" x14ac:dyDescent="0.35"/>
    <row r="1123" spans="1:5" ht="39" hidden="1" customHeight="1" thickBot="1" x14ac:dyDescent="0.35">
      <c r="A1123" s="20" t="s">
        <v>454</v>
      </c>
      <c r="B1123" s="21">
        <v>19586</v>
      </c>
    </row>
    <row r="1124" spans="1:5" ht="39" hidden="1" customHeight="1" thickBot="1" x14ac:dyDescent="0.35">
      <c r="A1124" s="13" t="s">
        <v>455</v>
      </c>
      <c r="B1124" s="2">
        <v>19586</v>
      </c>
    </row>
    <row r="1125" spans="1:5" ht="39" hidden="1" customHeight="1" thickBot="1" x14ac:dyDescent="0.35">
      <c r="A1125" s="13" t="s">
        <v>456</v>
      </c>
      <c r="B1125" s="2">
        <v>9190109</v>
      </c>
    </row>
    <row r="1126" spans="1:5" ht="38.25" hidden="1" customHeight="1" x14ac:dyDescent="0.3">
      <c r="A1126" s="14" t="s">
        <v>457</v>
      </c>
      <c r="B1126" s="2">
        <v>9190109</v>
      </c>
    </row>
    <row r="1127" spans="1:5" ht="16.5" hidden="1" customHeight="1" thickBot="1" x14ac:dyDescent="0.35"/>
    <row r="1128" spans="1:5" ht="16.5" hidden="1" customHeight="1" x14ac:dyDescent="0.3">
      <c r="A1128" s="24" t="s">
        <v>458</v>
      </c>
      <c r="B1128" s="26"/>
      <c r="C1128" s="26"/>
      <c r="D1128" s="26"/>
    </row>
    <row r="1129" spans="1:5" ht="16.5" hidden="1" customHeight="1" x14ac:dyDescent="0.3">
      <c r="A1129" s="6" t="s">
        <v>459</v>
      </c>
      <c r="B1129" s="27" t="s">
        <v>19</v>
      </c>
      <c r="C1129" s="3" t="s">
        <v>93</v>
      </c>
      <c r="D1129" s="3" t="s">
        <v>93</v>
      </c>
    </row>
    <row r="1130" spans="1:5" ht="33" hidden="1" customHeight="1" x14ac:dyDescent="0.3">
      <c r="A1130" s="6" t="s">
        <v>460</v>
      </c>
      <c r="B1130" s="27"/>
      <c r="C1130" s="3" t="s">
        <v>86</v>
      </c>
      <c r="D1130" s="3" t="s">
        <v>461</v>
      </c>
    </row>
    <row r="1131" spans="1:5" ht="17.25" hidden="1" customHeight="1" thickBot="1" x14ac:dyDescent="0.35">
      <c r="A1131" s="6">
        <v>1</v>
      </c>
      <c r="B1131" s="17">
        <v>0</v>
      </c>
      <c r="C1131" s="2">
        <v>19342</v>
      </c>
      <c r="D1131" s="2">
        <v>9104778.6999999993</v>
      </c>
    </row>
    <row r="1132" spans="1:5" ht="16.5" hidden="1" customHeight="1" x14ac:dyDescent="0.3">
      <c r="A1132" s="6">
        <v>2</v>
      </c>
      <c r="B1132" s="22">
        <v>1</v>
      </c>
      <c r="C1132" s="2">
        <v>244</v>
      </c>
      <c r="D1132" s="2">
        <v>85330.7</v>
      </c>
    </row>
    <row r="1133" spans="1:5" ht="16.5" hidden="1" customHeight="1" x14ac:dyDescent="0.3"/>
    <row r="1134" spans="1:5" ht="16.5" hidden="1" customHeight="1" x14ac:dyDescent="0.3">
      <c r="A1134" s="1" t="s">
        <v>513</v>
      </c>
    </row>
    <row r="1135" spans="1:5" ht="16.5" hidden="1" customHeight="1" thickBot="1" x14ac:dyDescent="0.35"/>
    <row r="1136" spans="1:5" ht="16.5" hidden="1" customHeight="1" x14ac:dyDescent="0.3">
      <c r="A1136" s="24" t="s">
        <v>462</v>
      </c>
      <c r="B1136" s="26"/>
      <c r="C1136" s="26"/>
      <c r="D1136" s="26"/>
      <c r="E1136" s="26"/>
    </row>
    <row r="1137" spans="1:5" ht="16.5" hidden="1" customHeight="1" x14ac:dyDescent="0.3">
      <c r="A1137" s="6" t="s">
        <v>463</v>
      </c>
      <c r="B1137" s="3" t="s">
        <v>460</v>
      </c>
      <c r="C1137" s="27" t="s">
        <v>464</v>
      </c>
      <c r="D1137" s="27"/>
      <c r="E1137" s="27"/>
    </row>
    <row r="1138" spans="1:5" ht="17.25" hidden="1" customHeight="1" thickBot="1" x14ac:dyDescent="0.35">
      <c r="A1138" s="13" t="s">
        <v>28</v>
      </c>
      <c r="B1138" s="12">
        <v>1</v>
      </c>
      <c r="C1138" s="2">
        <v>0</v>
      </c>
      <c r="D1138" s="2">
        <v>0</v>
      </c>
      <c r="E1138" s="2">
        <v>0</v>
      </c>
    </row>
    <row r="1139" spans="1:5" ht="17.25" hidden="1" customHeight="1" thickBot="1" x14ac:dyDescent="0.35">
      <c r="A1139" s="13"/>
      <c r="B1139" s="12">
        <v>2</v>
      </c>
      <c r="C1139" s="2">
        <v>1</v>
      </c>
      <c r="D1139" s="2">
        <v>0</v>
      </c>
      <c r="E1139" s="2">
        <v>0</v>
      </c>
    </row>
    <row r="1140" spans="1:5" ht="17.25" hidden="1" customHeight="1" thickBot="1" x14ac:dyDescent="0.35">
      <c r="A1140" s="13"/>
      <c r="B1140" s="12">
        <v>3</v>
      </c>
      <c r="C1140" s="2">
        <v>0</v>
      </c>
      <c r="D1140" s="2">
        <v>1</v>
      </c>
      <c r="E1140" s="2">
        <v>0</v>
      </c>
    </row>
    <row r="1141" spans="1:5" ht="16.5" hidden="1" customHeight="1" x14ac:dyDescent="0.3">
      <c r="A1141" s="14"/>
      <c r="B1141" s="15">
        <v>4</v>
      </c>
      <c r="C1141" s="2">
        <v>0</v>
      </c>
      <c r="D1141" s="2">
        <v>0</v>
      </c>
      <c r="E1141" s="2">
        <v>1</v>
      </c>
    </row>
    <row r="1142" spans="1:5" ht="16.5" hidden="1" customHeight="1" thickBot="1" x14ac:dyDescent="0.35"/>
    <row r="1143" spans="1:5" ht="66" hidden="1" customHeight="1" x14ac:dyDescent="0.3">
      <c r="A1143" s="4" t="s">
        <v>465</v>
      </c>
    </row>
    <row r="1144" spans="1:5" ht="99" hidden="1" customHeight="1" x14ac:dyDescent="0.3">
      <c r="A1144" s="23" t="s">
        <v>466</v>
      </c>
    </row>
    <row r="1145" spans="1:5" ht="16.5" hidden="1" customHeight="1" thickBot="1" x14ac:dyDescent="0.35"/>
    <row r="1146" spans="1:5" ht="16.5" hidden="1" customHeight="1" x14ac:dyDescent="0.3">
      <c r="A1146" s="24" t="s">
        <v>467</v>
      </c>
      <c r="B1146" s="26"/>
      <c r="C1146" s="26"/>
    </row>
    <row r="1147" spans="1:5" ht="66" hidden="1" customHeight="1" x14ac:dyDescent="0.3">
      <c r="A1147" s="6" t="s">
        <v>468</v>
      </c>
      <c r="B1147" s="3" t="s">
        <v>469</v>
      </c>
      <c r="C1147" s="3" t="s">
        <v>470</v>
      </c>
    </row>
    <row r="1148" spans="1:5" ht="17.25" hidden="1" customHeight="1" thickBot="1" x14ac:dyDescent="0.35">
      <c r="A1148" s="13" t="s">
        <v>471</v>
      </c>
      <c r="B1148" s="2">
        <v>968452.4</v>
      </c>
      <c r="C1148" s="2">
        <v>951648.04</v>
      </c>
    </row>
    <row r="1149" spans="1:5" ht="17.25" hidden="1" customHeight="1" thickBot="1" x14ac:dyDescent="0.35">
      <c r="A1149" s="13" t="s">
        <v>472</v>
      </c>
      <c r="B1149" s="2">
        <v>968466.44</v>
      </c>
      <c r="C1149" s="2">
        <v>951704.17</v>
      </c>
    </row>
    <row r="1150" spans="1:5" ht="16.5" hidden="1" customHeight="1" x14ac:dyDescent="0.3">
      <c r="A1150" s="14" t="s">
        <v>473</v>
      </c>
      <c r="B1150" s="2" t="s">
        <v>630</v>
      </c>
      <c r="C1150" s="2">
        <v>951640.04</v>
      </c>
    </row>
    <row r="1151" spans="1:5" ht="16.5" hidden="1" customHeight="1" thickBot="1" x14ac:dyDescent="0.35"/>
    <row r="1152" spans="1:5" ht="16.5" hidden="1" customHeight="1" x14ac:dyDescent="0.3">
      <c r="A1152" s="24" t="s">
        <v>474</v>
      </c>
      <c r="B1152" s="26"/>
      <c r="C1152" s="26"/>
      <c r="D1152" s="26"/>
      <c r="E1152" s="26"/>
    </row>
    <row r="1153" spans="1:6" ht="16.5" hidden="1" customHeight="1" x14ac:dyDescent="0.3">
      <c r="A1153" s="6" t="s">
        <v>475</v>
      </c>
      <c r="B1153" s="3" t="s">
        <v>476</v>
      </c>
      <c r="C1153" s="3" t="s">
        <v>477</v>
      </c>
      <c r="D1153" s="3" t="s">
        <v>478</v>
      </c>
      <c r="E1153" s="3" t="s">
        <v>479</v>
      </c>
    </row>
    <row r="1154" spans="1:6" ht="33" hidden="1" customHeight="1" x14ac:dyDescent="0.3">
      <c r="A1154" s="25" t="s">
        <v>538</v>
      </c>
      <c r="B1154" s="27"/>
      <c r="C1154" s="27"/>
      <c r="D1154" s="27"/>
      <c r="E1154" s="27"/>
    </row>
    <row r="1155" spans="1:6" ht="26.25" hidden="1" customHeight="1" thickBot="1" x14ac:dyDescent="0.35">
      <c r="A1155" s="13" t="s">
        <v>481</v>
      </c>
      <c r="B1155" s="2">
        <v>11.94</v>
      </c>
      <c r="C1155" s="2">
        <v>2.9971000000000001</v>
      </c>
      <c r="D1155" s="2">
        <v>8017.28</v>
      </c>
      <c r="E1155" s="2" t="s">
        <v>482</v>
      </c>
    </row>
    <row r="1156" spans="1:6" ht="17.25" hidden="1" customHeight="1" thickBot="1" x14ac:dyDescent="0.35">
      <c r="A1156" s="13" t="s">
        <v>483</v>
      </c>
      <c r="B1156" s="2">
        <v>14.1</v>
      </c>
      <c r="C1156" s="2">
        <v>3</v>
      </c>
      <c r="D1156" s="2">
        <v>2673</v>
      </c>
      <c r="E1156" s="2" t="s">
        <v>482</v>
      </c>
    </row>
    <row r="1157" spans="1:6" ht="16.5" hidden="1" customHeight="1" x14ac:dyDescent="0.3">
      <c r="A1157" s="14" t="s">
        <v>484</v>
      </c>
      <c r="B1157" s="2">
        <v>9.0299999999999994</v>
      </c>
      <c r="C1157" s="2">
        <v>3</v>
      </c>
      <c r="D1157" s="2">
        <v>2673</v>
      </c>
      <c r="E1157" s="2" t="s">
        <v>482</v>
      </c>
    </row>
    <row r="1158" spans="1:6" ht="16.5" hidden="1" customHeight="1" thickBot="1" x14ac:dyDescent="0.35"/>
    <row r="1159" spans="1:6" ht="16.5" hidden="1" customHeight="1" x14ac:dyDescent="0.3">
      <c r="A1159" s="24" t="s">
        <v>485</v>
      </c>
      <c r="B1159" s="26"/>
      <c r="C1159" s="26"/>
      <c r="D1159" s="26"/>
      <c r="E1159" s="26"/>
    </row>
    <row r="1160" spans="1:6" ht="16.5" hidden="1" customHeight="1" x14ac:dyDescent="0.3">
      <c r="A1160" s="6" t="s">
        <v>486</v>
      </c>
      <c r="B1160" s="3" t="s">
        <v>476</v>
      </c>
      <c r="C1160" s="3" t="s">
        <v>477</v>
      </c>
      <c r="D1160" s="3" t="s">
        <v>478</v>
      </c>
      <c r="E1160" s="3" t="s">
        <v>479</v>
      </c>
    </row>
    <row r="1161" spans="1:6" ht="16.5" hidden="1" customHeight="1" x14ac:dyDescent="0.3">
      <c r="A1161" s="14" t="s">
        <v>28</v>
      </c>
      <c r="B1161" s="2">
        <v>9.0299999999999994</v>
      </c>
      <c r="C1161" s="2">
        <v>3</v>
      </c>
      <c r="D1161" s="2">
        <v>2673</v>
      </c>
      <c r="E1161" s="2" t="s">
        <v>482</v>
      </c>
    </row>
    <row r="1162" spans="1:6" ht="16.5" hidden="1" customHeight="1" thickBot="1" x14ac:dyDescent="0.35"/>
    <row r="1163" spans="1:6" ht="16.5" hidden="1" customHeight="1" x14ac:dyDescent="0.3">
      <c r="A1163" s="24" t="s">
        <v>487</v>
      </c>
      <c r="B1163" s="26"/>
      <c r="C1163" s="26"/>
      <c r="D1163" s="26"/>
      <c r="E1163" s="26"/>
      <c r="F1163" s="26"/>
    </row>
    <row r="1164" spans="1:6" ht="16.5" hidden="1" customHeight="1" x14ac:dyDescent="0.3">
      <c r="A1164" s="25" t="s">
        <v>488</v>
      </c>
      <c r="B1164" s="27"/>
      <c r="C1164" s="27" t="s">
        <v>489</v>
      </c>
      <c r="D1164" s="3" t="s">
        <v>490</v>
      </c>
      <c r="E1164" s="27" t="s">
        <v>492</v>
      </c>
      <c r="F1164" s="27" t="s">
        <v>493</v>
      </c>
    </row>
    <row r="1165" spans="1:6" ht="16.5" hidden="1" customHeight="1" x14ac:dyDescent="0.3">
      <c r="A1165" s="25"/>
      <c r="B1165" s="27"/>
      <c r="C1165" s="27"/>
      <c r="D1165" s="3" t="s">
        <v>491</v>
      </c>
      <c r="E1165" s="27"/>
      <c r="F1165" s="27"/>
    </row>
    <row r="1166" spans="1:6" ht="16.5" hidden="1" customHeight="1" x14ac:dyDescent="0.3">
      <c r="A1166" s="25" t="s">
        <v>558</v>
      </c>
      <c r="B1166" s="27"/>
      <c r="C1166" s="27"/>
      <c r="D1166" s="27"/>
      <c r="E1166" s="27"/>
      <c r="F1166" s="27"/>
    </row>
    <row r="1167" spans="1:6" ht="17.25" hidden="1" customHeight="1" thickBot="1" x14ac:dyDescent="0.35">
      <c r="A1167" s="13" t="s">
        <v>495</v>
      </c>
      <c r="B1167" s="12"/>
      <c r="C1167" s="16">
        <v>-5.5411000000000001</v>
      </c>
      <c r="D1167" s="2">
        <v>0.25490000000000002</v>
      </c>
      <c r="E1167" s="16">
        <v>-21.73</v>
      </c>
      <c r="F1167" s="2" t="s">
        <v>482</v>
      </c>
    </row>
    <row r="1168" spans="1:6" ht="17.25" hidden="1" customHeight="1" thickBot="1" x14ac:dyDescent="0.35">
      <c r="A1168" s="13" t="s">
        <v>28</v>
      </c>
      <c r="B1168" s="12">
        <v>2</v>
      </c>
      <c r="C1168" s="2">
        <v>0.57730000000000004</v>
      </c>
      <c r="D1168" s="2">
        <v>0.30730000000000002</v>
      </c>
      <c r="E1168" s="2">
        <v>1.88</v>
      </c>
      <c r="F1168" s="2">
        <v>6.0400000000000002E-2</v>
      </c>
    </row>
    <row r="1169" spans="1:9" ht="17.25" hidden="1" customHeight="1" thickBot="1" x14ac:dyDescent="0.35">
      <c r="A1169" s="13" t="s">
        <v>28</v>
      </c>
      <c r="B1169" s="12">
        <v>3</v>
      </c>
      <c r="C1169" s="2">
        <v>1.0858000000000001</v>
      </c>
      <c r="D1169" s="2">
        <v>0.28360000000000002</v>
      </c>
      <c r="E1169" s="2">
        <v>3.83</v>
      </c>
      <c r="F1169" s="2">
        <v>1E-4</v>
      </c>
    </row>
    <row r="1170" spans="1:9" ht="16.5" hidden="1" customHeight="1" x14ac:dyDescent="0.3">
      <c r="A1170" s="14" t="s">
        <v>28</v>
      </c>
      <c r="B1170" s="15">
        <v>4</v>
      </c>
      <c r="C1170" s="2">
        <v>1.2985</v>
      </c>
      <c r="D1170" s="2">
        <v>0.28660000000000002</v>
      </c>
      <c r="E1170" s="2">
        <v>4.53</v>
      </c>
      <c r="F1170" s="2" t="s">
        <v>482</v>
      </c>
    </row>
    <row r="1171" spans="1:9" ht="16.5" hidden="1" customHeight="1" thickBot="1" x14ac:dyDescent="0.35"/>
    <row r="1172" spans="1:9" ht="16.5" hidden="1" customHeight="1" x14ac:dyDescent="0.3">
      <c r="A1172" s="24" t="s">
        <v>496</v>
      </c>
      <c r="B1172" s="26"/>
      <c r="C1172" s="26"/>
      <c r="D1172" s="26"/>
    </row>
    <row r="1173" spans="1:9" ht="33" hidden="1" customHeight="1" x14ac:dyDescent="0.3">
      <c r="A1173" s="6" t="s">
        <v>486</v>
      </c>
      <c r="B1173" s="3" t="s">
        <v>497</v>
      </c>
      <c r="C1173" s="27" t="s">
        <v>91</v>
      </c>
      <c r="D1173" s="27"/>
    </row>
    <row r="1174" spans="1:9" ht="49.5" hidden="1" customHeight="1" x14ac:dyDescent="0.3">
      <c r="A1174" s="25" t="s">
        <v>559</v>
      </c>
      <c r="B1174" s="27"/>
      <c r="C1174" s="27"/>
      <c r="D1174" s="27"/>
    </row>
    <row r="1175" spans="1:9" ht="26.25" thickBot="1" x14ac:dyDescent="0.35">
      <c r="A1175" s="13" t="s">
        <v>525</v>
      </c>
      <c r="B1175" s="2">
        <v>1.7809999999999999</v>
      </c>
      <c r="C1175" s="2">
        <v>0.97499999999999998</v>
      </c>
      <c r="D1175" s="2">
        <v>3.254</v>
      </c>
      <c r="H1175" s="8" t="str">
        <f t="shared" ref="H1175:H1177" si="26">TEXT(B1175,"0.00")&amp;" ("&amp;TEXT(C1175,"0.00")&amp;" to "&amp;TEXT(D1175,"0.00")&amp;")"</f>
        <v>1.78 (0.98 to 3.25)</v>
      </c>
      <c r="I1175">
        <f>F1168</f>
        <v>6.0400000000000002E-2</v>
      </c>
    </row>
    <row r="1176" spans="1:9" ht="26.25" thickBot="1" x14ac:dyDescent="0.35">
      <c r="A1176" s="13" t="s">
        <v>526</v>
      </c>
      <c r="B1176" s="2">
        <v>2.9620000000000002</v>
      </c>
      <c r="C1176" s="2">
        <v>1.6990000000000001</v>
      </c>
      <c r="D1176" s="2">
        <v>5.165</v>
      </c>
      <c r="H1176" s="8" t="str">
        <f t="shared" si="26"/>
        <v>2.96 (1.70 to 5.17)</v>
      </c>
      <c r="I1176">
        <f t="shared" ref="I1176:I1177" si="27">F1169</f>
        <v>1E-4</v>
      </c>
    </row>
    <row r="1177" spans="1:9" ht="25.5" x14ac:dyDescent="0.3">
      <c r="A1177" s="14" t="s">
        <v>527</v>
      </c>
      <c r="B1177" s="2">
        <v>3.6640000000000001</v>
      </c>
      <c r="C1177" s="2">
        <v>2.089</v>
      </c>
      <c r="D1177" s="2">
        <v>6.4269999999999996</v>
      </c>
      <c r="H1177" s="8" t="str">
        <f t="shared" si="26"/>
        <v>3.66 (2.09 to 6.43)</v>
      </c>
      <c r="I1177" t="str">
        <f t="shared" si="27"/>
        <v>&lt;.0001</v>
      </c>
    </row>
    <row r="1178" spans="1:9" ht="16.5" hidden="1" customHeight="1" thickBot="1" x14ac:dyDescent="0.35"/>
    <row r="1179" spans="1:9" ht="33" hidden="1" customHeight="1" x14ac:dyDescent="0.3">
      <c r="A1179" s="24" t="s">
        <v>502</v>
      </c>
      <c r="B1179" s="26"/>
      <c r="C1179" s="26"/>
      <c r="D1179" s="26"/>
    </row>
    <row r="1180" spans="1:9" ht="39" hidden="1" customHeight="1" thickBot="1" x14ac:dyDescent="0.35">
      <c r="A1180" s="13" t="s">
        <v>503</v>
      </c>
      <c r="B1180" s="2">
        <v>50.3</v>
      </c>
      <c r="C1180" s="12" t="s">
        <v>504</v>
      </c>
      <c r="D1180" s="2">
        <v>0.26</v>
      </c>
    </row>
    <row r="1181" spans="1:9" ht="26.25" hidden="1" customHeight="1" thickBot="1" x14ac:dyDescent="0.35">
      <c r="A1181" s="13" t="s">
        <v>505</v>
      </c>
      <c r="B1181" s="2">
        <v>24.4</v>
      </c>
      <c r="C1181" s="12" t="s">
        <v>506</v>
      </c>
      <c r="D1181" s="2">
        <v>0.34799999999999998</v>
      </c>
    </row>
    <row r="1182" spans="1:9" ht="26.25" hidden="1" customHeight="1" thickBot="1" x14ac:dyDescent="0.35">
      <c r="A1182" s="13" t="s">
        <v>507</v>
      </c>
      <c r="B1182" s="2">
        <v>25.3</v>
      </c>
      <c r="C1182" s="12" t="s">
        <v>508</v>
      </c>
      <c r="D1182" s="2">
        <v>6.0000000000000001E-3</v>
      </c>
    </row>
    <row r="1183" spans="1:9" ht="16.5" hidden="1" customHeight="1" x14ac:dyDescent="0.3">
      <c r="A1183" s="14" t="s">
        <v>509</v>
      </c>
      <c r="B1183" s="2">
        <v>4719448</v>
      </c>
      <c r="C1183" s="15" t="s">
        <v>510</v>
      </c>
      <c r="D1183" s="2">
        <v>0.63</v>
      </c>
    </row>
    <row r="1184" spans="1:9" ht="16.5" hidden="1" customHeight="1" x14ac:dyDescent="0.3"/>
    <row r="1185" spans="1:2" ht="16.5" hidden="1" customHeight="1" x14ac:dyDescent="0.3"/>
    <row r="1186" spans="1:2" ht="16.5" hidden="1" customHeight="1" x14ac:dyDescent="0.3"/>
    <row r="1187" spans="1:2" ht="16.5" hidden="1" customHeight="1" x14ac:dyDescent="0.3">
      <c r="A1187" s="1" t="s">
        <v>436</v>
      </c>
    </row>
    <row r="1188" spans="1:2" ht="16.5" hidden="1" customHeight="1" x14ac:dyDescent="0.3"/>
    <row r="1189" spans="1:2" ht="16.5" hidden="1" customHeight="1" x14ac:dyDescent="0.3">
      <c r="A1189" s="1" t="s">
        <v>408</v>
      </c>
    </row>
    <row r="1190" spans="1:2" ht="16.5" hidden="1" customHeight="1" thickBot="1" x14ac:dyDescent="0.35"/>
    <row r="1191" spans="1:2" ht="16.5" hidden="1" customHeight="1" x14ac:dyDescent="0.3">
      <c r="A1191" s="24" t="s">
        <v>437</v>
      </c>
      <c r="B1191" s="26"/>
    </row>
    <row r="1192" spans="1:2" ht="26.25" hidden="1" customHeight="1" thickBot="1" x14ac:dyDescent="0.35">
      <c r="A1192" s="13" t="s">
        <v>438</v>
      </c>
      <c r="B1192" s="18" t="s">
        <v>439</v>
      </c>
    </row>
    <row r="1193" spans="1:2" ht="26.25" hidden="1" customHeight="1" thickBot="1" x14ac:dyDescent="0.35">
      <c r="A1193" s="13" t="s">
        <v>440</v>
      </c>
      <c r="B1193" s="18" t="s">
        <v>19</v>
      </c>
    </row>
    <row r="1194" spans="1:2" ht="39" hidden="1" customHeight="1" thickBot="1" x14ac:dyDescent="0.35">
      <c r="A1194" s="13" t="s">
        <v>441</v>
      </c>
      <c r="B1194" s="18">
        <v>2</v>
      </c>
    </row>
    <row r="1195" spans="1:2" ht="26.25" hidden="1" customHeight="1" thickBot="1" x14ac:dyDescent="0.35">
      <c r="A1195" s="13" t="s">
        <v>442</v>
      </c>
      <c r="B1195" s="18" t="s">
        <v>443</v>
      </c>
    </row>
    <row r="1196" spans="1:2" ht="26.25" hidden="1" customHeight="1" thickBot="1" x14ac:dyDescent="0.35">
      <c r="A1196" s="13" t="s">
        <v>76</v>
      </c>
      <c r="B1196" s="18">
        <v>183</v>
      </c>
    </row>
    <row r="1197" spans="1:2" ht="26.25" hidden="1" customHeight="1" thickBot="1" x14ac:dyDescent="0.35">
      <c r="A1197" s="13" t="s">
        <v>444</v>
      </c>
      <c r="B1197" s="18" t="s">
        <v>445</v>
      </c>
    </row>
    <row r="1198" spans="1:2" ht="26.25" hidden="1" customHeight="1" thickBot="1" x14ac:dyDescent="0.35">
      <c r="A1198" s="13" t="s">
        <v>77</v>
      </c>
      <c r="B1198" s="18">
        <v>2660</v>
      </c>
    </row>
    <row r="1199" spans="1:2" ht="26.25" hidden="1" customHeight="1" thickBot="1" x14ac:dyDescent="0.35">
      <c r="A1199" s="13" t="s">
        <v>446</v>
      </c>
      <c r="B1199" s="18" t="s">
        <v>447</v>
      </c>
    </row>
    <row r="1200" spans="1:2" ht="26.25" hidden="1" customHeight="1" thickBot="1" x14ac:dyDescent="0.35">
      <c r="A1200" s="13" t="s">
        <v>448</v>
      </c>
      <c r="B1200" s="18" t="s">
        <v>449</v>
      </c>
    </row>
    <row r="1201" spans="1:4" ht="39" hidden="1" customHeight="1" thickBot="1" x14ac:dyDescent="0.35">
      <c r="A1201" s="13" t="s">
        <v>450</v>
      </c>
      <c r="B1201" s="18" t="s">
        <v>451</v>
      </c>
    </row>
    <row r="1202" spans="1:4" ht="38.25" hidden="1" customHeight="1" x14ac:dyDescent="0.3">
      <c r="A1202" s="14" t="s">
        <v>452</v>
      </c>
      <c r="B1202" s="19" t="s">
        <v>453</v>
      </c>
    </row>
    <row r="1203" spans="1:4" ht="16.5" hidden="1" customHeight="1" thickBot="1" x14ac:dyDescent="0.35"/>
    <row r="1204" spans="1:4" ht="33" hidden="1" customHeight="1" x14ac:dyDescent="0.3">
      <c r="A1204" s="24" t="s">
        <v>80</v>
      </c>
      <c r="B1204" s="26"/>
    </row>
    <row r="1205" spans="1:4" ht="33.75" hidden="1" customHeight="1" thickBot="1" x14ac:dyDescent="0.35">
      <c r="A1205" s="13" t="s">
        <v>81</v>
      </c>
      <c r="B1205" s="2" t="s">
        <v>82</v>
      </c>
    </row>
    <row r="1206" spans="1:4" ht="66" hidden="1" customHeight="1" x14ac:dyDescent="0.3">
      <c r="A1206" s="14" t="s">
        <v>452</v>
      </c>
      <c r="B1206" s="2" t="s">
        <v>453</v>
      </c>
    </row>
    <row r="1207" spans="1:4" ht="16.5" hidden="1" customHeight="1" thickBot="1" x14ac:dyDescent="0.35"/>
    <row r="1208" spans="1:4" ht="39" hidden="1" customHeight="1" thickBot="1" x14ac:dyDescent="0.35">
      <c r="A1208" s="20" t="s">
        <v>454</v>
      </c>
      <c r="B1208" s="21">
        <v>20950</v>
      </c>
    </row>
    <row r="1209" spans="1:4" ht="39" hidden="1" customHeight="1" thickBot="1" x14ac:dyDescent="0.35">
      <c r="A1209" s="13" t="s">
        <v>455</v>
      </c>
      <c r="B1209" s="2">
        <v>20950</v>
      </c>
    </row>
    <row r="1210" spans="1:4" ht="39" hidden="1" customHeight="1" thickBot="1" x14ac:dyDescent="0.35">
      <c r="A1210" s="13" t="s">
        <v>456</v>
      </c>
      <c r="B1210" s="2">
        <v>9858146</v>
      </c>
    </row>
    <row r="1211" spans="1:4" ht="38.25" hidden="1" customHeight="1" x14ac:dyDescent="0.3">
      <c r="A1211" s="14" t="s">
        <v>457</v>
      </c>
      <c r="B1211" s="2">
        <v>9858146</v>
      </c>
    </row>
    <row r="1212" spans="1:4" ht="16.5" hidden="1" customHeight="1" thickBot="1" x14ac:dyDescent="0.35"/>
    <row r="1213" spans="1:4" ht="16.5" hidden="1" customHeight="1" x14ac:dyDescent="0.3">
      <c r="A1213" s="24" t="s">
        <v>458</v>
      </c>
      <c r="B1213" s="26"/>
      <c r="C1213" s="26"/>
      <c r="D1213" s="26"/>
    </row>
    <row r="1214" spans="1:4" ht="16.5" hidden="1" customHeight="1" x14ac:dyDescent="0.3">
      <c r="A1214" s="6" t="s">
        <v>459</v>
      </c>
      <c r="B1214" s="27" t="s">
        <v>19</v>
      </c>
      <c r="C1214" s="3" t="s">
        <v>93</v>
      </c>
      <c r="D1214" s="3" t="s">
        <v>93</v>
      </c>
    </row>
    <row r="1215" spans="1:4" ht="33" hidden="1" customHeight="1" x14ac:dyDescent="0.3">
      <c r="A1215" s="6" t="s">
        <v>460</v>
      </c>
      <c r="B1215" s="27"/>
      <c r="C1215" s="3" t="s">
        <v>86</v>
      </c>
      <c r="D1215" s="3" t="s">
        <v>461</v>
      </c>
    </row>
    <row r="1216" spans="1:4" ht="17.25" hidden="1" customHeight="1" thickBot="1" x14ac:dyDescent="0.35">
      <c r="A1216" s="6">
        <v>1</v>
      </c>
      <c r="B1216" s="17">
        <v>0</v>
      </c>
      <c r="C1216" s="2">
        <v>20719</v>
      </c>
      <c r="D1216" s="2">
        <v>9768286.6999999993</v>
      </c>
    </row>
    <row r="1217" spans="1:5" ht="16.5" hidden="1" customHeight="1" x14ac:dyDescent="0.3">
      <c r="A1217" s="6">
        <v>2</v>
      </c>
      <c r="B1217" s="22">
        <v>1</v>
      </c>
      <c r="C1217" s="2">
        <v>231</v>
      </c>
      <c r="D1217" s="2">
        <v>89859.199999999997</v>
      </c>
    </row>
    <row r="1218" spans="1:5" ht="16.5" hidden="1" customHeight="1" x14ac:dyDescent="0.3"/>
    <row r="1219" spans="1:5" ht="16.5" hidden="1" customHeight="1" x14ac:dyDescent="0.3">
      <c r="A1219" s="1" t="s">
        <v>513</v>
      </c>
    </row>
    <row r="1220" spans="1:5" ht="16.5" hidden="1" customHeight="1" thickBot="1" x14ac:dyDescent="0.35"/>
    <row r="1221" spans="1:5" ht="16.5" hidden="1" customHeight="1" x14ac:dyDescent="0.3">
      <c r="A1221" s="24" t="s">
        <v>462</v>
      </c>
      <c r="B1221" s="26"/>
      <c r="C1221" s="26"/>
      <c r="D1221" s="26"/>
      <c r="E1221" s="26"/>
    </row>
    <row r="1222" spans="1:5" ht="16.5" hidden="1" customHeight="1" x14ac:dyDescent="0.3">
      <c r="A1222" s="6" t="s">
        <v>463</v>
      </c>
      <c r="B1222" s="3" t="s">
        <v>460</v>
      </c>
      <c r="C1222" s="27" t="s">
        <v>464</v>
      </c>
      <c r="D1222" s="27"/>
      <c r="E1222" s="27"/>
    </row>
    <row r="1223" spans="1:5" ht="17.25" hidden="1" customHeight="1" thickBot="1" x14ac:dyDescent="0.35">
      <c r="A1223" s="13" t="s">
        <v>28</v>
      </c>
      <c r="B1223" s="12">
        <v>1</v>
      </c>
      <c r="C1223" s="2">
        <v>0</v>
      </c>
      <c r="D1223" s="2">
        <v>0</v>
      </c>
      <c r="E1223" s="2">
        <v>0</v>
      </c>
    </row>
    <row r="1224" spans="1:5" ht="17.25" hidden="1" customHeight="1" thickBot="1" x14ac:dyDescent="0.35">
      <c r="A1224" s="13"/>
      <c r="B1224" s="12">
        <v>2</v>
      </c>
      <c r="C1224" s="2">
        <v>1</v>
      </c>
      <c r="D1224" s="2">
        <v>0</v>
      </c>
      <c r="E1224" s="2">
        <v>0</v>
      </c>
    </row>
    <row r="1225" spans="1:5" ht="17.25" hidden="1" customHeight="1" thickBot="1" x14ac:dyDescent="0.35">
      <c r="A1225" s="13"/>
      <c r="B1225" s="12">
        <v>3</v>
      </c>
      <c r="C1225" s="2">
        <v>0</v>
      </c>
      <c r="D1225" s="2">
        <v>1</v>
      </c>
      <c r="E1225" s="2">
        <v>0</v>
      </c>
    </row>
    <row r="1226" spans="1:5" ht="16.5" hidden="1" customHeight="1" x14ac:dyDescent="0.3">
      <c r="A1226" s="14"/>
      <c r="B1226" s="15">
        <v>4</v>
      </c>
      <c r="C1226" s="2">
        <v>0</v>
      </c>
      <c r="D1226" s="2">
        <v>0</v>
      </c>
      <c r="E1226" s="2">
        <v>1</v>
      </c>
    </row>
    <row r="1227" spans="1:5" ht="16.5" hidden="1" customHeight="1" thickBot="1" x14ac:dyDescent="0.35"/>
    <row r="1228" spans="1:5" ht="66" hidden="1" customHeight="1" x14ac:dyDescent="0.3">
      <c r="A1228" s="4" t="s">
        <v>465</v>
      </c>
    </row>
    <row r="1229" spans="1:5" ht="99" hidden="1" customHeight="1" x14ac:dyDescent="0.3">
      <c r="A1229" s="23" t="s">
        <v>466</v>
      </c>
    </row>
    <row r="1230" spans="1:5" ht="16.5" hidden="1" customHeight="1" thickBot="1" x14ac:dyDescent="0.35"/>
    <row r="1231" spans="1:5" ht="16.5" hidden="1" customHeight="1" x14ac:dyDescent="0.3">
      <c r="A1231" s="24" t="s">
        <v>467</v>
      </c>
      <c r="B1231" s="26"/>
      <c r="C1231" s="26"/>
    </row>
    <row r="1232" spans="1:5" ht="66" hidden="1" customHeight="1" x14ac:dyDescent="0.3">
      <c r="A1232" s="6" t="s">
        <v>468</v>
      </c>
      <c r="B1232" s="3" t="s">
        <v>469</v>
      </c>
      <c r="C1232" s="3" t="s">
        <v>470</v>
      </c>
    </row>
    <row r="1233" spans="1:6" ht="17.25" hidden="1" customHeight="1" thickBot="1" x14ac:dyDescent="0.35">
      <c r="A1233" s="13" t="s">
        <v>471</v>
      </c>
      <c r="B1233" s="2">
        <v>1023181.2</v>
      </c>
      <c r="C1233" s="2">
        <v>1007628.9</v>
      </c>
    </row>
    <row r="1234" spans="1:6" ht="17.25" hidden="1" customHeight="1" thickBot="1" x14ac:dyDescent="0.35">
      <c r="A1234" s="13" t="s">
        <v>472</v>
      </c>
      <c r="B1234" s="2">
        <v>1023195.3</v>
      </c>
      <c r="C1234" s="2">
        <v>1007685.4</v>
      </c>
    </row>
    <row r="1235" spans="1:6" ht="16.5" hidden="1" customHeight="1" x14ac:dyDescent="0.3">
      <c r="A1235" s="14" t="s">
        <v>473</v>
      </c>
      <c r="B1235" s="2" t="s">
        <v>631</v>
      </c>
      <c r="C1235" s="2">
        <v>1007620.9</v>
      </c>
    </row>
    <row r="1236" spans="1:6" ht="16.5" hidden="1" customHeight="1" thickBot="1" x14ac:dyDescent="0.35"/>
    <row r="1237" spans="1:6" ht="16.5" hidden="1" customHeight="1" x14ac:dyDescent="0.3">
      <c r="A1237" s="24" t="s">
        <v>474</v>
      </c>
      <c r="B1237" s="26"/>
      <c r="C1237" s="26"/>
      <c r="D1237" s="26"/>
      <c r="E1237" s="26"/>
    </row>
    <row r="1238" spans="1:6" ht="16.5" hidden="1" customHeight="1" x14ac:dyDescent="0.3">
      <c r="A1238" s="6" t="s">
        <v>475</v>
      </c>
      <c r="B1238" s="3" t="s">
        <v>476</v>
      </c>
      <c r="C1238" s="3" t="s">
        <v>477</v>
      </c>
      <c r="D1238" s="3" t="s">
        <v>478</v>
      </c>
      <c r="E1238" s="3" t="s">
        <v>479</v>
      </c>
    </row>
    <row r="1239" spans="1:6" ht="33" hidden="1" customHeight="1" x14ac:dyDescent="0.3">
      <c r="A1239" s="25" t="s">
        <v>614</v>
      </c>
      <c r="B1239" s="27"/>
      <c r="C1239" s="27"/>
      <c r="D1239" s="27"/>
      <c r="E1239" s="27"/>
    </row>
    <row r="1240" spans="1:6" ht="26.25" hidden="1" customHeight="1" thickBot="1" x14ac:dyDescent="0.35">
      <c r="A1240" s="13" t="s">
        <v>481</v>
      </c>
      <c r="B1240" s="2">
        <v>11.31</v>
      </c>
      <c r="C1240" s="2">
        <v>2.9741</v>
      </c>
      <c r="D1240" s="2">
        <v>7366.87</v>
      </c>
      <c r="E1240" s="2" t="s">
        <v>482</v>
      </c>
    </row>
    <row r="1241" spans="1:6" ht="17.25" hidden="1" customHeight="1" thickBot="1" x14ac:dyDescent="0.35">
      <c r="A1241" s="13" t="s">
        <v>483</v>
      </c>
      <c r="B1241" s="2">
        <v>11.75</v>
      </c>
      <c r="C1241" s="2">
        <v>3</v>
      </c>
      <c r="D1241" s="2">
        <v>2475</v>
      </c>
      <c r="E1241" s="2" t="s">
        <v>482</v>
      </c>
    </row>
    <row r="1242" spans="1:6" ht="16.5" hidden="1" customHeight="1" x14ac:dyDescent="0.3">
      <c r="A1242" s="14" t="s">
        <v>484</v>
      </c>
      <c r="B1242" s="2">
        <v>7.07</v>
      </c>
      <c r="C1242" s="2">
        <v>3</v>
      </c>
      <c r="D1242" s="2">
        <v>2475</v>
      </c>
      <c r="E1242" s="2" t="s">
        <v>482</v>
      </c>
    </row>
    <row r="1243" spans="1:6" ht="16.5" hidden="1" customHeight="1" thickBot="1" x14ac:dyDescent="0.35"/>
    <row r="1244" spans="1:6" ht="16.5" hidden="1" customHeight="1" x14ac:dyDescent="0.3">
      <c r="A1244" s="24" t="s">
        <v>485</v>
      </c>
      <c r="B1244" s="26"/>
      <c r="C1244" s="26"/>
      <c r="D1244" s="26"/>
      <c r="E1244" s="26"/>
    </row>
    <row r="1245" spans="1:6" ht="16.5" hidden="1" customHeight="1" x14ac:dyDescent="0.3">
      <c r="A1245" s="6" t="s">
        <v>486</v>
      </c>
      <c r="B1245" s="3" t="s">
        <v>476</v>
      </c>
      <c r="C1245" s="3" t="s">
        <v>477</v>
      </c>
      <c r="D1245" s="3" t="s">
        <v>478</v>
      </c>
      <c r="E1245" s="3" t="s">
        <v>479</v>
      </c>
    </row>
    <row r="1246" spans="1:6" ht="16.5" hidden="1" customHeight="1" x14ac:dyDescent="0.3">
      <c r="A1246" s="14" t="s">
        <v>28</v>
      </c>
      <c r="B1246" s="2">
        <v>7.07</v>
      </c>
      <c r="C1246" s="2">
        <v>3</v>
      </c>
      <c r="D1246" s="2">
        <v>2475</v>
      </c>
      <c r="E1246" s="2" t="s">
        <v>482</v>
      </c>
    </row>
    <row r="1247" spans="1:6" ht="16.5" hidden="1" customHeight="1" thickBot="1" x14ac:dyDescent="0.35"/>
    <row r="1248" spans="1:6" ht="16.5" hidden="1" customHeight="1" x14ac:dyDescent="0.3">
      <c r="A1248" s="24" t="s">
        <v>487</v>
      </c>
      <c r="B1248" s="26"/>
      <c r="C1248" s="26"/>
      <c r="D1248" s="26"/>
      <c r="E1248" s="26"/>
      <c r="F1248" s="26"/>
    </row>
    <row r="1249" spans="1:9" ht="16.5" hidden="1" customHeight="1" x14ac:dyDescent="0.3">
      <c r="A1249" s="25" t="s">
        <v>488</v>
      </c>
      <c r="B1249" s="27"/>
      <c r="C1249" s="27" t="s">
        <v>489</v>
      </c>
      <c r="D1249" s="3" t="s">
        <v>490</v>
      </c>
      <c r="E1249" s="27" t="s">
        <v>492</v>
      </c>
      <c r="F1249" s="27" t="s">
        <v>493</v>
      </c>
    </row>
    <row r="1250" spans="1:9" ht="16.5" hidden="1" customHeight="1" x14ac:dyDescent="0.3">
      <c r="A1250" s="25"/>
      <c r="B1250" s="27"/>
      <c r="C1250" s="27"/>
      <c r="D1250" s="3" t="s">
        <v>491</v>
      </c>
      <c r="E1250" s="27"/>
      <c r="F1250" s="27"/>
    </row>
    <row r="1251" spans="1:9" ht="16.5" hidden="1" customHeight="1" x14ac:dyDescent="0.3">
      <c r="A1251" s="25" t="s">
        <v>561</v>
      </c>
      <c r="B1251" s="27"/>
      <c r="C1251" s="27"/>
      <c r="D1251" s="27"/>
      <c r="E1251" s="27"/>
      <c r="F1251" s="27"/>
    </row>
    <row r="1252" spans="1:9" ht="17.25" hidden="1" customHeight="1" thickBot="1" x14ac:dyDescent="0.35">
      <c r="A1252" s="13" t="s">
        <v>495</v>
      </c>
      <c r="B1252" s="12"/>
      <c r="C1252" s="16">
        <v>-5.5277000000000003</v>
      </c>
      <c r="D1252" s="2">
        <v>0.25080000000000002</v>
      </c>
      <c r="E1252" s="16">
        <v>-22.04</v>
      </c>
      <c r="F1252" s="2" t="s">
        <v>482</v>
      </c>
    </row>
    <row r="1253" spans="1:9" ht="17.25" hidden="1" customHeight="1" thickBot="1" x14ac:dyDescent="0.35">
      <c r="A1253" s="13" t="s">
        <v>28</v>
      </c>
      <c r="B1253" s="12">
        <v>2</v>
      </c>
      <c r="C1253" s="2">
        <v>0.65100000000000002</v>
      </c>
      <c r="D1253" s="2">
        <v>0.2878</v>
      </c>
      <c r="E1253" s="2">
        <v>2.2599999999999998</v>
      </c>
      <c r="F1253" s="2">
        <v>2.3800000000000002E-2</v>
      </c>
    </row>
    <row r="1254" spans="1:9" ht="17.25" hidden="1" customHeight="1" thickBot="1" x14ac:dyDescent="0.35">
      <c r="A1254" s="13" t="s">
        <v>28</v>
      </c>
      <c r="B1254" s="12">
        <v>3</v>
      </c>
      <c r="C1254" s="2">
        <v>1.1599999999999999</v>
      </c>
      <c r="D1254" s="2">
        <v>0.2868</v>
      </c>
      <c r="E1254" s="2">
        <v>4.04</v>
      </c>
      <c r="F1254" s="2" t="s">
        <v>482</v>
      </c>
    </row>
    <row r="1255" spans="1:9" ht="16.5" hidden="1" customHeight="1" x14ac:dyDescent="0.3">
      <c r="A1255" s="14" t="s">
        <v>28</v>
      </c>
      <c r="B1255" s="15">
        <v>4</v>
      </c>
      <c r="C1255" s="2">
        <v>1.1589</v>
      </c>
      <c r="D1255" s="2">
        <v>0.28660000000000002</v>
      </c>
      <c r="E1255" s="2">
        <v>4.04</v>
      </c>
      <c r="F1255" s="2" t="s">
        <v>482</v>
      </c>
    </row>
    <row r="1256" spans="1:9" ht="16.5" hidden="1" customHeight="1" thickBot="1" x14ac:dyDescent="0.35"/>
    <row r="1257" spans="1:9" ht="16.5" hidden="1" customHeight="1" x14ac:dyDescent="0.3">
      <c r="A1257" s="24" t="s">
        <v>496</v>
      </c>
      <c r="B1257" s="26"/>
      <c r="C1257" s="26"/>
      <c r="D1257" s="26"/>
    </row>
    <row r="1258" spans="1:9" ht="33" hidden="1" customHeight="1" x14ac:dyDescent="0.3">
      <c r="A1258" s="6" t="s">
        <v>486</v>
      </c>
      <c r="B1258" s="3" t="s">
        <v>497</v>
      </c>
      <c r="C1258" s="27" t="s">
        <v>91</v>
      </c>
      <c r="D1258" s="27"/>
    </row>
    <row r="1259" spans="1:9" ht="49.5" hidden="1" customHeight="1" x14ac:dyDescent="0.3">
      <c r="A1259" s="25" t="s">
        <v>562</v>
      </c>
      <c r="B1259" s="27"/>
      <c r="C1259" s="27"/>
      <c r="D1259" s="27"/>
    </row>
    <row r="1260" spans="1:9" ht="26.25" thickBot="1" x14ac:dyDescent="0.35">
      <c r="A1260" s="13" t="s">
        <v>525</v>
      </c>
      <c r="B1260" s="2">
        <v>1.917</v>
      </c>
      <c r="C1260" s="2">
        <v>1.0900000000000001</v>
      </c>
      <c r="D1260" s="2">
        <v>3.3719999999999999</v>
      </c>
      <c r="H1260" s="8" t="str">
        <f t="shared" ref="H1260:H1262" si="28">TEXT(B1260,"0.00")&amp;" ("&amp;TEXT(C1260,"0.00")&amp;" to "&amp;TEXT(D1260,"0.00")&amp;")"</f>
        <v>1.92 (1.09 to 3.37)</v>
      </c>
      <c r="I1260">
        <f>F1253</f>
        <v>2.3800000000000002E-2</v>
      </c>
    </row>
    <row r="1261" spans="1:9" ht="26.25" thickBot="1" x14ac:dyDescent="0.35">
      <c r="A1261" s="13" t="s">
        <v>526</v>
      </c>
      <c r="B1261" s="2">
        <v>3.19</v>
      </c>
      <c r="C1261" s="2">
        <v>1.8180000000000001</v>
      </c>
      <c r="D1261" s="2">
        <v>5.5979999999999999</v>
      </c>
      <c r="H1261" s="8" t="str">
        <f t="shared" si="28"/>
        <v>3.19 (1.82 to 5.60)</v>
      </c>
      <c r="I1261" t="str">
        <f t="shared" ref="I1261:I1262" si="29">F1254</f>
        <v>&lt;.0001</v>
      </c>
    </row>
    <row r="1262" spans="1:9" ht="25.5" x14ac:dyDescent="0.3">
      <c r="A1262" s="14" t="s">
        <v>527</v>
      </c>
      <c r="B1262" s="2">
        <v>3.1869999999999998</v>
      </c>
      <c r="C1262" s="2">
        <v>1.8169999999999999</v>
      </c>
      <c r="D1262" s="2">
        <v>5.5890000000000004</v>
      </c>
      <c r="H1262" s="8" t="str">
        <f t="shared" si="28"/>
        <v>3.19 (1.82 to 5.59)</v>
      </c>
      <c r="I1262" t="str">
        <f t="shared" si="29"/>
        <v>&lt;.0001</v>
      </c>
    </row>
    <row r="1263" spans="1:9" ht="16.5" hidden="1" customHeight="1" thickBot="1" x14ac:dyDescent="0.35"/>
    <row r="1264" spans="1:9" ht="33" hidden="1" customHeight="1" x14ac:dyDescent="0.3">
      <c r="A1264" s="24" t="s">
        <v>502</v>
      </c>
      <c r="B1264" s="26"/>
      <c r="C1264" s="26"/>
      <c r="D1264" s="26"/>
    </row>
    <row r="1265" spans="1:4" ht="39" hidden="1" customHeight="1" thickBot="1" x14ac:dyDescent="0.35">
      <c r="A1265" s="13" t="s">
        <v>503</v>
      </c>
      <c r="B1265" s="2">
        <v>40.5</v>
      </c>
      <c r="C1265" s="12" t="s">
        <v>504</v>
      </c>
      <c r="D1265" s="2">
        <v>0.223</v>
      </c>
    </row>
    <row r="1266" spans="1:4" ht="26.25" hidden="1" customHeight="1" thickBot="1" x14ac:dyDescent="0.35">
      <c r="A1266" s="13" t="s">
        <v>505</v>
      </c>
      <c r="B1266" s="2">
        <v>18.2</v>
      </c>
      <c r="C1266" s="12" t="s">
        <v>506</v>
      </c>
      <c r="D1266" s="2">
        <v>0.38</v>
      </c>
    </row>
    <row r="1267" spans="1:4" ht="26.25" hidden="1" customHeight="1" thickBot="1" x14ac:dyDescent="0.35">
      <c r="A1267" s="13" t="s">
        <v>507</v>
      </c>
      <c r="B1267" s="2">
        <v>41.2</v>
      </c>
      <c r="C1267" s="12" t="s">
        <v>508</v>
      </c>
      <c r="D1267" s="2">
        <v>5.0000000000000001E-3</v>
      </c>
    </row>
    <row r="1268" spans="1:4" ht="16.5" hidden="1" customHeight="1" x14ac:dyDescent="0.3">
      <c r="A1268" s="14" t="s">
        <v>509</v>
      </c>
      <c r="B1268" s="2">
        <v>4786089</v>
      </c>
      <c r="C1268" s="15" t="s">
        <v>510</v>
      </c>
      <c r="D1268" s="2">
        <v>0.61199999999999999</v>
      </c>
    </row>
    <row r="1269" spans="1:4" ht="16.5" hidden="1" customHeight="1" x14ac:dyDescent="0.3"/>
    <row r="1270" spans="1:4" ht="16.5" hidden="1" customHeight="1" x14ac:dyDescent="0.3"/>
    <row r="1271" spans="1:4" ht="16.5" hidden="1" customHeight="1" x14ac:dyDescent="0.3"/>
    <row r="1272" spans="1:4" ht="16.5" hidden="1" customHeight="1" x14ac:dyDescent="0.3">
      <c r="A1272" s="1" t="s">
        <v>436</v>
      </c>
    </row>
    <row r="1273" spans="1:4" ht="16.5" hidden="1" customHeight="1" x14ac:dyDescent="0.3"/>
    <row r="1274" spans="1:4" ht="16.5" hidden="1" customHeight="1" x14ac:dyDescent="0.3">
      <c r="A1274" s="1" t="s">
        <v>413</v>
      </c>
    </row>
    <row r="1275" spans="1:4" ht="16.5" hidden="1" customHeight="1" thickBot="1" x14ac:dyDescent="0.35"/>
    <row r="1276" spans="1:4" ht="16.5" hidden="1" customHeight="1" x14ac:dyDescent="0.3">
      <c r="A1276" s="24" t="s">
        <v>437</v>
      </c>
      <c r="B1276" s="26"/>
    </row>
    <row r="1277" spans="1:4" ht="26.25" hidden="1" customHeight="1" thickBot="1" x14ac:dyDescent="0.35">
      <c r="A1277" s="13" t="s">
        <v>438</v>
      </c>
      <c r="B1277" s="18" t="s">
        <v>439</v>
      </c>
    </row>
    <row r="1278" spans="1:4" ht="26.25" hidden="1" customHeight="1" thickBot="1" x14ac:dyDescent="0.35">
      <c r="A1278" s="13" t="s">
        <v>440</v>
      </c>
      <c r="B1278" s="18" t="s">
        <v>19</v>
      </c>
    </row>
    <row r="1279" spans="1:4" ht="39" hidden="1" customHeight="1" thickBot="1" x14ac:dyDescent="0.35">
      <c r="A1279" s="13" t="s">
        <v>441</v>
      </c>
      <c r="B1279" s="18">
        <v>2</v>
      </c>
    </row>
    <row r="1280" spans="1:4" ht="26.25" hidden="1" customHeight="1" thickBot="1" x14ac:dyDescent="0.35">
      <c r="A1280" s="13" t="s">
        <v>442</v>
      </c>
      <c r="B1280" s="18" t="s">
        <v>443</v>
      </c>
    </row>
    <row r="1281" spans="1:2" ht="26.25" hidden="1" customHeight="1" thickBot="1" x14ac:dyDescent="0.35">
      <c r="A1281" s="13" t="s">
        <v>76</v>
      </c>
      <c r="B1281" s="18">
        <v>183</v>
      </c>
    </row>
    <row r="1282" spans="1:2" ht="26.25" hidden="1" customHeight="1" thickBot="1" x14ac:dyDescent="0.35">
      <c r="A1282" s="13" t="s">
        <v>444</v>
      </c>
      <c r="B1282" s="18" t="s">
        <v>445</v>
      </c>
    </row>
    <row r="1283" spans="1:2" ht="26.25" hidden="1" customHeight="1" thickBot="1" x14ac:dyDescent="0.35">
      <c r="A1283" s="13" t="s">
        <v>77</v>
      </c>
      <c r="B1283" s="18">
        <v>2979</v>
      </c>
    </row>
    <row r="1284" spans="1:2" ht="26.25" hidden="1" customHeight="1" thickBot="1" x14ac:dyDescent="0.35">
      <c r="A1284" s="13" t="s">
        <v>446</v>
      </c>
      <c r="B1284" s="18" t="s">
        <v>447</v>
      </c>
    </row>
    <row r="1285" spans="1:2" ht="26.25" hidden="1" customHeight="1" thickBot="1" x14ac:dyDescent="0.35">
      <c r="A1285" s="13" t="s">
        <v>448</v>
      </c>
      <c r="B1285" s="18" t="s">
        <v>449</v>
      </c>
    </row>
    <row r="1286" spans="1:2" ht="39" hidden="1" customHeight="1" thickBot="1" x14ac:dyDescent="0.35">
      <c r="A1286" s="13" t="s">
        <v>450</v>
      </c>
      <c r="B1286" s="18" t="s">
        <v>451</v>
      </c>
    </row>
    <row r="1287" spans="1:2" ht="38.25" hidden="1" customHeight="1" x14ac:dyDescent="0.3">
      <c r="A1287" s="14" t="s">
        <v>452</v>
      </c>
      <c r="B1287" s="19" t="s">
        <v>453</v>
      </c>
    </row>
    <row r="1288" spans="1:2" ht="16.5" hidden="1" customHeight="1" thickBot="1" x14ac:dyDescent="0.35"/>
    <row r="1289" spans="1:2" ht="33" hidden="1" customHeight="1" x14ac:dyDescent="0.3">
      <c r="A1289" s="24" t="s">
        <v>80</v>
      </c>
      <c r="B1289" s="26"/>
    </row>
    <row r="1290" spans="1:2" ht="33.75" hidden="1" customHeight="1" thickBot="1" x14ac:dyDescent="0.35">
      <c r="A1290" s="13" t="s">
        <v>81</v>
      </c>
      <c r="B1290" s="2" t="s">
        <v>82</v>
      </c>
    </row>
    <row r="1291" spans="1:2" ht="66" hidden="1" customHeight="1" x14ac:dyDescent="0.3">
      <c r="A1291" s="14" t="s">
        <v>452</v>
      </c>
      <c r="B1291" s="2" t="s">
        <v>453</v>
      </c>
    </row>
    <row r="1292" spans="1:2" ht="16.5" hidden="1" customHeight="1" thickBot="1" x14ac:dyDescent="0.35"/>
    <row r="1293" spans="1:2" ht="39" hidden="1" customHeight="1" thickBot="1" x14ac:dyDescent="0.35">
      <c r="A1293" s="20" t="s">
        <v>454</v>
      </c>
      <c r="B1293" s="21">
        <v>56814</v>
      </c>
    </row>
    <row r="1294" spans="1:2" ht="39" hidden="1" customHeight="1" thickBot="1" x14ac:dyDescent="0.35">
      <c r="A1294" s="13" t="s">
        <v>455</v>
      </c>
      <c r="B1294" s="2">
        <v>56814</v>
      </c>
    </row>
    <row r="1295" spans="1:2" ht="39" hidden="1" customHeight="1" thickBot="1" x14ac:dyDescent="0.35">
      <c r="A1295" s="13" t="s">
        <v>456</v>
      </c>
      <c r="B1295" s="2">
        <v>22898766</v>
      </c>
    </row>
    <row r="1296" spans="1:2" ht="38.25" hidden="1" customHeight="1" x14ac:dyDescent="0.3">
      <c r="A1296" s="14" t="s">
        <v>457</v>
      </c>
      <c r="B1296" s="2">
        <v>22898766</v>
      </c>
    </row>
    <row r="1297" spans="1:5" ht="16.5" hidden="1" customHeight="1" thickBot="1" x14ac:dyDescent="0.35"/>
    <row r="1298" spans="1:5" ht="16.5" hidden="1" customHeight="1" x14ac:dyDescent="0.3">
      <c r="A1298" s="24" t="s">
        <v>458</v>
      </c>
      <c r="B1298" s="26"/>
      <c r="C1298" s="26"/>
      <c r="D1298" s="26"/>
    </row>
    <row r="1299" spans="1:5" ht="16.5" hidden="1" customHeight="1" x14ac:dyDescent="0.3">
      <c r="A1299" s="6" t="s">
        <v>459</v>
      </c>
      <c r="B1299" s="27" t="s">
        <v>19</v>
      </c>
      <c r="C1299" s="3" t="s">
        <v>93</v>
      </c>
      <c r="D1299" s="3" t="s">
        <v>93</v>
      </c>
    </row>
    <row r="1300" spans="1:5" ht="33" hidden="1" customHeight="1" x14ac:dyDescent="0.3">
      <c r="A1300" s="6" t="s">
        <v>460</v>
      </c>
      <c r="B1300" s="27"/>
      <c r="C1300" s="3" t="s">
        <v>86</v>
      </c>
      <c r="D1300" s="3" t="s">
        <v>461</v>
      </c>
    </row>
    <row r="1301" spans="1:5" ht="17.25" hidden="1" customHeight="1" thickBot="1" x14ac:dyDescent="0.35">
      <c r="A1301" s="6">
        <v>1</v>
      </c>
      <c r="B1301" s="17">
        <v>0</v>
      </c>
      <c r="C1301" s="2">
        <v>55634</v>
      </c>
      <c r="D1301" s="2">
        <v>22530074</v>
      </c>
    </row>
    <row r="1302" spans="1:5" ht="16.5" hidden="1" customHeight="1" x14ac:dyDescent="0.3">
      <c r="A1302" s="6">
        <v>2</v>
      </c>
      <c r="B1302" s="22">
        <v>1</v>
      </c>
      <c r="C1302" s="2">
        <v>1180</v>
      </c>
      <c r="D1302" s="2">
        <v>368692</v>
      </c>
    </row>
    <row r="1303" spans="1:5" ht="16.5" hidden="1" customHeight="1" x14ac:dyDescent="0.3"/>
    <row r="1304" spans="1:5" ht="16.5" hidden="1" customHeight="1" x14ac:dyDescent="0.3">
      <c r="A1304" s="1" t="s">
        <v>513</v>
      </c>
    </row>
    <row r="1305" spans="1:5" ht="16.5" hidden="1" customHeight="1" thickBot="1" x14ac:dyDescent="0.35"/>
    <row r="1306" spans="1:5" ht="16.5" hidden="1" customHeight="1" x14ac:dyDescent="0.3">
      <c r="A1306" s="24" t="s">
        <v>462</v>
      </c>
      <c r="B1306" s="26"/>
      <c r="C1306" s="26"/>
      <c r="D1306" s="26"/>
      <c r="E1306" s="26"/>
    </row>
    <row r="1307" spans="1:5" ht="16.5" hidden="1" customHeight="1" x14ac:dyDescent="0.3">
      <c r="A1307" s="6" t="s">
        <v>463</v>
      </c>
      <c r="B1307" s="3" t="s">
        <v>460</v>
      </c>
      <c r="C1307" s="27" t="s">
        <v>464</v>
      </c>
      <c r="D1307" s="27"/>
      <c r="E1307" s="27"/>
    </row>
    <row r="1308" spans="1:5" ht="17.25" hidden="1" customHeight="1" thickBot="1" x14ac:dyDescent="0.35">
      <c r="A1308" s="13" t="s">
        <v>28</v>
      </c>
      <c r="B1308" s="12">
        <v>1</v>
      </c>
      <c r="C1308" s="2">
        <v>0</v>
      </c>
      <c r="D1308" s="2">
        <v>0</v>
      </c>
      <c r="E1308" s="2">
        <v>0</v>
      </c>
    </row>
    <row r="1309" spans="1:5" ht="17.25" hidden="1" customHeight="1" thickBot="1" x14ac:dyDescent="0.35">
      <c r="A1309" s="13"/>
      <c r="B1309" s="12">
        <v>2</v>
      </c>
      <c r="C1309" s="2">
        <v>1</v>
      </c>
      <c r="D1309" s="2">
        <v>0</v>
      </c>
      <c r="E1309" s="2">
        <v>0</v>
      </c>
    </row>
    <row r="1310" spans="1:5" ht="17.25" hidden="1" customHeight="1" thickBot="1" x14ac:dyDescent="0.35">
      <c r="A1310" s="13"/>
      <c r="B1310" s="12">
        <v>3</v>
      </c>
      <c r="C1310" s="2">
        <v>0</v>
      </c>
      <c r="D1310" s="2">
        <v>1</v>
      </c>
      <c r="E1310" s="2">
        <v>0</v>
      </c>
    </row>
    <row r="1311" spans="1:5" ht="16.5" hidden="1" customHeight="1" x14ac:dyDescent="0.3">
      <c r="A1311" s="14"/>
      <c r="B1311" s="15">
        <v>4</v>
      </c>
      <c r="C1311" s="2">
        <v>0</v>
      </c>
      <c r="D1311" s="2">
        <v>0</v>
      </c>
      <c r="E1311" s="2">
        <v>1</v>
      </c>
    </row>
    <row r="1312" spans="1:5" ht="16.5" hidden="1" customHeight="1" thickBot="1" x14ac:dyDescent="0.35"/>
    <row r="1313" spans="1:5" ht="66" hidden="1" customHeight="1" x14ac:dyDescent="0.3">
      <c r="A1313" s="4" t="s">
        <v>465</v>
      </c>
    </row>
    <row r="1314" spans="1:5" ht="99" hidden="1" customHeight="1" x14ac:dyDescent="0.3">
      <c r="A1314" s="23" t="s">
        <v>466</v>
      </c>
    </row>
    <row r="1315" spans="1:5" ht="16.5" hidden="1" customHeight="1" thickBot="1" x14ac:dyDescent="0.35"/>
    <row r="1316" spans="1:5" ht="16.5" hidden="1" customHeight="1" x14ac:dyDescent="0.3">
      <c r="A1316" s="24" t="s">
        <v>467</v>
      </c>
      <c r="B1316" s="26"/>
      <c r="C1316" s="26"/>
    </row>
    <row r="1317" spans="1:5" ht="66" hidden="1" customHeight="1" x14ac:dyDescent="0.3">
      <c r="A1317" s="6" t="s">
        <v>468</v>
      </c>
      <c r="B1317" s="3" t="s">
        <v>469</v>
      </c>
      <c r="C1317" s="3" t="s">
        <v>470</v>
      </c>
    </row>
    <row r="1318" spans="1:5" ht="17.25" hidden="1" customHeight="1" thickBot="1" x14ac:dyDescent="0.35">
      <c r="A1318" s="13" t="s">
        <v>471</v>
      </c>
      <c r="B1318" s="2">
        <v>3775985.3</v>
      </c>
      <c r="C1318" s="2">
        <v>3736900.9</v>
      </c>
    </row>
    <row r="1319" spans="1:5" ht="17.25" hidden="1" customHeight="1" thickBot="1" x14ac:dyDescent="0.35">
      <c r="A1319" s="13" t="s">
        <v>472</v>
      </c>
      <c r="B1319" s="2">
        <v>3776000.3</v>
      </c>
      <c r="C1319" s="2">
        <v>3736960.7</v>
      </c>
    </row>
    <row r="1320" spans="1:5" ht="16.5" hidden="1" customHeight="1" x14ac:dyDescent="0.3">
      <c r="A1320" s="14" t="s">
        <v>473</v>
      </c>
      <c r="B1320" s="2" t="s">
        <v>637</v>
      </c>
      <c r="C1320" s="2">
        <v>3736892.9</v>
      </c>
    </row>
    <row r="1321" spans="1:5" ht="16.5" hidden="1" customHeight="1" thickBot="1" x14ac:dyDescent="0.35"/>
    <row r="1322" spans="1:5" ht="16.5" hidden="1" customHeight="1" x14ac:dyDescent="0.3">
      <c r="A1322" s="24" t="s">
        <v>474</v>
      </c>
      <c r="B1322" s="26"/>
      <c r="C1322" s="26"/>
      <c r="D1322" s="26"/>
      <c r="E1322" s="26"/>
    </row>
    <row r="1323" spans="1:5" ht="16.5" hidden="1" customHeight="1" x14ac:dyDescent="0.3">
      <c r="A1323" s="6" t="s">
        <v>475</v>
      </c>
      <c r="B1323" s="3" t="s">
        <v>476</v>
      </c>
      <c r="C1323" s="3" t="s">
        <v>477</v>
      </c>
      <c r="D1323" s="3" t="s">
        <v>478</v>
      </c>
      <c r="E1323" s="3" t="s">
        <v>479</v>
      </c>
    </row>
    <row r="1324" spans="1:5" ht="33" hidden="1" customHeight="1" x14ac:dyDescent="0.3">
      <c r="A1324" s="25" t="s">
        <v>599</v>
      </c>
      <c r="B1324" s="27"/>
      <c r="C1324" s="27"/>
      <c r="D1324" s="27"/>
      <c r="E1324" s="27"/>
    </row>
    <row r="1325" spans="1:5" ht="26.25" hidden="1" customHeight="1" thickBot="1" x14ac:dyDescent="0.35">
      <c r="A1325" s="13" t="s">
        <v>481</v>
      </c>
      <c r="B1325" s="2">
        <v>32.479999999999997</v>
      </c>
      <c r="C1325" s="2">
        <v>2.9885000000000002</v>
      </c>
      <c r="D1325" s="2">
        <v>8355.73</v>
      </c>
      <c r="E1325" s="2" t="s">
        <v>482</v>
      </c>
    </row>
    <row r="1326" spans="1:5" ht="17.25" hidden="1" customHeight="1" thickBot="1" x14ac:dyDescent="0.35">
      <c r="A1326" s="13" t="s">
        <v>483</v>
      </c>
      <c r="B1326" s="2">
        <v>42.62</v>
      </c>
      <c r="C1326" s="2">
        <v>3</v>
      </c>
      <c r="D1326" s="2">
        <v>2794</v>
      </c>
      <c r="E1326" s="2" t="s">
        <v>482</v>
      </c>
    </row>
    <row r="1327" spans="1:5" ht="16.5" hidden="1" customHeight="1" x14ac:dyDescent="0.3">
      <c r="A1327" s="14" t="s">
        <v>484</v>
      </c>
      <c r="B1327" s="2">
        <v>24.98</v>
      </c>
      <c r="C1327" s="2">
        <v>3</v>
      </c>
      <c r="D1327" s="2">
        <v>2794</v>
      </c>
      <c r="E1327" s="2" t="s">
        <v>482</v>
      </c>
    </row>
    <row r="1328" spans="1:5" ht="16.5" hidden="1" customHeight="1" thickBot="1" x14ac:dyDescent="0.35"/>
    <row r="1329" spans="1:6" ht="16.5" hidden="1" customHeight="1" x14ac:dyDescent="0.3">
      <c r="A1329" s="24" t="s">
        <v>485</v>
      </c>
      <c r="B1329" s="26"/>
      <c r="C1329" s="26"/>
      <c r="D1329" s="26"/>
      <c r="E1329" s="26"/>
    </row>
    <row r="1330" spans="1:6" ht="16.5" hidden="1" customHeight="1" x14ac:dyDescent="0.3">
      <c r="A1330" s="6" t="s">
        <v>486</v>
      </c>
      <c r="B1330" s="3" t="s">
        <v>476</v>
      </c>
      <c r="C1330" s="3" t="s">
        <v>477</v>
      </c>
      <c r="D1330" s="3" t="s">
        <v>478</v>
      </c>
      <c r="E1330" s="3" t="s">
        <v>479</v>
      </c>
    </row>
    <row r="1331" spans="1:6" ht="16.5" hidden="1" customHeight="1" x14ac:dyDescent="0.3">
      <c r="A1331" s="14" t="s">
        <v>28</v>
      </c>
      <c r="B1331" s="2">
        <v>24.98</v>
      </c>
      <c r="C1331" s="2">
        <v>3</v>
      </c>
      <c r="D1331" s="2">
        <v>2794</v>
      </c>
      <c r="E1331" s="2" t="s">
        <v>482</v>
      </c>
    </row>
    <row r="1332" spans="1:6" ht="16.5" hidden="1" customHeight="1" thickBot="1" x14ac:dyDescent="0.35"/>
    <row r="1333" spans="1:6" ht="16.5" hidden="1" customHeight="1" x14ac:dyDescent="0.3">
      <c r="A1333" s="24" t="s">
        <v>487</v>
      </c>
      <c r="B1333" s="26"/>
      <c r="C1333" s="26"/>
      <c r="D1333" s="26"/>
      <c r="E1333" s="26"/>
      <c r="F1333" s="26"/>
    </row>
    <row r="1334" spans="1:6" ht="16.5" hidden="1" customHeight="1" x14ac:dyDescent="0.3">
      <c r="A1334" s="25" t="s">
        <v>488</v>
      </c>
      <c r="B1334" s="27"/>
      <c r="C1334" s="27" t="s">
        <v>489</v>
      </c>
      <c r="D1334" s="3" t="s">
        <v>490</v>
      </c>
      <c r="E1334" s="27" t="s">
        <v>492</v>
      </c>
      <c r="F1334" s="27" t="s">
        <v>493</v>
      </c>
    </row>
    <row r="1335" spans="1:6" ht="16.5" hidden="1" customHeight="1" x14ac:dyDescent="0.3">
      <c r="A1335" s="25"/>
      <c r="B1335" s="27"/>
      <c r="C1335" s="27"/>
      <c r="D1335" s="3" t="s">
        <v>491</v>
      </c>
      <c r="E1335" s="27"/>
      <c r="F1335" s="27"/>
    </row>
    <row r="1336" spans="1:6" ht="16.5" hidden="1" customHeight="1" x14ac:dyDescent="0.3">
      <c r="A1336" s="25" t="s">
        <v>573</v>
      </c>
      <c r="B1336" s="27"/>
      <c r="C1336" s="27"/>
      <c r="D1336" s="27"/>
      <c r="E1336" s="27"/>
      <c r="F1336" s="27"/>
    </row>
    <row r="1337" spans="1:6" ht="17.25" hidden="1" customHeight="1" thickBot="1" x14ac:dyDescent="0.35">
      <c r="A1337" s="13" t="s">
        <v>495</v>
      </c>
      <c r="B1337" s="12"/>
      <c r="C1337" s="16">
        <v>-4.8973000000000004</v>
      </c>
      <c r="D1337" s="2">
        <v>0.1149</v>
      </c>
      <c r="E1337" s="16">
        <v>-42.61</v>
      </c>
      <c r="F1337" s="2" t="s">
        <v>482</v>
      </c>
    </row>
    <row r="1338" spans="1:6" ht="17.25" hidden="1" customHeight="1" thickBot="1" x14ac:dyDescent="0.35">
      <c r="A1338" s="13" t="s">
        <v>28</v>
      </c>
      <c r="B1338" s="12">
        <v>2</v>
      </c>
      <c r="C1338" s="2">
        <v>0.66800000000000004</v>
      </c>
      <c r="D1338" s="2">
        <v>0.1396</v>
      </c>
      <c r="E1338" s="2">
        <v>4.79</v>
      </c>
      <c r="F1338" s="2" t="s">
        <v>482</v>
      </c>
    </row>
    <row r="1339" spans="1:6" ht="17.25" hidden="1" customHeight="1" thickBot="1" x14ac:dyDescent="0.35">
      <c r="A1339" s="13" t="s">
        <v>28</v>
      </c>
      <c r="B1339" s="12">
        <v>3</v>
      </c>
      <c r="C1339" s="2">
        <v>0.93700000000000006</v>
      </c>
      <c r="D1339" s="2">
        <v>0.1285</v>
      </c>
      <c r="E1339" s="2">
        <v>7.29</v>
      </c>
      <c r="F1339" s="2" t="s">
        <v>482</v>
      </c>
    </row>
    <row r="1340" spans="1:6" ht="16.5" hidden="1" customHeight="1" x14ac:dyDescent="0.3">
      <c r="A1340" s="14" t="s">
        <v>28</v>
      </c>
      <c r="B1340" s="15">
        <v>4</v>
      </c>
      <c r="C1340" s="2">
        <v>1.0557000000000001</v>
      </c>
      <c r="D1340" s="2">
        <v>0.1303</v>
      </c>
      <c r="E1340" s="2">
        <v>8.1</v>
      </c>
      <c r="F1340" s="2" t="s">
        <v>482</v>
      </c>
    </row>
    <row r="1341" spans="1:6" ht="16.5" hidden="1" customHeight="1" thickBot="1" x14ac:dyDescent="0.35"/>
    <row r="1342" spans="1:6" ht="16.5" hidden="1" customHeight="1" x14ac:dyDescent="0.3">
      <c r="A1342" s="24" t="s">
        <v>496</v>
      </c>
      <c r="B1342" s="26"/>
      <c r="C1342" s="26"/>
      <c r="D1342" s="26"/>
    </row>
    <row r="1343" spans="1:6" ht="33" hidden="1" customHeight="1" x14ac:dyDescent="0.3">
      <c r="A1343" s="6" t="s">
        <v>486</v>
      </c>
      <c r="B1343" s="3" t="s">
        <v>497</v>
      </c>
      <c r="C1343" s="27" t="s">
        <v>91</v>
      </c>
      <c r="D1343" s="27"/>
    </row>
    <row r="1344" spans="1:6" ht="49.5" hidden="1" customHeight="1" x14ac:dyDescent="0.3">
      <c r="A1344" s="25" t="s">
        <v>574</v>
      </c>
      <c r="B1344" s="27"/>
      <c r="C1344" s="27"/>
      <c r="D1344" s="27"/>
    </row>
    <row r="1345" spans="1:9" ht="26.25" thickBot="1" x14ac:dyDescent="0.35">
      <c r="A1345" s="13" t="s">
        <v>525</v>
      </c>
      <c r="B1345" s="2">
        <v>1.95</v>
      </c>
      <c r="C1345" s="2">
        <v>1.4830000000000001</v>
      </c>
      <c r="D1345" s="2">
        <v>2.5640000000000001</v>
      </c>
      <c r="H1345" s="8" t="str">
        <f t="shared" ref="H1345:H1347" si="30">TEXT(B1345,"0.00")&amp;" ("&amp;TEXT(C1345,"0.00")&amp;" to "&amp;TEXT(D1345,"0.00")&amp;")"</f>
        <v>1.95 (1.48 to 2.56)</v>
      </c>
      <c r="I1345" t="str">
        <f>F1338</f>
        <v>&lt;.0001</v>
      </c>
    </row>
    <row r="1346" spans="1:9" ht="26.25" thickBot="1" x14ac:dyDescent="0.35">
      <c r="A1346" s="13" t="s">
        <v>526</v>
      </c>
      <c r="B1346" s="2">
        <v>2.552</v>
      </c>
      <c r="C1346" s="2">
        <v>1.984</v>
      </c>
      <c r="D1346" s="2">
        <v>3.2839999999999998</v>
      </c>
      <c r="H1346" s="8" t="str">
        <f t="shared" si="30"/>
        <v>2.55 (1.98 to 3.28)</v>
      </c>
      <c r="I1346" t="str">
        <f t="shared" ref="I1346:I1347" si="31">F1339</f>
        <v>&lt;.0001</v>
      </c>
    </row>
    <row r="1347" spans="1:9" ht="25.5" x14ac:dyDescent="0.3">
      <c r="A1347" s="14" t="s">
        <v>527</v>
      </c>
      <c r="B1347" s="2">
        <v>2.8740000000000001</v>
      </c>
      <c r="C1347" s="2">
        <v>2.226</v>
      </c>
      <c r="D1347" s="2">
        <v>3.7109999999999999</v>
      </c>
      <c r="H1347" s="8" t="str">
        <f t="shared" si="30"/>
        <v>2.87 (2.23 to 3.71)</v>
      </c>
      <c r="I1347" t="str">
        <f t="shared" si="31"/>
        <v>&lt;.0001</v>
      </c>
    </row>
    <row r="1348" spans="1:9" ht="16.5" hidden="1" customHeight="1" thickBot="1" x14ac:dyDescent="0.35"/>
    <row r="1349" spans="1:9" ht="33" hidden="1" customHeight="1" x14ac:dyDescent="0.3">
      <c r="A1349" s="24" t="s">
        <v>502</v>
      </c>
      <c r="B1349" s="26"/>
      <c r="C1349" s="26"/>
      <c r="D1349" s="26"/>
    </row>
    <row r="1350" spans="1:9" ht="39" hidden="1" customHeight="1" thickBot="1" x14ac:dyDescent="0.35">
      <c r="A1350" s="13" t="s">
        <v>503</v>
      </c>
      <c r="B1350" s="2">
        <v>45.6</v>
      </c>
      <c r="C1350" s="12" t="s">
        <v>504</v>
      </c>
      <c r="D1350" s="2">
        <v>0.17499999999999999</v>
      </c>
    </row>
    <row r="1351" spans="1:9" ht="26.25" hidden="1" customHeight="1" thickBot="1" x14ac:dyDescent="0.35">
      <c r="A1351" s="13" t="s">
        <v>505</v>
      </c>
      <c r="B1351" s="2">
        <v>28.1</v>
      </c>
      <c r="C1351" s="12" t="s">
        <v>506</v>
      </c>
      <c r="D1351" s="2">
        <v>0.23799999999999999</v>
      </c>
    </row>
    <row r="1352" spans="1:9" ht="26.25" hidden="1" customHeight="1" thickBot="1" x14ac:dyDescent="0.35">
      <c r="A1352" s="13" t="s">
        <v>507</v>
      </c>
      <c r="B1352" s="2">
        <v>26.3</v>
      </c>
      <c r="C1352" s="12" t="s">
        <v>508</v>
      </c>
      <c r="D1352" s="2">
        <v>7.0000000000000001E-3</v>
      </c>
    </row>
    <row r="1353" spans="1:9" ht="16.5" hidden="1" customHeight="1" x14ac:dyDescent="0.3">
      <c r="A1353" s="14" t="s">
        <v>509</v>
      </c>
      <c r="B1353" s="2">
        <v>65648120</v>
      </c>
      <c r="C1353" s="15" t="s">
        <v>510</v>
      </c>
      <c r="D1353" s="2">
        <v>0.58799999999999997</v>
      </c>
    </row>
    <row r="1354" spans="1:9" ht="16.5" hidden="1" customHeight="1" x14ac:dyDescent="0.3"/>
    <row r="1355" spans="1:9" ht="16.5" hidden="1" customHeight="1" x14ac:dyDescent="0.3"/>
    <row r="1356" spans="1:9" ht="16.5" hidden="1" customHeight="1" x14ac:dyDescent="0.3"/>
    <row r="1357" spans="1:9" ht="16.5" hidden="1" customHeight="1" x14ac:dyDescent="0.3">
      <c r="A1357" s="1" t="s">
        <v>436</v>
      </c>
    </row>
    <row r="1358" spans="1:9" ht="16.5" hidden="1" customHeight="1" x14ac:dyDescent="0.3"/>
    <row r="1359" spans="1:9" ht="16.5" hidden="1" customHeight="1" x14ac:dyDescent="0.3">
      <c r="A1359" s="1" t="s">
        <v>414</v>
      </c>
    </row>
    <row r="1360" spans="1:9" ht="16.5" hidden="1" customHeight="1" thickBot="1" x14ac:dyDescent="0.35"/>
    <row r="1361" spans="1:2" ht="16.5" hidden="1" customHeight="1" x14ac:dyDescent="0.3">
      <c r="A1361" s="24" t="s">
        <v>437</v>
      </c>
      <c r="B1361" s="26"/>
    </row>
    <row r="1362" spans="1:2" ht="26.25" hidden="1" customHeight="1" thickBot="1" x14ac:dyDescent="0.35">
      <c r="A1362" s="13" t="s">
        <v>438</v>
      </c>
      <c r="B1362" s="18" t="s">
        <v>439</v>
      </c>
    </row>
    <row r="1363" spans="1:2" ht="26.25" hidden="1" customHeight="1" thickBot="1" x14ac:dyDescent="0.35">
      <c r="A1363" s="13" t="s">
        <v>440</v>
      </c>
      <c r="B1363" s="18" t="s">
        <v>19</v>
      </c>
    </row>
    <row r="1364" spans="1:2" ht="39" hidden="1" customHeight="1" thickBot="1" x14ac:dyDescent="0.35">
      <c r="A1364" s="13" t="s">
        <v>441</v>
      </c>
      <c r="B1364" s="18">
        <v>2</v>
      </c>
    </row>
    <row r="1365" spans="1:2" ht="26.25" hidden="1" customHeight="1" thickBot="1" x14ac:dyDescent="0.35">
      <c r="A1365" s="13" t="s">
        <v>442</v>
      </c>
      <c r="B1365" s="18" t="s">
        <v>443</v>
      </c>
    </row>
    <row r="1366" spans="1:2" ht="26.25" hidden="1" customHeight="1" thickBot="1" x14ac:dyDescent="0.35">
      <c r="A1366" s="13" t="s">
        <v>76</v>
      </c>
      <c r="B1366" s="18">
        <v>183</v>
      </c>
    </row>
    <row r="1367" spans="1:2" ht="26.25" hidden="1" customHeight="1" thickBot="1" x14ac:dyDescent="0.35">
      <c r="A1367" s="13" t="s">
        <v>444</v>
      </c>
      <c r="B1367" s="18" t="s">
        <v>445</v>
      </c>
    </row>
    <row r="1368" spans="1:2" ht="26.25" hidden="1" customHeight="1" thickBot="1" x14ac:dyDescent="0.35">
      <c r="A1368" s="13" t="s">
        <v>77</v>
      </c>
      <c r="B1368" s="18">
        <v>2750</v>
      </c>
    </row>
    <row r="1369" spans="1:2" ht="26.25" hidden="1" customHeight="1" thickBot="1" x14ac:dyDescent="0.35">
      <c r="A1369" s="13" t="s">
        <v>446</v>
      </c>
      <c r="B1369" s="18" t="s">
        <v>447</v>
      </c>
    </row>
    <row r="1370" spans="1:2" ht="26.25" hidden="1" customHeight="1" thickBot="1" x14ac:dyDescent="0.35">
      <c r="A1370" s="13" t="s">
        <v>448</v>
      </c>
      <c r="B1370" s="18" t="s">
        <v>449</v>
      </c>
    </row>
    <row r="1371" spans="1:2" ht="39" hidden="1" customHeight="1" thickBot="1" x14ac:dyDescent="0.35">
      <c r="A1371" s="13" t="s">
        <v>450</v>
      </c>
      <c r="B1371" s="18" t="s">
        <v>451</v>
      </c>
    </row>
    <row r="1372" spans="1:2" ht="38.25" hidden="1" customHeight="1" x14ac:dyDescent="0.3">
      <c r="A1372" s="14" t="s">
        <v>452</v>
      </c>
      <c r="B1372" s="19" t="s">
        <v>453</v>
      </c>
    </row>
    <row r="1373" spans="1:2" ht="16.5" hidden="1" customHeight="1" thickBot="1" x14ac:dyDescent="0.35"/>
    <row r="1374" spans="1:2" ht="33" hidden="1" customHeight="1" x14ac:dyDescent="0.3">
      <c r="A1374" s="24" t="s">
        <v>80</v>
      </c>
      <c r="B1374" s="26"/>
    </row>
    <row r="1375" spans="1:2" ht="33.75" hidden="1" customHeight="1" thickBot="1" x14ac:dyDescent="0.35">
      <c r="A1375" s="13" t="s">
        <v>81</v>
      </c>
      <c r="B1375" s="2" t="s">
        <v>82</v>
      </c>
    </row>
    <row r="1376" spans="1:2" ht="66" hidden="1" customHeight="1" x14ac:dyDescent="0.3">
      <c r="A1376" s="14" t="s">
        <v>452</v>
      </c>
      <c r="B1376" s="2" t="s">
        <v>453</v>
      </c>
    </row>
    <row r="1377" spans="1:5" ht="16.5" hidden="1" customHeight="1" thickBot="1" x14ac:dyDescent="0.35"/>
    <row r="1378" spans="1:5" ht="39" hidden="1" customHeight="1" thickBot="1" x14ac:dyDescent="0.35">
      <c r="A1378" s="20" t="s">
        <v>454</v>
      </c>
      <c r="B1378" s="21">
        <v>11821</v>
      </c>
    </row>
    <row r="1379" spans="1:5" ht="39" hidden="1" customHeight="1" thickBot="1" x14ac:dyDescent="0.35">
      <c r="A1379" s="13" t="s">
        <v>455</v>
      </c>
      <c r="B1379" s="2">
        <v>11821</v>
      </c>
    </row>
    <row r="1380" spans="1:5" ht="39" hidden="1" customHeight="1" thickBot="1" x14ac:dyDescent="0.35">
      <c r="A1380" s="13" t="s">
        <v>456</v>
      </c>
      <c r="B1380" s="2">
        <v>7353170</v>
      </c>
    </row>
    <row r="1381" spans="1:5" ht="38.25" hidden="1" customHeight="1" x14ac:dyDescent="0.3">
      <c r="A1381" s="14" t="s">
        <v>457</v>
      </c>
      <c r="B1381" s="2">
        <v>7353170</v>
      </c>
    </row>
    <row r="1382" spans="1:5" ht="16.5" hidden="1" customHeight="1" thickBot="1" x14ac:dyDescent="0.35"/>
    <row r="1383" spans="1:5" ht="16.5" hidden="1" customHeight="1" x14ac:dyDescent="0.3">
      <c r="A1383" s="24" t="s">
        <v>458</v>
      </c>
      <c r="B1383" s="26"/>
      <c r="C1383" s="26"/>
      <c r="D1383" s="26"/>
    </row>
    <row r="1384" spans="1:5" ht="16.5" hidden="1" customHeight="1" x14ac:dyDescent="0.3">
      <c r="A1384" s="6" t="s">
        <v>459</v>
      </c>
      <c r="B1384" s="27" t="s">
        <v>19</v>
      </c>
      <c r="C1384" s="3" t="s">
        <v>93</v>
      </c>
      <c r="D1384" s="3" t="s">
        <v>93</v>
      </c>
    </row>
    <row r="1385" spans="1:5" ht="33" hidden="1" customHeight="1" x14ac:dyDescent="0.3">
      <c r="A1385" s="6" t="s">
        <v>460</v>
      </c>
      <c r="B1385" s="27"/>
      <c r="C1385" s="3" t="s">
        <v>86</v>
      </c>
      <c r="D1385" s="3" t="s">
        <v>461</v>
      </c>
    </row>
    <row r="1386" spans="1:5" ht="17.25" hidden="1" customHeight="1" thickBot="1" x14ac:dyDescent="0.35">
      <c r="A1386" s="6">
        <v>1</v>
      </c>
      <c r="B1386" s="17">
        <v>0</v>
      </c>
      <c r="C1386" s="2">
        <v>11800</v>
      </c>
      <c r="D1386" s="2">
        <v>7344116.7000000002</v>
      </c>
    </row>
    <row r="1387" spans="1:5" ht="16.5" hidden="1" customHeight="1" x14ac:dyDescent="0.3">
      <c r="A1387" s="6">
        <v>2</v>
      </c>
      <c r="B1387" s="22">
        <v>1</v>
      </c>
      <c r="C1387" s="2">
        <v>21</v>
      </c>
      <c r="D1387" s="2">
        <v>9052.7999999999993</v>
      </c>
    </row>
    <row r="1388" spans="1:5" ht="16.5" hidden="1" customHeight="1" x14ac:dyDescent="0.3"/>
    <row r="1389" spans="1:5" ht="16.5" hidden="1" customHeight="1" x14ac:dyDescent="0.3">
      <c r="A1389" s="1" t="s">
        <v>513</v>
      </c>
    </row>
    <row r="1390" spans="1:5" ht="16.5" hidden="1" customHeight="1" thickBot="1" x14ac:dyDescent="0.35"/>
    <row r="1391" spans="1:5" ht="16.5" hidden="1" customHeight="1" x14ac:dyDescent="0.3">
      <c r="A1391" s="24" t="s">
        <v>462</v>
      </c>
      <c r="B1391" s="26"/>
      <c r="C1391" s="26"/>
      <c r="D1391" s="26"/>
      <c r="E1391" s="26"/>
    </row>
    <row r="1392" spans="1:5" ht="16.5" hidden="1" customHeight="1" x14ac:dyDescent="0.3">
      <c r="A1392" s="6" t="s">
        <v>463</v>
      </c>
      <c r="B1392" s="3" t="s">
        <v>460</v>
      </c>
      <c r="C1392" s="27" t="s">
        <v>464</v>
      </c>
      <c r="D1392" s="27"/>
      <c r="E1392" s="27"/>
    </row>
    <row r="1393" spans="1:5" ht="17.25" hidden="1" customHeight="1" thickBot="1" x14ac:dyDescent="0.35">
      <c r="A1393" s="13" t="s">
        <v>28</v>
      </c>
      <c r="B1393" s="12">
        <v>1</v>
      </c>
      <c r="C1393" s="2">
        <v>0</v>
      </c>
      <c r="D1393" s="2">
        <v>0</v>
      </c>
      <c r="E1393" s="2">
        <v>0</v>
      </c>
    </row>
    <row r="1394" spans="1:5" ht="17.25" hidden="1" customHeight="1" thickBot="1" x14ac:dyDescent="0.35">
      <c r="A1394" s="13"/>
      <c r="B1394" s="12">
        <v>2</v>
      </c>
      <c r="C1394" s="2">
        <v>1</v>
      </c>
      <c r="D1394" s="2">
        <v>0</v>
      </c>
      <c r="E1394" s="2">
        <v>0</v>
      </c>
    </row>
    <row r="1395" spans="1:5" ht="17.25" hidden="1" customHeight="1" thickBot="1" x14ac:dyDescent="0.35">
      <c r="A1395" s="13"/>
      <c r="B1395" s="12">
        <v>3</v>
      </c>
      <c r="C1395" s="2">
        <v>0</v>
      </c>
      <c r="D1395" s="2">
        <v>1</v>
      </c>
      <c r="E1395" s="2">
        <v>0</v>
      </c>
    </row>
    <row r="1396" spans="1:5" ht="16.5" hidden="1" customHeight="1" x14ac:dyDescent="0.3">
      <c r="A1396" s="14"/>
      <c r="B1396" s="15">
        <v>4</v>
      </c>
      <c r="C1396" s="2">
        <v>0</v>
      </c>
      <c r="D1396" s="2">
        <v>0</v>
      </c>
      <c r="E1396" s="2">
        <v>1</v>
      </c>
    </row>
    <row r="1397" spans="1:5" ht="16.5" hidden="1" customHeight="1" thickBot="1" x14ac:dyDescent="0.35"/>
    <row r="1398" spans="1:5" ht="66" hidden="1" customHeight="1" x14ac:dyDescent="0.3">
      <c r="A1398" s="4" t="s">
        <v>465</v>
      </c>
    </row>
    <row r="1399" spans="1:5" ht="99" hidden="1" customHeight="1" x14ac:dyDescent="0.3">
      <c r="A1399" s="23" t="s">
        <v>466</v>
      </c>
    </row>
    <row r="1400" spans="1:5" ht="16.5" hidden="1" customHeight="1" thickBot="1" x14ac:dyDescent="0.35"/>
    <row r="1401" spans="1:5" ht="16.5" hidden="1" customHeight="1" x14ac:dyDescent="0.3">
      <c r="A1401" s="24" t="s">
        <v>467</v>
      </c>
      <c r="B1401" s="26"/>
      <c r="C1401" s="26"/>
    </row>
    <row r="1402" spans="1:5" ht="66" hidden="1" customHeight="1" x14ac:dyDescent="0.3">
      <c r="A1402" s="6" t="s">
        <v>468</v>
      </c>
      <c r="B1402" s="3" t="s">
        <v>469</v>
      </c>
      <c r="C1402" s="3" t="s">
        <v>470</v>
      </c>
    </row>
    <row r="1403" spans="1:5" ht="17.25" hidden="1" customHeight="1" thickBot="1" x14ac:dyDescent="0.35">
      <c r="A1403" s="13" t="s">
        <v>471</v>
      </c>
      <c r="B1403" s="2">
        <v>139401.16</v>
      </c>
      <c r="C1403" s="2">
        <v>136765.76000000001</v>
      </c>
    </row>
    <row r="1404" spans="1:5" ht="17.25" hidden="1" customHeight="1" thickBot="1" x14ac:dyDescent="0.35">
      <c r="A1404" s="13" t="s">
        <v>472</v>
      </c>
      <c r="B1404" s="2">
        <v>139414.97</v>
      </c>
      <c r="C1404" s="2">
        <v>136821.01</v>
      </c>
    </row>
    <row r="1405" spans="1:5" ht="16.5" hidden="1" customHeight="1" x14ac:dyDescent="0.3">
      <c r="A1405" s="14" t="s">
        <v>473</v>
      </c>
      <c r="B1405" s="2" t="s">
        <v>638</v>
      </c>
      <c r="C1405" s="2">
        <v>136757.76000000001</v>
      </c>
    </row>
    <row r="1406" spans="1:5" ht="16.5" hidden="1" customHeight="1" thickBot="1" x14ac:dyDescent="0.35"/>
    <row r="1407" spans="1:5" ht="16.5" hidden="1" customHeight="1" x14ac:dyDescent="0.3">
      <c r="A1407" s="24" t="s">
        <v>474</v>
      </c>
      <c r="B1407" s="26"/>
      <c r="C1407" s="26"/>
      <c r="D1407" s="26"/>
      <c r="E1407" s="26"/>
    </row>
    <row r="1408" spans="1:5" ht="16.5" hidden="1" customHeight="1" x14ac:dyDescent="0.3">
      <c r="A1408" s="6" t="s">
        <v>475</v>
      </c>
      <c r="B1408" s="3" t="s">
        <v>476</v>
      </c>
      <c r="C1408" s="3" t="s">
        <v>477</v>
      </c>
      <c r="D1408" s="3" t="s">
        <v>478</v>
      </c>
      <c r="E1408" s="3" t="s">
        <v>479</v>
      </c>
    </row>
    <row r="1409" spans="1:6" ht="33" hidden="1" customHeight="1" x14ac:dyDescent="0.3">
      <c r="A1409" s="25" t="s">
        <v>601</v>
      </c>
      <c r="B1409" s="27"/>
      <c r="C1409" s="27"/>
      <c r="D1409" s="27"/>
      <c r="E1409" s="27"/>
    </row>
    <row r="1410" spans="1:6" ht="26.25" hidden="1" customHeight="1" thickBot="1" x14ac:dyDescent="0.35">
      <c r="A1410" s="13" t="s">
        <v>481</v>
      </c>
      <c r="B1410" s="2">
        <v>1.42</v>
      </c>
      <c r="C1410" s="2">
        <v>2.9994999999999998</v>
      </c>
      <c r="D1410" s="2">
        <v>7699.72</v>
      </c>
      <c r="E1410" s="2">
        <v>0.2361</v>
      </c>
    </row>
    <row r="1411" spans="1:6" ht="17.25" hidden="1" customHeight="1" thickBot="1" x14ac:dyDescent="0.35">
      <c r="A1411" s="13" t="s">
        <v>483</v>
      </c>
      <c r="B1411" s="2">
        <v>1.99</v>
      </c>
      <c r="C1411" s="2">
        <v>3</v>
      </c>
      <c r="D1411" s="2">
        <v>2565</v>
      </c>
      <c r="E1411" s="2">
        <v>0.11260000000000001</v>
      </c>
    </row>
    <row r="1412" spans="1:6" ht="16.5" hidden="1" customHeight="1" x14ac:dyDescent="0.3">
      <c r="A1412" s="14" t="s">
        <v>484</v>
      </c>
      <c r="B1412" s="2">
        <v>1.44</v>
      </c>
      <c r="C1412" s="2">
        <v>3</v>
      </c>
      <c r="D1412" s="2">
        <v>2565</v>
      </c>
      <c r="E1412" s="2">
        <v>0.22789999999999999</v>
      </c>
    </row>
    <row r="1413" spans="1:6" ht="16.5" hidden="1" customHeight="1" thickBot="1" x14ac:dyDescent="0.35"/>
    <row r="1414" spans="1:6" ht="16.5" hidden="1" customHeight="1" x14ac:dyDescent="0.3">
      <c r="A1414" s="24" t="s">
        <v>485</v>
      </c>
      <c r="B1414" s="26"/>
      <c r="C1414" s="26"/>
      <c r="D1414" s="26"/>
      <c r="E1414" s="26"/>
    </row>
    <row r="1415" spans="1:6" ht="16.5" hidden="1" customHeight="1" x14ac:dyDescent="0.3">
      <c r="A1415" s="6" t="s">
        <v>486</v>
      </c>
      <c r="B1415" s="3" t="s">
        <v>476</v>
      </c>
      <c r="C1415" s="3" t="s">
        <v>477</v>
      </c>
      <c r="D1415" s="3" t="s">
        <v>478</v>
      </c>
      <c r="E1415" s="3" t="s">
        <v>479</v>
      </c>
    </row>
    <row r="1416" spans="1:6" ht="16.5" hidden="1" customHeight="1" x14ac:dyDescent="0.3">
      <c r="A1416" s="14" t="s">
        <v>28</v>
      </c>
      <c r="B1416" s="2">
        <v>1.44</v>
      </c>
      <c r="C1416" s="2">
        <v>3</v>
      </c>
      <c r="D1416" s="2">
        <v>2565</v>
      </c>
      <c r="E1416" s="2">
        <v>0.22789999999999999</v>
      </c>
    </row>
    <row r="1417" spans="1:6" ht="16.5" hidden="1" customHeight="1" thickBot="1" x14ac:dyDescent="0.35"/>
    <row r="1418" spans="1:6" ht="16.5" hidden="1" customHeight="1" x14ac:dyDescent="0.3">
      <c r="A1418" s="24" t="s">
        <v>487</v>
      </c>
      <c r="B1418" s="26"/>
      <c r="C1418" s="26"/>
      <c r="D1418" s="26"/>
      <c r="E1418" s="26"/>
      <c r="F1418" s="26"/>
    </row>
    <row r="1419" spans="1:6" ht="16.5" hidden="1" customHeight="1" x14ac:dyDescent="0.3">
      <c r="A1419" s="25" t="s">
        <v>488</v>
      </c>
      <c r="B1419" s="27"/>
      <c r="C1419" s="27" t="s">
        <v>489</v>
      </c>
      <c r="D1419" s="3" t="s">
        <v>490</v>
      </c>
      <c r="E1419" s="27" t="s">
        <v>492</v>
      </c>
      <c r="F1419" s="27" t="s">
        <v>493</v>
      </c>
    </row>
    <row r="1420" spans="1:6" ht="16.5" hidden="1" customHeight="1" x14ac:dyDescent="0.3">
      <c r="A1420" s="25"/>
      <c r="B1420" s="27"/>
      <c r="C1420" s="27"/>
      <c r="D1420" s="3" t="s">
        <v>491</v>
      </c>
      <c r="E1420" s="27"/>
      <c r="F1420" s="27"/>
    </row>
    <row r="1421" spans="1:6" ht="16.5" hidden="1" customHeight="1" x14ac:dyDescent="0.3">
      <c r="A1421" s="25" t="s">
        <v>576</v>
      </c>
      <c r="B1421" s="27"/>
      <c r="C1421" s="27"/>
      <c r="D1421" s="27"/>
      <c r="E1421" s="27"/>
      <c r="F1421" s="27"/>
    </row>
    <row r="1422" spans="1:6" ht="17.25" hidden="1" customHeight="1" thickBot="1" x14ac:dyDescent="0.35">
      <c r="A1422" s="13" t="s">
        <v>495</v>
      </c>
      <c r="B1422" s="12"/>
      <c r="C1422" s="16">
        <v>-7.0099</v>
      </c>
      <c r="D1422" s="2">
        <v>0.60089999999999999</v>
      </c>
      <c r="E1422" s="16">
        <v>-11.67</v>
      </c>
      <c r="F1422" s="2" t="s">
        <v>482</v>
      </c>
    </row>
    <row r="1423" spans="1:6" ht="17.25" hidden="1" customHeight="1" thickBot="1" x14ac:dyDescent="0.35">
      <c r="A1423" s="13" t="s">
        <v>28</v>
      </c>
      <c r="B1423" s="12">
        <v>2</v>
      </c>
      <c r="C1423" s="16">
        <v>-0.58160000000000001</v>
      </c>
      <c r="D1423" s="2">
        <v>0.9345</v>
      </c>
      <c r="E1423" s="16">
        <v>-0.62</v>
      </c>
      <c r="F1423" s="2">
        <v>0.53369999999999995</v>
      </c>
    </row>
    <row r="1424" spans="1:6" ht="17.25" hidden="1" customHeight="1" thickBot="1" x14ac:dyDescent="0.35">
      <c r="A1424" s="13" t="s">
        <v>28</v>
      </c>
      <c r="B1424" s="12">
        <v>3</v>
      </c>
      <c r="C1424" s="2">
        <v>0.9889</v>
      </c>
      <c r="D1424" s="2">
        <v>0.72829999999999995</v>
      </c>
      <c r="E1424" s="2">
        <v>1.36</v>
      </c>
      <c r="F1424" s="2">
        <v>0.17469999999999999</v>
      </c>
    </row>
    <row r="1425" spans="1:9" ht="16.5" hidden="1" customHeight="1" x14ac:dyDescent="0.3">
      <c r="A1425" s="14" t="s">
        <v>28</v>
      </c>
      <c r="B1425" s="15">
        <v>4</v>
      </c>
      <c r="C1425" s="2">
        <v>0.56130000000000002</v>
      </c>
      <c r="D1425" s="2">
        <v>0.74970000000000003</v>
      </c>
      <c r="E1425" s="2">
        <v>0.75</v>
      </c>
      <c r="F1425" s="2">
        <v>0.4541</v>
      </c>
    </row>
    <row r="1426" spans="1:9" ht="16.5" hidden="1" customHeight="1" thickBot="1" x14ac:dyDescent="0.35"/>
    <row r="1427" spans="1:9" ht="16.5" hidden="1" customHeight="1" x14ac:dyDescent="0.3">
      <c r="A1427" s="24" t="s">
        <v>496</v>
      </c>
      <c r="B1427" s="26"/>
      <c r="C1427" s="26"/>
      <c r="D1427" s="26"/>
    </row>
    <row r="1428" spans="1:9" ht="33" hidden="1" customHeight="1" x14ac:dyDescent="0.3">
      <c r="A1428" s="6" t="s">
        <v>486</v>
      </c>
      <c r="B1428" s="3" t="s">
        <v>497</v>
      </c>
      <c r="C1428" s="27" t="s">
        <v>91</v>
      </c>
      <c r="D1428" s="27"/>
    </row>
    <row r="1429" spans="1:9" ht="49.5" hidden="1" customHeight="1" x14ac:dyDescent="0.3">
      <c r="A1429" s="25" t="s">
        <v>577</v>
      </c>
      <c r="B1429" s="27"/>
      <c r="C1429" s="27"/>
      <c r="D1429" s="27"/>
    </row>
    <row r="1430" spans="1:9" ht="26.25" thickBot="1" x14ac:dyDescent="0.35">
      <c r="A1430" s="13" t="s">
        <v>525</v>
      </c>
      <c r="B1430" s="2">
        <v>0.55900000000000005</v>
      </c>
      <c r="C1430" s="2">
        <v>8.8999999999999996E-2</v>
      </c>
      <c r="D1430" s="2">
        <v>3.4929999999999999</v>
      </c>
      <c r="H1430" s="8" t="str">
        <f t="shared" ref="H1430:H1432" si="32">TEXT(B1430,"0.00")&amp;" ("&amp;TEXT(C1430,"0.00")&amp;" to "&amp;TEXT(D1430,"0.00")&amp;")"</f>
        <v>0.56 (0.09 to 3.49)</v>
      </c>
      <c r="I1430">
        <f>F1423</f>
        <v>0.53369999999999995</v>
      </c>
    </row>
    <row r="1431" spans="1:9" ht="26.25" thickBot="1" x14ac:dyDescent="0.35">
      <c r="A1431" s="13" t="s">
        <v>526</v>
      </c>
      <c r="B1431" s="2">
        <v>2.6880000000000002</v>
      </c>
      <c r="C1431" s="2">
        <v>0.64400000000000002</v>
      </c>
      <c r="D1431" s="2">
        <v>11.212999999999999</v>
      </c>
      <c r="H1431" s="8" t="str">
        <f t="shared" si="32"/>
        <v>2.69 (0.64 to 11.21)</v>
      </c>
      <c r="I1431">
        <f t="shared" ref="I1431:I1432" si="33">F1424</f>
        <v>0.17469999999999999</v>
      </c>
    </row>
    <row r="1432" spans="1:9" ht="25.5" x14ac:dyDescent="0.3">
      <c r="A1432" s="14" t="s">
        <v>527</v>
      </c>
      <c r="B1432" s="2">
        <v>1.7529999999999999</v>
      </c>
      <c r="C1432" s="2">
        <v>0.40300000000000002</v>
      </c>
      <c r="D1432" s="2">
        <v>7.625</v>
      </c>
      <c r="H1432" s="8" t="str">
        <f t="shared" si="32"/>
        <v>1.75 (0.40 to 7.63)</v>
      </c>
      <c r="I1432">
        <f t="shared" si="33"/>
        <v>0.4541</v>
      </c>
    </row>
    <row r="1433" spans="1:9" ht="16.5" hidden="1" customHeight="1" thickBot="1" x14ac:dyDescent="0.35"/>
    <row r="1434" spans="1:9" ht="33" hidden="1" customHeight="1" x14ac:dyDescent="0.3">
      <c r="A1434" s="24" t="s">
        <v>502</v>
      </c>
      <c r="B1434" s="26"/>
      <c r="C1434" s="26"/>
      <c r="D1434" s="26"/>
    </row>
    <row r="1435" spans="1:9" ht="39" hidden="1" customHeight="1" thickBot="1" x14ac:dyDescent="0.35">
      <c r="A1435" s="13" t="s">
        <v>503</v>
      </c>
      <c r="B1435" s="2">
        <v>31.2</v>
      </c>
      <c r="C1435" s="12" t="s">
        <v>504</v>
      </c>
      <c r="D1435" s="2">
        <v>0.20100000000000001</v>
      </c>
    </row>
    <row r="1436" spans="1:9" ht="26.25" hidden="1" customHeight="1" thickBot="1" x14ac:dyDescent="0.35">
      <c r="A1436" s="13" t="s">
        <v>505</v>
      </c>
      <c r="B1436" s="2">
        <v>11.1</v>
      </c>
      <c r="C1436" s="12" t="s">
        <v>506</v>
      </c>
      <c r="D1436" s="2">
        <v>0.47399999999999998</v>
      </c>
    </row>
    <row r="1437" spans="1:9" ht="26.25" hidden="1" customHeight="1" thickBot="1" x14ac:dyDescent="0.35">
      <c r="A1437" s="13" t="s">
        <v>507</v>
      </c>
      <c r="B1437" s="2">
        <v>57.6</v>
      </c>
      <c r="C1437" s="12" t="s">
        <v>508</v>
      </c>
      <c r="D1437" s="2">
        <v>1E-3</v>
      </c>
    </row>
    <row r="1438" spans="1:9" ht="16.5" hidden="1" customHeight="1" x14ac:dyDescent="0.3">
      <c r="A1438" s="14" t="s">
        <v>509</v>
      </c>
      <c r="B1438" s="2">
        <v>247800</v>
      </c>
      <c r="C1438" s="15" t="s">
        <v>510</v>
      </c>
      <c r="D1438" s="2">
        <v>0.6</v>
      </c>
    </row>
    <row r="1439" spans="1:9" ht="16.5" hidden="1" customHeight="1" x14ac:dyDescent="0.3"/>
    <row r="1440" spans="1:9" ht="16.5" hidden="1" customHeight="1" x14ac:dyDescent="0.3"/>
    <row r="1441" spans="1:2" ht="16.5" hidden="1" customHeight="1" x14ac:dyDescent="0.3"/>
    <row r="1442" spans="1:2" ht="16.5" hidden="1" customHeight="1" x14ac:dyDescent="0.3">
      <c r="A1442" s="1" t="s">
        <v>436</v>
      </c>
    </row>
    <row r="1443" spans="1:2" ht="16.5" hidden="1" customHeight="1" x14ac:dyDescent="0.3"/>
    <row r="1444" spans="1:2" ht="16.5" hidden="1" customHeight="1" x14ac:dyDescent="0.3">
      <c r="A1444" s="1" t="s">
        <v>415</v>
      </c>
    </row>
    <row r="1445" spans="1:2" ht="16.5" hidden="1" customHeight="1" thickBot="1" x14ac:dyDescent="0.35"/>
    <row r="1446" spans="1:2" ht="16.5" hidden="1" customHeight="1" x14ac:dyDescent="0.3">
      <c r="A1446" s="24" t="s">
        <v>437</v>
      </c>
      <c r="B1446" s="26"/>
    </row>
    <row r="1447" spans="1:2" ht="26.25" hidden="1" customHeight="1" thickBot="1" x14ac:dyDescent="0.35">
      <c r="A1447" s="13" t="s">
        <v>438</v>
      </c>
      <c r="B1447" s="18" t="s">
        <v>439</v>
      </c>
    </row>
    <row r="1448" spans="1:2" ht="26.25" hidden="1" customHeight="1" thickBot="1" x14ac:dyDescent="0.35">
      <c r="A1448" s="13" t="s">
        <v>440</v>
      </c>
      <c r="B1448" s="18" t="s">
        <v>19</v>
      </c>
    </row>
    <row r="1449" spans="1:2" ht="39" hidden="1" customHeight="1" thickBot="1" x14ac:dyDescent="0.35">
      <c r="A1449" s="13" t="s">
        <v>441</v>
      </c>
      <c r="B1449" s="18">
        <v>2</v>
      </c>
    </row>
    <row r="1450" spans="1:2" ht="26.25" hidden="1" customHeight="1" thickBot="1" x14ac:dyDescent="0.35">
      <c r="A1450" s="13" t="s">
        <v>442</v>
      </c>
      <c r="B1450" s="18" t="s">
        <v>443</v>
      </c>
    </row>
    <row r="1451" spans="1:2" ht="26.25" hidden="1" customHeight="1" thickBot="1" x14ac:dyDescent="0.35">
      <c r="A1451" s="13" t="s">
        <v>76</v>
      </c>
      <c r="B1451" s="18">
        <v>183</v>
      </c>
    </row>
    <row r="1452" spans="1:2" ht="26.25" hidden="1" customHeight="1" thickBot="1" x14ac:dyDescent="0.35">
      <c r="A1452" s="13" t="s">
        <v>444</v>
      </c>
      <c r="B1452" s="18" t="s">
        <v>445</v>
      </c>
    </row>
    <row r="1453" spans="1:2" ht="26.25" hidden="1" customHeight="1" thickBot="1" x14ac:dyDescent="0.35">
      <c r="A1453" s="13" t="s">
        <v>77</v>
      </c>
      <c r="B1453" s="18">
        <v>2960</v>
      </c>
    </row>
    <row r="1454" spans="1:2" ht="26.25" hidden="1" customHeight="1" thickBot="1" x14ac:dyDescent="0.35">
      <c r="A1454" s="13" t="s">
        <v>446</v>
      </c>
      <c r="B1454" s="18" t="s">
        <v>447</v>
      </c>
    </row>
    <row r="1455" spans="1:2" ht="26.25" hidden="1" customHeight="1" thickBot="1" x14ac:dyDescent="0.35">
      <c r="A1455" s="13" t="s">
        <v>448</v>
      </c>
      <c r="B1455" s="18" t="s">
        <v>449</v>
      </c>
    </row>
    <row r="1456" spans="1:2" ht="39" hidden="1" customHeight="1" thickBot="1" x14ac:dyDescent="0.35">
      <c r="A1456" s="13" t="s">
        <v>450</v>
      </c>
      <c r="B1456" s="18" t="s">
        <v>451</v>
      </c>
    </row>
    <row r="1457" spans="1:4" ht="38.25" hidden="1" customHeight="1" x14ac:dyDescent="0.3">
      <c r="A1457" s="14" t="s">
        <v>452</v>
      </c>
      <c r="B1457" s="19" t="s">
        <v>453</v>
      </c>
    </row>
    <row r="1458" spans="1:4" ht="16.5" hidden="1" customHeight="1" thickBot="1" x14ac:dyDescent="0.35"/>
    <row r="1459" spans="1:4" ht="33" hidden="1" customHeight="1" x14ac:dyDescent="0.3">
      <c r="A1459" s="24" t="s">
        <v>80</v>
      </c>
      <c r="B1459" s="26"/>
    </row>
    <row r="1460" spans="1:4" ht="33.75" hidden="1" customHeight="1" thickBot="1" x14ac:dyDescent="0.35">
      <c r="A1460" s="13" t="s">
        <v>81</v>
      </c>
      <c r="B1460" s="2" t="s">
        <v>82</v>
      </c>
    </row>
    <row r="1461" spans="1:4" ht="66" hidden="1" customHeight="1" x14ac:dyDescent="0.3">
      <c r="A1461" s="14" t="s">
        <v>452</v>
      </c>
      <c r="B1461" s="2" t="s">
        <v>453</v>
      </c>
    </row>
    <row r="1462" spans="1:4" ht="16.5" hidden="1" customHeight="1" thickBot="1" x14ac:dyDescent="0.35"/>
    <row r="1463" spans="1:4" ht="39" hidden="1" customHeight="1" thickBot="1" x14ac:dyDescent="0.35">
      <c r="A1463" s="20" t="s">
        <v>454</v>
      </c>
      <c r="B1463" s="21">
        <v>22876</v>
      </c>
    </row>
    <row r="1464" spans="1:4" ht="39" hidden="1" customHeight="1" thickBot="1" x14ac:dyDescent="0.35">
      <c r="A1464" s="13" t="s">
        <v>455</v>
      </c>
      <c r="B1464" s="2">
        <v>22876</v>
      </c>
    </row>
    <row r="1465" spans="1:4" ht="39" hidden="1" customHeight="1" thickBot="1" x14ac:dyDescent="0.35">
      <c r="A1465" s="13" t="s">
        <v>456</v>
      </c>
      <c r="B1465" s="2">
        <v>10423023</v>
      </c>
    </row>
    <row r="1466" spans="1:4" ht="38.25" hidden="1" customHeight="1" x14ac:dyDescent="0.3">
      <c r="A1466" s="14" t="s">
        <v>457</v>
      </c>
      <c r="B1466" s="2">
        <v>10423023</v>
      </c>
    </row>
    <row r="1467" spans="1:4" ht="16.5" hidden="1" customHeight="1" thickBot="1" x14ac:dyDescent="0.35"/>
    <row r="1468" spans="1:4" ht="16.5" hidden="1" customHeight="1" x14ac:dyDescent="0.3">
      <c r="A1468" s="24" t="s">
        <v>458</v>
      </c>
      <c r="B1468" s="26"/>
      <c r="C1468" s="26"/>
      <c r="D1468" s="26"/>
    </row>
    <row r="1469" spans="1:4" ht="16.5" hidden="1" customHeight="1" x14ac:dyDescent="0.3">
      <c r="A1469" s="6" t="s">
        <v>459</v>
      </c>
      <c r="B1469" s="27" t="s">
        <v>19</v>
      </c>
      <c r="C1469" s="3" t="s">
        <v>93</v>
      </c>
      <c r="D1469" s="3" t="s">
        <v>93</v>
      </c>
    </row>
    <row r="1470" spans="1:4" ht="33" hidden="1" customHeight="1" x14ac:dyDescent="0.3">
      <c r="A1470" s="6" t="s">
        <v>460</v>
      </c>
      <c r="B1470" s="27"/>
      <c r="C1470" s="3" t="s">
        <v>86</v>
      </c>
      <c r="D1470" s="3" t="s">
        <v>461</v>
      </c>
    </row>
    <row r="1471" spans="1:4" ht="17.25" hidden="1" customHeight="1" thickBot="1" x14ac:dyDescent="0.35">
      <c r="A1471" s="6">
        <v>1</v>
      </c>
      <c r="B1471" s="17">
        <v>0</v>
      </c>
      <c r="C1471" s="2">
        <v>22705</v>
      </c>
      <c r="D1471" s="2">
        <v>10368281</v>
      </c>
    </row>
    <row r="1472" spans="1:4" ht="16.5" hidden="1" customHeight="1" x14ac:dyDescent="0.3">
      <c r="A1472" s="6">
        <v>2</v>
      </c>
      <c r="B1472" s="22">
        <v>1</v>
      </c>
      <c r="C1472" s="2">
        <v>171</v>
      </c>
      <c r="D1472" s="2">
        <v>54742</v>
      </c>
    </row>
    <row r="1473" spans="1:5" ht="16.5" hidden="1" customHeight="1" x14ac:dyDescent="0.3"/>
    <row r="1474" spans="1:5" ht="16.5" hidden="1" customHeight="1" x14ac:dyDescent="0.3">
      <c r="A1474" s="1" t="s">
        <v>513</v>
      </c>
    </row>
    <row r="1475" spans="1:5" ht="16.5" hidden="1" customHeight="1" thickBot="1" x14ac:dyDescent="0.35"/>
    <row r="1476" spans="1:5" ht="16.5" hidden="1" customHeight="1" x14ac:dyDescent="0.3">
      <c r="A1476" s="24" t="s">
        <v>462</v>
      </c>
      <c r="B1476" s="26"/>
      <c r="C1476" s="26"/>
      <c r="D1476" s="26"/>
      <c r="E1476" s="26"/>
    </row>
    <row r="1477" spans="1:5" ht="16.5" hidden="1" customHeight="1" x14ac:dyDescent="0.3">
      <c r="A1477" s="6" t="s">
        <v>463</v>
      </c>
      <c r="B1477" s="3" t="s">
        <v>460</v>
      </c>
      <c r="C1477" s="27" t="s">
        <v>464</v>
      </c>
      <c r="D1477" s="27"/>
      <c r="E1477" s="27"/>
    </row>
    <row r="1478" spans="1:5" ht="17.25" hidden="1" customHeight="1" thickBot="1" x14ac:dyDescent="0.35">
      <c r="A1478" s="13" t="s">
        <v>28</v>
      </c>
      <c r="B1478" s="12">
        <v>1</v>
      </c>
      <c r="C1478" s="2">
        <v>0</v>
      </c>
      <c r="D1478" s="2">
        <v>0</v>
      </c>
      <c r="E1478" s="2">
        <v>0</v>
      </c>
    </row>
    <row r="1479" spans="1:5" ht="17.25" hidden="1" customHeight="1" thickBot="1" x14ac:dyDescent="0.35">
      <c r="A1479" s="13"/>
      <c r="B1479" s="12">
        <v>2</v>
      </c>
      <c r="C1479" s="2">
        <v>1</v>
      </c>
      <c r="D1479" s="2">
        <v>0</v>
      </c>
      <c r="E1479" s="2">
        <v>0</v>
      </c>
    </row>
    <row r="1480" spans="1:5" ht="17.25" hidden="1" customHeight="1" thickBot="1" x14ac:dyDescent="0.35">
      <c r="A1480" s="13"/>
      <c r="B1480" s="12">
        <v>3</v>
      </c>
      <c r="C1480" s="2">
        <v>0</v>
      </c>
      <c r="D1480" s="2">
        <v>1</v>
      </c>
      <c r="E1480" s="2">
        <v>0</v>
      </c>
    </row>
    <row r="1481" spans="1:5" ht="16.5" hidden="1" customHeight="1" x14ac:dyDescent="0.3">
      <c r="A1481" s="14"/>
      <c r="B1481" s="15">
        <v>4</v>
      </c>
      <c r="C1481" s="2">
        <v>0</v>
      </c>
      <c r="D1481" s="2">
        <v>0</v>
      </c>
      <c r="E1481" s="2">
        <v>1</v>
      </c>
    </row>
    <row r="1482" spans="1:5" ht="16.5" hidden="1" customHeight="1" thickBot="1" x14ac:dyDescent="0.35"/>
    <row r="1483" spans="1:5" ht="66" hidden="1" customHeight="1" x14ac:dyDescent="0.3">
      <c r="A1483" s="4" t="s">
        <v>465</v>
      </c>
    </row>
    <row r="1484" spans="1:5" ht="99" hidden="1" customHeight="1" x14ac:dyDescent="0.3">
      <c r="A1484" s="23" t="s">
        <v>466</v>
      </c>
    </row>
    <row r="1485" spans="1:5" ht="16.5" hidden="1" customHeight="1" thickBot="1" x14ac:dyDescent="0.35"/>
    <row r="1486" spans="1:5" ht="16.5" hidden="1" customHeight="1" x14ac:dyDescent="0.3">
      <c r="A1486" s="24" t="s">
        <v>467</v>
      </c>
      <c r="B1486" s="26"/>
      <c r="C1486" s="26"/>
    </row>
    <row r="1487" spans="1:5" ht="66" hidden="1" customHeight="1" x14ac:dyDescent="0.3">
      <c r="A1487" s="6" t="s">
        <v>468</v>
      </c>
      <c r="B1487" s="3" t="s">
        <v>469</v>
      </c>
      <c r="C1487" s="3" t="s">
        <v>470</v>
      </c>
    </row>
    <row r="1488" spans="1:5" ht="17.25" hidden="1" customHeight="1" thickBot="1" x14ac:dyDescent="0.35">
      <c r="A1488" s="13" t="s">
        <v>471</v>
      </c>
      <c r="B1488" s="2">
        <v>683893.93</v>
      </c>
      <c r="C1488" s="2">
        <v>675412.85</v>
      </c>
    </row>
    <row r="1489" spans="1:6" ht="17.25" hidden="1" customHeight="1" thickBot="1" x14ac:dyDescent="0.35">
      <c r="A1489" s="13" t="s">
        <v>472</v>
      </c>
      <c r="B1489" s="2">
        <v>683908.09</v>
      </c>
      <c r="C1489" s="2">
        <v>675469.49</v>
      </c>
    </row>
    <row r="1490" spans="1:6" ht="16.5" hidden="1" customHeight="1" x14ac:dyDescent="0.3">
      <c r="A1490" s="14" t="s">
        <v>473</v>
      </c>
      <c r="B1490" s="2" t="s">
        <v>639</v>
      </c>
      <c r="C1490" s="2">
        <v>675404.85</v>
      </c>
    </row>
    <row r="1491" spans="1:6" ht="16.5" hidden="1" customHeight="1" thickBot="1" x14ac:dyDescent="0.35"/>
    <row r="1492" spans="1:6" ht="16.5" hidden="1" customHeight="1" x14ac:dyDescent="0.3">
      <c r="A1492" s="24" t="s">
        <v>474</v>
      </c>
      <c r="B1492" s="26"/>
      <c r="C1492" s="26"/>
      <c r="D1492" s="26"/>
      <c r="E1492" s="26"/>
    </row>
    <row r="1493" spans="1:6" ht="16.5" hidden="1" customHeight="1" x14ac:dyDescent="0.3">
      <c r="A1493" s="6" t="s">
        <v>475</v>
      </c>
      <c r="B1493" s="3" t="s">
        <v>476</v>
      </c>
      <c r="C1493" s="3" t="s">
        <v>477</v>
      </c>
      <c r="D1493" s="3" t="s">
        <v>478</v>
      </c>
      <c r="E1493" s="3" t="s">
        <v>479</v>
      </c>
    </row>
    <row r="1494" spans="1:6" ht="33" hidden="1" customHeight="1" x14ac:dyDescent="0.3">
      <c r="A1494" s="25" t="s">
        <v>572</v>
      </c>
      <c r="B1494" s="27"/>
      <c r="C1494" s="27"/>
      <c r="D1494" s="27"/>
      <c r="E1494" s="27"/>
    </row>
    <row r="1495" spans="1:6" ht="26.25" hidden="1" customHeight="1" thickBot="1" x14ac:dyDescent="0.35">
      <c r="A1495" s="13" t="s">
        <v>481</v>
      </c>
      <c r="B1495" s="2">
        <v>6.23</v>
      </c>
      <c r="C1495" s="2">
        <v>2.9967999999999999</v>
      </c>
      <c r="D1495" s="2">
        <v>8322.1</v>
      </c>
      <c r="E1495" s="2">
        <v>2.9999999999999997E-4</v>
      </c>
    </row>
    <row r="1496" spans="1:6" ht="17.25" hidden="1" customHeight="1" thickBot="1" x14ac:dyDescent="0.35">
      <c r="A1496" s="13" t="s">
        <v>483</v>
      </c>
      <c r="B1496" s="2">
        <v>7.16</v>
      </c>
      <c r="C1496" s="2">
        <v>3</v>
      </c>
      <c r="D1496" s="2">
        <v>2775</v>
      </c>
      <c r="E1496" s="2" t="s">
        <v>482</v>
      </c>
    </row>
    <row r="1497" spans="1:6" ht="16.5" hidden="1" customHeight="1" x14ac:dyDescent="0.3">
      <c r="A1497" s="14" t="s">
        <v>484</v>
      </c>
      <c r="B1497" s="2">
        <v>3.96</v>
      </c>
      <c r="C1497" s="2">
        <v>3</v>
      </c>
      <c r="D1497" s="2">
        <v>2775</v>
      </c>
      <c r="E1497" s="2">
        <v>7.9000000000000008E-3</v>
      </c>
    </row>
    <row r="1498" spans="1:6" ht="16.5" hidden="1" customHeight="1" thickBot="1" x14ac:dyDescent="0.35"/>
    <row r="1499" spans="1:6" ht="16.5" hidden="1" customHeight="1" x14ac:dyDescent="0.3">
      <c r="A1499" s="24" t="s">
        <v>485</v>
      </c>
      <c r="B1499" s="26"/>
      <c r="C1499" s="26"/>
      <c r="D1499" s="26"/>
      <c r="E1499" s="26"/>
    </row>
    <row r="1500" spans="1:6" ht="16.5" hidden="1" customHeight="1" x14ac:dyDescent="0.3">
      <c r="A1500" s="6" t="s">
        <v>486</v>
      </c>
      <c r="B1500" s="3" t="s">
        <v>476</v>
      </c>
      <c r="C1500" s="3" t="s">
        <v>477</v>
      </c>
      <c r="D1500" s="3" t="s">
        <v>478</v>
      </c>
      <c r="E1500" s="3" t="s">
        <v>479</v>
      </c>
    </row>
    <row r="1501" spans="1:6" ht="16.5" hidden="1" customHeight="1" x14ac:dyDescent="0.3">
      <c r="A1501" s="14" t="s">
        <v>28</v>
      </c>
      <c r="B1501" s="2">
        <v>3.96</v>
      </c>
      <c r="C1501" s="2">
        <v>3</v>
      </c>
      <c r="D1501" s="2">
        <v>2775</v>
      </c>
      <c r="E1501" s="2">
        <v>7.9000000000000008E-3</v>
      </c>
    </row>
    <row r="1502" spans="1:6" ht="16.5" hidden="1" customHeight="1" thickBot="1" x14ac:dyDescent="0.35"/>
    <row r="1503" spans="1:6" ht="16.5" hidden="1" customHeight="1" x14ac:dyDescent="0.3">
      <c r="A1503" s="24" t="s">
        <v>487</v>
      </c>
      <c r="B1503" s="26"/>
      <c r="C1503" s="26"/>
      <c r="D1503" s="26"/>
      <c r="E1503" s="26"/>
      <c r="F1503" s="26"/>
    </row>
    <row r="1504" spans="1:6" ht="16.5" hidden="1" customHeight="1" x14ac:dyDescent="0.3">
      <c r="A1504" s="25" t="s">
        <v>488</v>
      </c>
      <c r="B1504" s="27"/>
      <c r="C1504" s="27" t="s">
        <v>489</v>
      </c>
      <c r="D1504" s="3" t="s">
        <v>490</v>
      </c>
      <c r="E1504" s="27" t="s">
        <v>492</v>
      </c>
      <c r="F1504" s="27" t="s">
        <v>493</v>
      </c>
    </row>
    <row r="1505" spans="1:9" ht="16.5" hidden="1" customHeight="1" x14ac:dyDescent="0.3">
      <c r="A1505" s="25"/>
      <c r="B1505" s="27"/>
      <c r="C1505" s="27"/>
      <c r="D1505" s="3" t="s">
        <v>491</v>
      </c>
      <c r="E1505" s="27"/>
      <c r="F1505" s="27"/>
    </row>
    <row r="1506" spans="1:9" ht="16.5" hidden="1" customHeight="1" x14ac:dyDescent="0.3">
      <c r="A1506" s="25" t="s">
        <v>578</v>
      </c>
      <c r="B1506" s="27"/>
      <c r="C1506" s="27"/>
      <c r="D1506" s="27"/>
      <c r="E1506" s="27"/>
      <c r="F1506" s="27"/>
    </row>
    <row r="1507" spans="1:9" ht="17.25" hidden="1" customHeight="1" thickBot="1" x14ac:dyDescent="0.35">
      <c r="A1507" s="13" t="s">
        <v>495</v>
      </c>
      <c r="B1507" s="12"/>
      <c r="C1507" s="16">
        <v>-6.1003999999999996</v>
      </c>
      <c r="D1507" s="2">
        <v>0.33539999999999998</v>
      </c>
      <c r="E1507" s="16">
        <v>-18.190000000000001</v>
      </c>
      <c r="F1507" s="2" t="s">
        <v>482</v>
      </c>
    </row>
    <row r="1508" spans="1:9" ht="17.25" hidden="1" customHeight="1" thickBot="1" x14ac:dyDescent="0.35">
      <c r="A1508" s="13" t="s">
        <v>28</v>
      </c>
      <c r="B1508" s="12">
        <v>2</v>
      </c>
      <c r="C1508" s="2">
        <v>0.80159999999999998</v>
      </c>
      <c r="D1508" s="2">
        <v>0.37990000000000002</v>
      </c>
      <c r="E1508" s="2">
        <v>2.11</v>
      </c>
      <c r="F1508" s="2">
        <v>3.5000000000000003E-2</v>
      </c>
    </row>
    <row r="1509" spans="1:9" ht="17.25" hidden="1" customHeight="1" thickBot="1" x14ac:dyDescent="0.35">
      <c r="A1509" s="13" t="s">
        <v>28</v>
      </c>
      <c r="B1509" s="12">
        <v>3</v>
      </c>
      <c r="C1509" s="2">
        <v>1.1521999999999999</v>
      </c>
      <c r="D1509" s="2">
        <v>0.36980000000000002</v>
      </c>
      <c r="E1509" s="2">
        <v>3.12</v>
      </c>
      <c r="F1509" s="2">
        <v>1.9E-3</v>
      </c>
    </row>
    <row r="1510" spans="1:9" ht="16.5" hidden="1" customHeight="1" x14ac:dyDescent="0.3">
      <c r="A1510" s="14" t="s">
        <v>28</v>
      </c>
      <c r="B1510" s="15">
        <v>4</v>
      </c>
      <c r="C1510" s="2">
        <v>1.1412</v>
      </c>
      <c r="D1510" s="2">
        <v>0.36880000000000002</v>
      </c>
      <c r="E1510" s="2">
        <v>3.09</v>
      </c>
      <c r="F1510" s="2">
        <v>2E-3</v>
      </c>
    </row>
    <row r="1511" spans="1:9" ht="16.5" hidden="1" customHeight="1" thickBot="1" x14ac:dyDescent="0.35"/>
    <row r="1512" spans="1:9" ht="16.5" hidden="1" customHeight="1" x14ac:dyDescent="0.3">
      <c r="A1512" s="24" t="s">
        <v>496</v>
      </c>
      <c r="B1512" s="26"/>
      <c r="C1512" s="26"/>
      <c r="D1512" s="26"/>
    </row>
    <row r="1513" spans="1:9" ht="33" hidden="1" customHeight="1" x14ac:dyDescent="0.3">
      <c r="A1513" s="6" t="s">
        <v>486</v>
      </c>
      <c r="B1513" s="3" t="s">
        <v>497</v>
      </c>
      <c r="C1513" s="27" t="s">
        <v>91</v>
      </c>
      <c r="D1513" s="27"/>
    </row>
    <row r="1514" spans="1:9" ht="49.5" hidden="1" customHeight="1" x14ac:dyDescent="0.3">
      <c r="A1514" s="25" t="s">
        <v>579</v>
      </c>
      <c r="B1514" s="27"/>
      <c r="C1514" s="27"/>
      <c r="D1514" s="27"/>
    </row>
    <row r="1515" spans="1:9" ht="26.25" thickBot="1" x14ac:dyDescent="0.35">
      <c r="A1515" s="13" t="s">
        <v>525</v>
      </c>
      <c r="B1515" s="2">
        <v>2.2290000000000001</v>
      </c>
      <c r="C1515" s="2">
        <v>1.0580000000000001</v>
      </c>
      <c r="D1515" s="2">
        <v>4.6950000000000003</v>
      </c>
      <c r="H1515" s="8" t="str">
        <f t="shared" ref="H1515:H1517" si="34">TEXT(B1515,"0.00")&amp;" ("&amp;TEXT(C1515,"0.00")&amp;" to "&amp;TEXT(D1515,"0.00")&amp;")"</f>
        <v>2.23 (1.06 to 4.70)</v>
      </c>
      <c r="I1515">
        <f>F1508</f>
        <v>3.5000000000000003E-2</v>
      </c>
    </row>
    <row r="1516" spans="1:9" ht="26.25" thickBot="1" x14ac:dyDescent="0.35">
      <c r="A1516" s="13" t="s">
        <v>526</v>
      </c>
      <c r="B1516" s="2">
        <v>3.165</v>
      </c>
      <c r="C1516" s="2">
        <v>1.5329999999999999</v>
      </c>
      <c r="D1516" s="2">
        <v>6.5359999999999996</v>
      </c>
      <c r="H1516" s="8" t="str">
        <f t="shared" si="34"/>
        <v>3.17 (1.53 to 6.54)</v>
      </c>
      <c r="I1516">
        <f t="shared" ref="I1516:I1517" si="35">F1509</f>
        <v>1.9E-3</v>
      </c>
    </row>
    <row r="1517" spans="1:9" ht="25.5" x14ac:dyDescent="0.3">
      <c r="A1517" s="14" t="s">
        <v>527</v>
      </c>
      <c r="B1517" s="2">
        <v>3.1309999999999998</v>
      </c>
      <c r="C1517" s="2">
        <v>1.5189999999999999</v>
      </c>
      <c r="D1517" s="2">
        <v>6.452</v>
      </c>
      <c r="H1517" s="8" t="str">
        <f t="shared" si="34"/>
        <v>3.13 (1.52 to 6.45)</v>
      </c>
      <c r="I1517">
        <f t="shared" si="35"/>
        <v>2E-3</v>
      </c>
    </row>
    <row r="1518" spans="1:9" ht="16.5" hidden="1" customHeight="1" thickBot="1" x14ac:dyDescent="0.35"/>
    <row r="1519" spans="1:9" ht="33" hidden="1" customHeight="1" x14ac:dyDescent="0.3">
      <c r="A1519" s="24" t="s">
        <v>502</v>
      </c>
      <c r="B1519" s="26"/>
      <c r="C1519" s="26"/>
      <c r="D1519" s="26"/>
    </row>
    <row r="1520" spans="1:9" ht="39" hidden="1" customHeight="1" thickBot="1" x14ac:dyDescent="0.35">
      <c r="A1520" s="13" t="s">
        <v>503</v>
      </c>
      <c r="B1520" s="2">
        <v>40.6</v>
      </c>
      <c r="C1520" s="12" t="s">
        <v>504</v>
      </c>
      <c r="D1520" s="2">
        <v>0.221</v>
      </c>
    </row>
    <row r="1521" spans="1:4" ht="26.25" hidden="1" customHeight="1" thickBot="1" x14ac:dyDescent="0.35">
      <c r="A1521" s="13" t="s">
        <v>505</v>
      </c>
      <c r="B1521" s="2">
        <v>18.600000000000001</v>
      </c>
      <c r="C1521" s="12" t="s">
        <v>506</v>
      </c>
      <c r="D1521" s="2">
        <v>0.373</v>
      </c>
    </row>
    <row r="1522" spans="1:4" ht="26.25" hidden="1" customHeight="1" thickBot="1" x14ac:dyDescent="0.35">
      <c r="A1522" s="13" t="s">
        <v>507</v>
      </c>
      <c r="B1522" s="2">
        <v>40.799999999999997</v>
      </c>
      <c r="C1522" s="12" t="s">
        <v>508</v>
      </c>
      <c r="D1522" s="2">
        <v>3.0000000000000001E-3</v>
      </c>
    </row>
    <row r="1523" spans="1:4" ht="16.5" hidden="1" customHeight="1" x14ac:dyDescent="0.3">
      <c r="A1523" s="14" t="s">
        <v>509</v>
      </c>
      <c r="B1523" s="2">
        <v>3882555</v>
      </c>
      <c r="C1523" s="15" t="s">
        <v>510</v>
      </c>
      <c r="D1523" s="2">
        <v>0.61</v>
      </c>
    </row>
    <row r="1524" spans="1:4" ht="16.5" hidden="1" customHeight="1" x14ac:dyDescent="0.3"/>
    <row r="1525" spans="1:4" ht="16.5" hidden="1" customHeight="1" x14ac:dyDescent="0.3"/>
    <row r="1526" spans="1:4" ht="16.5" hidden="1" customHeight="1" x14ac:dyDescent="0.3"/>
    <row r="1527" spans="1:4" ht="16.5" hidden="1" customHeight="1" x14ac:dyDescent="0.3">
      <c r="A1527" s="1" t="s">
        <v>436</v>
      </c>
    </row>
    <row r="1528" spans="1:4" ht="16.5" hidden="1" customHeight="1" x14ac:dyDescent="0.3"/>
    <row r="1529" spans="1:4" ht="16.5" hidden="1" customHeight="1" x14ac:dyDescent="0.3">
      <c r="A1529" s="1" t="s">
        <v>416</v>
      </c>
    </row>
    <row r="1530" spans="1:4" ht="16.5" hidden="1" customHeight="1" thickBot="1" x14ac:dyDescent="0.35"/>
    <row r="1531" spans="1:4" ht="16.5" hidden="1" customHeight="1" x14ac:dyDescent="0.3">
      <c r="A1531" s="24" t="s">
        <v>437</v>
      </c>
      <c r="B1531" s="26"/>
    </row>
    <row r="1532" spans="1:4" ht="26.25" hidden="1" customHeight="1" thickBot="1" x14ac:dyDescent="0.35">
      <c r="A1532" s="13" t="s">
        <v>438</v>
      </c>
      <c r="B1532" s="18" t="s">
        <v>439</v>
      </c>
    </row>
    <row r="1533" spans="1:4" ht="26.25" hidden="1" customHeight="1" thickBot="1" x14ac:dyDescent="0.35">
      <c r="A1533" s="13" t="s">
        <v>440</v>
      </c>
      <c r="B1533" s="18" t="s">
        <v>19</v>
      </c>
    </row>
    <row r="1534" spans="1:4" ht="39" hidden="1" customHeight="1" thickBot="1" x14ac:dyDescent="0.35">
      <c r="A1534" s="13" t="s">
        <v>441</v>
      </c>
      <c r="B1534" s="18">
        <v>2</v>
      </c>
    </row>
    <row r="1535" spans="1:4" ht="26.25" hidden="1" customHeight="1" thickBot="1" x14ac:dyDescent="0.35">
      <c r="A1535" s="13" t="s">
        <v>442</v>
      </c>
      <c r="B1535" s="18" t="s">
        <v>443</v>
      </c>
    </row>
    <row r="1536" spans="1:4" ht="26.25" hidden="1" customHeight="1" thickBot="1" x14ac:dyDescent="0.35">
      <c r="A1536" s="13" t="s">
        <v>76</v>
      </c>
      <c r="B1536" s="18">
        <v>183</v>
      </c>
    </row>
    <row r="1537" spans="1:2" ht="26.25" hidden="1" customHeight="1" thickBot="1" x14ac:dyDescent="0.35">
      <c r="A1537" s="13" t="s">
        <v>444</v>
      </c>
      <c r="B1537" s="18" t="s">
        <v>445</v>
      </c>
    </row>
    <row r="1538" spans="1:2" ht="26.25" hidden="1" customHeight="1" thickBot="1" x14ac:dyDescent="0.35">
      <c r="A1538" s="13" t="s">
        <v>77</v>
      </c>
      <c r="B1538" s="18">
        <v>2965</v>
      </c>
    </row>
    <row r="1539" spans="1:2" ht="26.25" hidden="1" customHeight="1" thickBot="1" x14ac:dyDescent="0.35">
      <c r="A1539" s="13" t="s">
        <v>446</v>
      </c>
      <c r="B1539" s="18" t="s">
        <v>447</v>
      </c>
    </row>
    <row r="1540" spans="1:2" ht="26.25" hidden="1" customHeight="1" thickBot="1" x14ac:dyDescent="0.35">
      <c r="A1540" s="13" t="s">
        <v>448</v>
      </c>
      <c r="B1540" s="18" t="s">
        <v>449</v>
      </c>
    </row>
    <row r="1541" spans="1:2" ht="39" hidden="1" customHeight="1" thickBot="1" x14ac:dyDescent="0.35">
      <c r="A1541" s="13" t="s">
        <v>450</v>
      </c>
      <c r="B1541" s="18" t="s">
        <v>451</v>
      </c>
    </row>
    <row r="1542" spans="1:2" ht="38.25" hidden="1" customHeight="1" x14ac:dyDescent="0.3">
      <c r="A1542" s="14" t="s">
        <v>452</v>
      </c>
      <c r="B1542" s="19" t="s">
        <v>453</v>
      </c>
    </row>
    <row r="1543" spans="1:2" ht="16.5" hidden="1" customHeight="1" thickBot="1" x14ac:dyDescent="0.35"/>
    <row r="1544" spans="1:2" ht="33" hidden="1" customHeight="1" x14ac:dyDescent="0.3">
      <c r="A1544" s="24" t="s">
        <v>80</v>
      </c>
      <c r="B1544" s="26"/>
    </row>
    <row r="1545" spans="1:2" ht="33.75" hidden="1" customHeight="1" thickBot="1" x14ac:dyDescent="0.35">
      <c r="A1545" s="13" t="s">
        <v>81</v>
      </c>
      <c r="B1545" s="2" t="s">
        <v>82</v>
      </c>
    </row>
    <row r="1546" spans="1:2" ht="66" hidden="1" customHeight="1" x14ac:dyDescent="0.3">
      <c r="A1546" s="14" t="s">
        <v>452</v>
      </c>
      <c r="B1546" s="2" t="s">
        <v>453</v>
      </c>
    </row>
    <row r="1547" spans="1:2" ht="16.5" hidden="1" customHeight="1" thickBot="1" x14ac:dyDescent="0.35"/>
    <row r="1548" spans="1:2" ht="39" hidden="1" customHeight="1" thickBot="1" x14ac:dyDescent="0.35">
      <c r="A1548" s="20" t="s">
        <v>454</v>
      </c>
      <c r="B1548" s="21">
        <v>33210</v>
      </c>
    </row>
    <row r="1549" spans="1:2" ht="39" hidden="1" customHeight="1" thickBot="1" x14ac:dyDescent="0.35">
      <c r="A1549" s="13" t="s">
        <v>455</v>
      </c>
      <c r="B1549" s="2">
        <v>33210</v>
      </c>
    </row>
    <row r="1550" spans="1:2" ht="39" hidden="1" customHeight="1" thickBot="1" x14ac:dyDescent="0.35">
      <c r="A1550" s="13" t="s">
        <v>456</v>
      </c>
      <c r="B1550" s="2">
        <v>14887576</v>
      </c>
    </row>
    <row r="1551" spans="1:2" ht="38.25" hidden="1" customHeight="1" x14ac:dyDescent="0.3">
      <c r="A1551" s="14" t="s">
        <v>457</v>
      </c>
      <c r="B1551" s="2">
        <v>14887576</v>
      </c>
    </row>
    <row r="1552" spans="1:2" ht="16.5" hidden="1" customHeight="1" thickBot="1" x14ac:dyDescent="0.35"/>
    <row r="1553" spans="1:5" ht="16.5" hidden="1" customHeight="1" x14ac:dyDescent="0.3">
      <c r="A1553" s="24" t="s">
        <v>458</v>
      </c>
      <c r="B1553" s="26"/>
      <c r="C1553" s="26"/>
      <c r="D1553" s="26"/>
    </row>
    <row r="1554" spans="1:5" ht="16.5" hidden="1" customHeight="1" x14ac:dyDescent="0.3">
      <c r="A1554" s="6" t="s">
        <v>459</v>
      </c>
      <c r="B1554" s="27" t="s">
        <v>19</v>
      </c>
      <c r="C1554" s="3" t="s">
        <v>93</v>
      </c>
      <c r="D1554" s="3" t="s">
        <v>93</v>
      </c>
    </row>
    <row r="1555" spans="1:5" ht="33" hidden="1" customHeight="1" x14ac:dyDescent="0.3">
      <c r="A1555" s="6" t="s">
        <v>460</v>
      </c>
      <c r="B1555" s="27"/>
      <c r="C1555" s="3" t="s">
        <v>86</v>
      </c>
      <c r="D1555" s="3" t="s">
        <v>461</v>
      </c>
    </row>
    <row r="1556" spans="1:5" ht="17.25" hidden="1" customHeight="1" thickBot="1" x14ac:dyDescent="0.35">
      <c r="A1556" s="6">
        <v>1</v>
      </c>
      <c r="B1556" s="17">
        <v>0</v>
      </c>
      <c r="C1556" s="2">
        <v>32722</v>
      </c>
      <c r="D1556" s="2">
        <v>14730741</v>
      </c>
    </row>
    <row r="1557" spans="1:5" ht="16.5" hidden="1" customHeight="1" x14ac:dyDescent="0.3">
      <c r="A1557" s="6">
        <v>2</v>
      </c>
      <c r="B1557" s="22">
        <v>1</v>
      </c>
      <c r="C1557" s="2">
        <v>488</v>
      </c>
      <c r="D1557" s="2">
        <v>156835</v>
      </c>
    </row>
    <row r="1558" spans="1:5" ht="16.5" hidden="1" customHeight="1" x14ac:dyDescent="0.3"/>
    <row r="1559" spans="1:5" ht="16.5" hidden="1" customHeight="1" x14ac:dyDescent="0.3">
      <c r="A1559" s="1" t="s">
        <v>513</v>
      </c>
    </row>
    <row r="1560" spans="1:5" ht="16.5" hidden="1" customHeight="1" thickBot="1" x14ac:dyDescent="0.35"/>
    <row r="1561" spans="1:5" ht="16.5" hidden="1" customHeight="1" x14ac:dyDescent="0.3">
      <c r="A1561" s="24" t="s">
        <v>462</v>
      </c>
      <c r="B1561" s="26"/>
      <c r="C1561" s="26"/>
      <c r="D1561" s="26"/>
      <c r="E1561" s="26"/>
    </row>
    <row r="1562" spans="1:5" ht="16.5" hidden="1" customHeight="1" x14ac:dyDescent="0.3">
      <c r="A1562" s="6" t="s">
        <v>463</v>
      </c>
      <c r="B1562" s="3" t="s">
        <v>460</v>
      </c>
      <c r="C1562" s="27" t="s">
        <v>464</v>
      </c>
      <c r="D1562" s="27"/>
      <c r="E1562" s="27"/>
    </row>
    <row r="1563" spans="1:5" ht="17.25" hidden="1" customHeight="1" thickBot="1" x14ac:dyDescent="0.35">
      <c r="A1563" s="13" t="s">
        <v>28</v>
      </c>
      <c r="B1563" s="12">
        <v>1</v>
      </c>
      <c r="C1563" s="2">
        <v>0</v>
      </c>
      <c r="D1563" s="2">
        <v>0</v>
      </c>
      <c r="E1563" s="2">
        <v>0</v>
      </c>
    </row>
    <row r="1564" spans="1:5" ht="17.25" hidden="1" customHeight="1" thickBot="1" x14ac:dyDescent="0.35">
      <c r="A1564" s="13"/>
      <c r="B1564" s="12">
        <v>2</v>
      </c>
      <c r="C1564" s="2">
        <v>1</v>
      </c>
      <c r="D1564" s="2">
        <v>0</v>
      </c>
      <c r="E1564" s="2">
        <v>0</v>
      </c>
    </row>
    <row r="1565" spans="1:5" ht="17.25" hidden="1" customHeight="1" thickBot="1" x14ac:dyDescent="0.35">
      <c r="A1565" s="13"/>
      <c r="B1565" s="12">
        <v>3</v>
      </c>
      <c r="C1565" s="2">
        <v>0</v>
      </c>
      <c r="D1565" s="2">
        <v>1</v>
      </c>
      <c r="E1565" s="2">
        <v>0</v>
      </c>
    </row>
    <row r="1566" spans="1:5" ht="16.5" hidden="1" customHeight="1" x14ac:dyDescent="0.3">
      <c r="A1566" s="14"/>
      <c r="B1566" s="15">
        <v>4</v>
      </c>
      <c r="C1566" s="2">
        <v>0</v>
      </c>
      <c r="D1566" s="2">
        <v>0</v>
      </c>
      <c r="E1566" s="2">
        <v>1</v>
      </c>
    </row>
    <row r="1567" spans="1:5" ht="16.5" hidden="1" customHeight="1" thickBot="1" x14ac:dyDescent="0.35"/>
    <row r="1568" spans="1:5" ht="66" hidden="1" customHeight="1" x14ac:dyDescent="0.3">
      <c r="A1568" s="4" t="s">
        <v>465</v>
      </c>
    </row>
    <row r="1569" spans="1:5" ht="99" hidden="1" customHeight="1" x14ac:dyDescent="0.3">
      <c r="A1569" s="23" t="s">
        <v>466</v>
      </c>
    </row>
    <row r="1570" spans="1:5" ht="16.5" hidden="1" customHeight="1" thickBot="1" x14ac:dyDescent="0.35"/>
    <row r="1571" spans="1:5" ht="16.5" hidden="1" customHeight="1" x14ac:dyDescent="0.3">
      <c r="A1571" s="24" t="s">
        <v>467</v>
      </c>
      <c r="B1571" s="26"/>
      <c r="C1571" s="26"/>
    </row>
    <row r="1572" spans="1:5" ht="66" hidden="1" customHeight="1" x14ac:dyDescent="0.3">
      <c r="A1572" s="6" t="s">
        <v>468</v>
      </c>
      <c r="B1572" s="3" t="s">
        <v>469</v>
      </c>
      <c r="C1572" s="3" t="s">
        <v>470</v>
      </c>
    </row>
    <row r="1573" spans="1:5" ht="17.25" hidden="1" customHeight="1" thickBot="1" x14ac:dyDescent="0.35">
      <c r="A1573" s="13" t="s">
        <v>471</v>
      </c>
      <c r="B1573" s="2">
        <v>1740181</v>
      </c>
      <c r="C1573" s="2">
        <v>1701957.7</v>
      </c>
    </row>
    <row r="1574" spans="1:5" ht="17.25" hidden="1" customHeight="1" thickBot="1" x14ac:dyDescent="0.35">
      <c r="A1574" s="13" t="s">
        <v>472</v>
      </c>
      <c r="B1574" s="2">
        <v>1740195.5</v>
      </c>
      <c r="C1574" s="2">
        <v>1702015.8</v>
      </c>
    </row>
    <row r="1575" spans="1:5" ht="16.5" hidden="1" customHeight="1" x14ac:dyDescent="0.3">
      <c r="A1575" s="14" t="s">
        <v>473</v>
      </c>
      <c r="B1575" s="2" t="s">
        <v>640</v>
      </c>
      <c r="C1575" s="2">
        <v>1701949.7</v>
      </c>
    </row>
    <row r="1576" spans="1:5" ht="16.5" hidden="1" customHeight="1" thickBot="1" x14ac:dyDescent="0.35"/>
    <row r="1577" spans="1:5" ht="16.5" hidden="1" customHeight="1" x14ac:dyDescent="0.3">
      <c r="A1577" s="24" t="s">
        <v>474</v>
      </c>
      <c r="B1577" s="26"/>
      <c r="C1577" s="26"/>
      <c r="D1577" s="26"/>
      <c r="E1577" s="26"/>
    </row>
    <row r="1578" spans="1:5" ht="16.5" hidden="1" customHeight="1" x14ac:dyDescent="0.3">
      <c r="A1578" s="6" t="s">
        <v>475</v>
      </c>
      <c r="B1578" s="3" t="s">
        <v>476</v>
      </c>
      <c r="C1578" s="3" t="s">
        <v>477</v>
      </c>
      <c r="D1578" s="3" t="s">
        <v>478</v>
      </c>
      <c r="E1578" s="3" t="s">
        <v>479</v>
      </c>
    </row>
    <row r="1579" spans="1:5" ht="33" hidden="1" customHeight="1" x14ac:dyDescent="0.3">
      <c r="A1579" s="25" t="s">
        <v>613</v>
      </c>
      <c r="B1579" s="27"/>
      <c r="C1579" s="27"/>
      <c r="D1579" s="27"/>
      <c r="E1579" s="27"/>
    </row>
    <row r="1580" spans="1:5" ht="26.25" hidden="1" customHeight="1" thickBot="1" x14ac:dyDescent="0.35">
      <c r="A1580" s="13" t="s">
        <v>481</v>
      </c>
      <c r="B1580" s="2">
        <v>28.31</v>
      </c>
      <c r="C1580" s="2">
        <v>2.9849999999999999</v>
      </c>
      <c r="D1580" s="2">
        <v>8304.2900000000009</v>
      </c>
      <c r="E1580" s="2" t="s">
        <v>482</v>
      </c>
    </row>
    <row r="1581" spans="1:5" ht="17.25" hidden="1" customHeight="1" thickBot="1" x14ac:dyDescent="0.35">
      <c r="A1581" s="13" t="s">
        <v>483</v>
      </c>
      <c r="B1581" s="2">
        <v>56.23</v>
      </c>
      <c r="C1581" s="2">
        <v>3</v>
      </c>
      <c r="D1581" s="2">
        <v>2780</v>
      </c>
      <c r="E1581" s="2" t="s">
        <v>482</v>
      </c>
    </row>
    <row r="1582" spans="1:5" ht="16.5" hidden="1" customHeight="1" x14ac:dyDescent="0.3">
      <c r="A1582" s="14" t="s">
        <v>484</v>
      </c>
      <c r="B1582" s="2">
        <v>21.65</v>
      </c>
      <c r="C1582" s="2">
        <v>3</v>
      </c>
      <c r="D1582" s="2">
        <v>2780</v>
      </c>
      <c r="E1582" s="2" t="s">
        <v>482</v>
      </c>
    </row>
    <row r="1583" spans="1:5" ht="16.5" hidden="1" customHeight="1" thickBot="1" x14ac:dyDescent="0.35"/>
    <row r="1584" spans="1:5" ht="16.5" hidden="1" customHeight="1" x14ac:dyDescent="0.3">
      <c r="A1584" s="24" t="s">
        <v>485</v>
      </c>
      <c r="B1584" s="26"/>
      <c r="C1584" s="26"/>
      <c r="D1584" s="26"/>
      <c r="E1584" s="26"/>
    </row>
    <row r="1585" spans="1:9" ht="16.5" hidden="1" customHeight="1" x14ac:dyDescent="0.3">
      <c r="A1585" s="6" t="s">
        <v>486</v>
      </c>
      <c r="B1585" s="3" t="s">
        <v>476</v>
      </c>
      <c r="C1585" s="3" t="s">
        <v>477</v>
      </c>
      <c r="D1585" s="3" t="s">
        <v>478</v>
      </c>
      <c r="E1585" s="3" t="s">
        <v>479</v>
      </c>
    </row>
    <row r="1586" spans="1:9" ht="16.5" hidden="1" customHeight="1" x14ac:dyDescent="0.3">
      <c r="A1586" s="14" t="s">
        <v>28</v>
      </c>
      <c r="B1586" s="2">
        <v>21.65</v>
      </c>
      <c r="C1586" s="2">
        <v>3</v>
      </c>
      <c r="D1586" s="2">
        <v>2780</v>
      </c>
      <c r="E1586" s="2" t="s">
        <v>482</v>
      </c>
    </row>
    <row r="1587" spans="1:9" ht="16.5" hidden="1" customHeight="1" thickBot="1" x14ac:dyDescent="0.35"/>
    <row r="1588" spans="1:9" ht="16.5" hidden="1" customHeight="1" x14ac:dyDescent="0.3">
      <c r="A1588" s="24" t="s">
        <v>487</v>
      </c>
      <c r="B1588" s="26"/>
      <c r="C1588" s="26"/>
      <c r="D1588" s="26"/>
      <c r="E1588" s="26"/>
      <c r="F1588" s="26"/>
    </row>
    <row r="1589" spans="1:9" ht="16.5" hidden="1" customHeight="1" x14ac:dyDescent="0.3">
      <c r="A1589" s="25" t="s">
        <v>488</v>
      </c>
      <c r="B1589" s="27"/>
      <c r="C1589" s="27" t="s">
        <v>489</v>
      </c>
      <c r="D1589" s="3" t="s">
        <v>490</v>
      </c>
      <c r="E1589" s="27" t="s">
        <v>492</v>
      </c>
      <c r="F1589" s="27" t="s">
        <v>493</v>
      </c>
    </row>
    <row r="1590" spans="1:9" ht="16.5" hidden="1" customHeight="1" x14ac:dyDescent="0.3">
      <c r="A1590" s="25"/>
      <c r="B1590" s="27"/>
      <c r="C1590" s="27"/>
      <c r="D1590" s="3" t="s">
        <v>491</v>
      </c>
      <c r="E1590" s="27"/>
      <c r="F1590" s="27"/>
    </row>
    <row r="1591" spans="1:9" ht="16.5" hidden="1" customHeight="1" x14ac:dyDescent="0.3">
      <c r="A1591" s="25" t="s">
        <v>581</v>
      </c>
      <c r="B1591" s="27"/>
      <c r="C1591" s="27"/>
      <c r="D1591" s="27"/>
      <c r="E1591" s="27"/>
      <c r="F1591" s="27"/>
    </row>
    <row r="1592" spans="1:9" ht="17.25" hidden="1" customHeight="1" thickBot="1" x14ac:dyDescent="0.35">
      <c r="A1592" s="13" t="s">
        <v>495</v>
      </c>
      <c r="B1592" s="12"/>
      <c r="C1592" s="16">
        <v>-5.8019999999999996</v>
      </c>
      <c r="D1592" s="2">
        <v>0.2034</v>
      </c>
      <c r="E1592" s="16">
        <v>-28.53</v>
      </c>
      <c r="F1592" s="2" t="s">
        <v>482</v>
      </c>
    </row>
    <row r="1593" spans="1:9" ht="17.25" hidden="1" customHeight="1" thickBot="1" x14ac:dyDescent="0.35">
      <c r="A1593" s="13" t="s">
        <v>28</v>
      </c>
      <c r="B1593" s="12">
        <v>2</v>
      </c>
      <c r="C1593" s="2">
        <v>1.0827</v>
      </c>
      <c r="D1593" s="2">
        <v>0.23699999999999999</v>
      </c>
      <c r="E1593" s="2">
        <v>4.57</v>
      </c>
      <c r="F1593" s="2" t="s">
        <v>482</v>
      </c>
    </row>
    <row r="1594" spans="1:9" ht="17.25" hidden="1" customHeight="1" thickBot="1" x14ac:dyDescent="0.35">
      <c r="A1594" s="13" t="s">
        <v>28</v>
      </c>
      <c r="B1594" s="12">
        <v>3</v>
      </c>
      <c r="C1594" s="2">
        <v>1.5993999999999999</v>
      </c>
      <c r="D1594" s="2">
        <v>0.21870000000000001</v>
      </c>
      <c r="E1594" s="2">
        <v>7.31</v>
      </c>
      <c r="F1594" s="2" t="s">
        <v>482</v>
      </c>
    </row>
    <row r="1595" spans="1:9" ht="16.5" hidden="1" customHeight="1" x14ac:dyDescent="0.3">
      <c r="A1595" s="14" t="s">
        <v>28</v>
      </c>
      <c r="B1595" s="15">
        <v>4</v>
      </c>
      <c r="C1595" s="2">
        <v>1.5810999999999999</v>
      </c>
      <c r="D1595" s="2">
        <v>0.2243</v>
      </c>
      <c r="E1595" s="2">
        <v>7.05</v>
      </c>
      <c r="F1595" s="2" t="s">
        <v>482</v>
      </c>
    </row>
    <row r="1596" spans="1:9" ht="16.5" hidden="1" customHeight="1" thickBot="1" x14ac:dyDescent="0.35"/>
    <row r="1597" spans="1:9" ht="16.5" hidden="1" customHeight="1" x14ac:dyDescent="0.3">
      <c r="A1597" s="24" t="s">
        <v>496</v>
      </c>
      <c r="B1597" s="26"/>
      <c r="C1597" s="26"/>
      <c r="D1597" s="26"/>
    </row>
    <row r="1598" spans="1:9" ht="33" hidden="1" customHeight="1" x14ac:dyDescent="0.3">
      <c r="A1598" s="6" t="s">
        <v>486</v>
      </c>
      <c r="B1598" s="3" t="s">
        <v>497</v>
      </c>
      <c r="C1598" s="27" t="s">
        <v>91</v>
      </c>
      <c r="D1598" s="27"/>
    </row>
    <row r="1599" spans="1:9" ht="49.5" hidden="1" customHeight="1" x14ac:dyDescent="0.3">
      <c r="A1599" s="25" t="s">
        <v>582</v>
      </c>
      <c r="B1599" s="27"/>
      <c r="C1599" s="27"/>
      <c r="D1599" s="27"/>
    </row>
    <row r="1600" spans="1:9" ht="26.25" thickBot="1" x14ac:dyDescent="0.35">
      <c r="A1600" s="13" t="s">
        <v>525</v>
      </c>
      <c r="B1600" s="2">
        <v>2.9529999999999998</v>
      </c>
      <c r="C1600" s="2">
        <v>1.855</v>
      </c>
      <c r="D1600" s="2">
        <v>4.6989999999999998</v>
      </c>
      <c r="H1600" s="8" t="str">
        <f t="shared" ref="H1600:H1602" si="36">TEXT(B1600,"0.00")&amp;" ("&amp;TEXT(C1600,"0.00")&amp;" to "&amp;TEXT(D1600,"0.00")&amp;")"</f>
        <v>2.95 (1.86 to 4.70)</v>
      </c>
      <c r="I1600" t="str">
        <f>F1593</f>
        <v>&lt;.0001</v>
      </c>
    </row>
    <row r="1601" spans="1:9" ht="26.25" thickBot="1" x14ac:dyDescent="0.35">
      <c r="A1601" s="13" t="s">
        <v>526</v>
      </c>
      <c r="B1601" s="2">
        <v>4.95</v>
      </c>
      <c r="C1601" s="2">
        <v>3.2240000000000002</v>
      </c>
      <c r="D1601" s="2">
        <v>7.6</v>
      </c>
      <c r="H1601" s="8" t="str">
        <f t="shared" si="36"/>
        <v>4.95 (3.22 to 7.60)</v>
      </c>
      <c r="I1601" t="str">
        <f t="shared" ref="I1601:I1602" si="37">F1594</f>
        <v>&lt;.0001</v>
      </c>
    </row>
    <row r="1602" spans="1:9" ht="25.5" x14ac:dyDescent="0.3">
      <c r="A1602" s="14" t="s">
        <v>527</v>
      </c>
      <c r="B1602" s="2">
        <v>4.8600000000000003</v>
      </c>
      <c r="C1602" s="2">
        <v>3.1309999999999998</v>
      </c>
      <c r="D1602" s="2">
        <v>7.5449999999999999</v>
      </c>
      <c r="H1602" s="8" t="str">
        <f t="shared" si="36"/>
        <v>4.86 (3.13 to 7.55)</v>
      </c>
      <c r="I1602" t="str">
        <f t="shared" si="37"/>
        <v>&lt;.0001</v>
      </c>
    </row>
    <row r="1603" spans="1:9" ht="16.5" hidden="1" customHeight="1" thickBot="1" x14ac:dyDescent="0.35"/>
    <row r="1604" spans="1:9" ht="33" hidden="1" customHeight="1" x14ac:dyDescent="0.3">
      <c r="A1604" s="24" t="s">
        <v>502</v>
      </c>
      <c r="B1604" s="26"/>
      <c r="C1604" s="26"/>
      <c r="D1604" s="26"/>
    </row>
    <row r="1605" spans="1:9" ht="39" hidden="1" customHeight="1" thickBot="1" x14ac:dyDescent="0.35">
      <c r="A1605" s="13" t="s">
        <v>503</v>
      </c>
      <c r="B1605" s="2">
        <v>39.299999999999997</v>
      </c>
      <c r="C1605" s="12" t="s">
        <v>504</v>
      </c>
      <c r="D1605" s="2">
        <v>0.23100000000000001</v>
      </c>
    </row>
    <row r="1606" spans="1:9" ht="26.25" hidden="1" customHeight="1" thickBot="1" x14ac:dyDescent="0.35">
      <c r="A1606" s="13" t="s">
        <v>505</v>
      </c>
      <c r="B1606" s="2">
        <v>16.100000000000001</v>
      </c>
      <c r="C1606" s="12" t="s">
        <v>506</v>
      </c>
      <c r="D1606" s="2">
        <v>0.41799999999999998</v>
      </c>
    </row>
    <row r="1607" spans="1:9" ht="26.25" hidden="1" customHeight="1" thickBot="1" x14ac:dyDescent="0.35">
      <c r="A1607" s="13" t="s">
        <v>507</v>
      </c>
      <c r="B1607" s="2">
        <v>44.6</v>
      </c>
      <c r="C1607" s="12" t="s">
        <v>508</v>
      </c>
      <c r="D1607" s="2">
        <v>7.0000000000000001E-3</v>
      </c>
    </row>
    <row r="1608" spans="1:9" ht="16.5" hidden="1" customHeight="1" x14ac:dyDescent="0.3">
      <c r="A1608" s="14" t="s">
        <v>509</v>
      </c>
      <c r="B1608" s="2">
        <v>15968336</v>
      </c>
      <c r="C1608" s="15" t="s">
        <v>510</v>
      </c>
      <c r="D1608" s="2">
        <v>0.61599999999999999</v>
      </c>
    </row>
    <row r="1609" spans="1:9" ht="16.5" hidden="1" customHeight="1" x14ac:dyDescent="0.3"/>
    <row r="1610" spans="1:9" ht="16.5" hidden="1" customHeight="1" x14ac:dyDescent="0.3"/>
    <row r="1611" spans="1:9" ht="16.5" hidden="1" customHeight="1" x14ac:dyDescent="0.3"/>
    <row r="1612" spans="1:9" ht="16.5" hidden="1" customHeight="1" x14ac:dyDescent="0.3">
      <c r="A1612" s="1" t="s">
        <v>436</v>
      </c>
    </row>
    <row r="1613" spans="1:9" ht="16.5" hidden="1" customHeight="1" x14ac:dyDescent="0.3"/>
    <row r="1614" spans="1:9" ht="16.5" hidden="1" customHeight="1" x14ac:dyDescent="0.3">
      <c r="A1614" s="1" t="s">
        <v>417</v>
      </c>
    </row>
    <row r="1615" spans="1:9" ht="16.5" hidden="1" customHeight="1" thickBot="1" x14ac:dyDescent="0.35"/>
    <row r="1616" spans="1:9" ht="16.5" hidden="1" customHeight="1" x14ac:dyDescent="0.3">
      <c r="A1616" s="24" t="s">
        <v>437</v>
      </c>
      <c r="B1616" s="26"/>
    </row>
    <row r="1617" spans="1:2" ht="26.25" hidden="1" customHeight="1" thickBot="1" x14ac:dyDescent="0.35">
      <c r="A1617" s="13" t="s">
        <v>438</v>
      </c>
      <c r="B1617" s="18" t="s">
        <v>439</v>
      </c>
    </row>
    <row r="1618" spans="1:2" ht="26.25" hidden="1" customHeight="1" thickBot="1" x14ac:dyDescent="0.35">
      <c r="A1618" s="13" t="s">
        <v>440</v>
      </c>
      <c r="B1618" s="18" t="s">
        <v>19</v>
      </c>
    </row>
    <row r="1619" spans="1:2" ht="39" hidden="1" customHeight="1" thickBot="1" x14ac:dyDescent="0.35">
      <c r="A1619" s="13" t="s">
        <v>441</v>
      </c>
      <c r="B1619" s="18">
        <v>2</v>
      </c>
    </row>
    <row r="1620" spans="1:2" ht="26.25" hidden="1" customHeight="1" thickBot="1" x14ac:dyDescent="0.35">
      <c r="A1620" s="13" t="s">
        <v>442</v>
      </c>
      <c r="B1620" s="18" t="s">
        <v>443</v>
      </c>
    </row>
    <row r="1621" spans="1:2" ht="26.25" hidden="1" customHeight="1" thickBot="1" x14ac:dyDescent="0.35">
      <c r="A1621" s="13" t="s">
        <v>76</v>
      </c>
      <c r="B1621" s="18">
        <v>183</v>
      </c>
    </row>
    <row r="1622" spans="1:2" ht="26.25" hidden="1" customHeight="1" thickBot="1" x14ac:dyDescent="0.35">
      <c r="A1622" s="13" t="s">
        <v>444</v>
      </c>
      <c r="B1622" s="18" t="s">
        <v>445</v>
      </c>
    </row>
    <row r="1623" spans="1:2" ht="26.25" hidden="1" customHeight="1" thickBot="1" x14ac:dyDescent="0.35">
      <c r="A1623" s="13" t="s">
        <v>77</v>
      </c>
      <c r="B1623" s="18">
        <v>2901</v>
      </c>
    </row>
    <row r="1624" spans="1:2" ht="26.25" hidden="1" customHeight="1" thickBot="1" x14ac:dyDescent="0.35">
      <c r="A1624" s="13" t="s">
        <v>446</v>
      </c>
      <c r="B1624" s="18" t="s">
        <v>447</v>
      </c>
    </row>
    <row r="1625" spans="1:2" ht="26.25" hidden="1" customHeight="1" thickBot="1" x14ac:dyDescent="0.35">
      <c r="A1625" s="13" t="s">
        <v>448</v>
      </c>
      <c r="B1625" s="18" t="s">
        <v>449</v>
      </c>
    </row>
    <row r="1626" spans="1:2" ht="39" hidden="1" customHeight="1" thickBot="1" x14ac:dyDescent="0.35">
      <c r="A1626" s="13" t="s">
        <v>450</v>
      </c>
      <c r="B1626" s="18" t="s">
        <v>451</v>
      </c>
    </row>
    <row r="1627" spans="1:2" ht="38.25" hidden="1" customHeight="1" x14ac:dyDescent="0.3">
      <c r="A1627" s="14" t="s">
        <v>452</v>
      </c>
      <c r="B1627" s="19" t="s">
        <v>453</v>
      </c>
    </row>
    <row r="1628" spans="1:2" ht="16.5" hidden="1" customHeight="1" thickBot="1" x14ac:dyDescent="0.35"/>
    <row r="1629" spans="1:2" ht="33" hidden="1" customHeight="1" x14ac:dyDescent="0.3">
      <c r="A1629" s="24" t="s">
        <v>80</v>
      </c>
      <c r="B1629" s="26"/>
    </row>
    <row r="1630" spans="1:2" ht="33.75" hidden="1" customHeight="1" thickBot="1" x14ac:dyDescent="0.35">
      <c r="A1630" s="13" t="s">
        <v>81</v>
      </c>
      <c r="B1630" s="2" t="s">
        <v>82</v>
      </c>
    </row>
    <row r="1631" spans="1:2" ht="66" hidden="1" customHeight="1" x14ac:dyDescent="0.3">
      <c r="A1631" s="14" t="s">
        <v>452</v>
      </c>
      <c r="B1631" s="2" t="s">
        <v>453</v>
      </c>
    </row>
    <row r="1632" spans="1:2" ht="16.5" hidden="1" customHeight="1" thickBot="1" x14ac:dyDescent="0.35"/>
    <row r="1633" spans="1:5" ht="39" hidden="1" customHeight="1" thickBot="1" x14ac:dyDescent="0.35">
      <c r="A1633" s="20" t="s">
        <v>454</v>
      </c>
      <c r="B1633" s="21">
        <v>12549</v>
      </c>
    </row>
    <row r="1634" spans="1:5" ht="39" hidden="1" customHeight="1" thickBot="1" x14ac:dyDescent="0.35">
      <c r="A1634" s="13" t="s">
        <v>455</v>
      </c>
      <c r="B1634" s="2">
        <v>12549</v>
      </c>
    </row>
    <row r="1635" spans="1:5" ht="39" hidden="1" customHeight="1" thickBot="1" x14ac:dyDescent="0.35">
      <c r="A1635" s="13" t="s">
        <v>456</v>
      </c>
      <c r="B1635" s="2">
        <v>4941337</v>
      </c>
    </row>
    <row r="1636" spans="1:5" ht="38.25" hidden="1" customHeight="1" x14ac:dyDescent="0.3">
      <c r="A1636" s="14" t="s">
        <v>457</v>
      </c>
      <c r="B1636" s="2">
        <v>4941337</v>
      </c>
    </row>
    <row r="1637" spans="1:5" ht="16.5" hidden="1" customHeight="1" thickBot="1" x14ac:dyDescent="0.35"/>
    <row r="1638" spans="1:5" ht="16.5" hidden="1" customHeight="1" x14ac:dyDescent="0.3">
      <c r="A1638" s="24" t="s">
        <v>458</v>
      </c>
      <c r="B1638" s="26"/>
      <c r="C1638" s="26"/>
      <c r="D1638" s="26"/>
    </row>
    <row r="1639" spans="1:5" ht="16.5" hidden="1" customHeight="1" x14ac:dyDescent="0.3">
      <c r="A1639" s="6" t="s">
        <v>459</v>
      </c>
      <c r="B1639" s="27" t="s">
        <v>19</v>
      </c>
      <c r="C1639" s="3" t="s">
        <v>93</v>
      </c>
      <c r="D1639" s="3" t="s">
        <v>93</v>
      </c>
    </row>
    <row r="1640" spans="1:5" ht="33" hidden="1" customHeight="1" x14ac:dyDescent="0.3">
      <c r="A1640" s="6" t="s">
        <v>460</v>
      </c>
      <c r="B1640" s="27"/>
      <c r="C1640" s="3" t="s">
        <v>86</v>
      </c>
      <c r="D1640" s="3" t="s">
        <v>461</v>
      </c>
    </row>
    <row r="1641" spans="1:5" ht="17.25" hidden="1" customHeight="1" thickBot="1" x14ac:dyDescent="0.35">
      <c r="A1641" s="6">
        <v>1</v>
      </c>
      <c r="B1641" s="17">
        <v>0</v>
      </c>
      <c r="C1641" s="2">
        <v>12007</v>
      </c>
      <c r="D1641" s="2">
        <v>4775169</v>
      </c>
    </row>
    <row r="1642" spans="1:5" ht="16.5" hidden="1" customHeight="1" x14ac:dyDescent="0.3">
      <c r="A1642" s="6">
        <v>2</v>
      </c>
      <c r="B1642" s="22">
        <v>1</v>
      </c>
      <c r="C1642" s="2">
        <v>542</v>
      </c>
      <c r="D1642" s="2">
        <v>166168</v>
      </c>
    </row>
    <row r="1643" spans="1:5" ht="16.5" hidden="1" customHeight="1" x14ac:dyDescent="0.3"/>
    <row r="1644" spans="1:5" ht="16.5" hidden="1" customHeight="1" x14ac:dyDescent="0.3">
      <c r="A1644" s="1" t="s">
        <v>513</v>
      </c>
    </row>
    <row r="1645" spans="1:5" ht="16.5" hidden="1" customHeight="1" thickBot="1" x14ac:dyDescent="0.35"/>
    <row r="1646" spans="1:5" ht="16.5" hidden="1" customHeight="1" x14ac:dyDescent="0.3">
      <c r="A1646" s="24" t="s">
        <v>462</v>
      </c>
      <c r="B1646" s="26"/>
      <c r="C1646" s="26"/>
      <c r="D1646" s="26"/>
      <c r="E1646" s="26"/>
    </row>
    <row r="1647" spans="1:5" ht="16.5" hidden="1" customHeight="1" x14ac:dyDescent="0.3">
      <c r="A1647" s="6" t="s">
        <v>463</v>
      </c>
      <c r="B1647" s="3" t="s">
        <v>460</v>
      </c>
      <c r="C1647" s="27" t="s">
        <v>464</v>
      </c>
      <c r="D1647" s="27"/>
      <c r="E1647" s="27"/>
    </row>
    <row r="1648" spans="1:5" ht="17.25" hidden="1" customHeight="1" thickBot="1" x14ac:dyDescent="0.35">
      <c r="A1648" s="13" t="s">
        <v>28</v>
      </c>
      <c r="B1648" s="12">
        <v>1</v>
      </c>
      <c r="C1648" s="2">
        <v>0</v>
      </c>
      <c r="D1648" s="2">
        <v>0</v>
      </c>
      <c r="E1648" s="2">
        <v>0</v>
      </c>
    </row>
    <row r="1649" spans="1:5" ht="17.25" hidden="1" customHeight="1" thickBot="1" x14ac:dyDescent="0.35">
      <c r="A1649" s="13"/>
      <c r="B1649" s="12">
        <v>2</v>
      </c>
      <c r="C1649" s="2">
        <v>1</v>
      </c>
      <c r="D1649" s="2">
        <v>0</v>
      </c>
      <c r="E1649" s="2">
        <v>0</v>
      </c>
    </row>
    <row r="1650" spans="1:5" ht="17.25" hidden="1" customHeight="1" thickBot="1" x14ac:dyDescent="0.35">
      <c r="A1650" s="13"/>
      <c r="B1650" s="12">
        <v>3</v>
      </c>
      <c r="C1650" s="2">
        <v>0</v>
      </c>
      <c r="D1650" s="2">
        <v>1</v>
      </c>
      <c r="E1650" s="2">
        <v>0</v>
      </c>
    </row>
    <row r="1651" spans="1:5" ht="16.5" hidden="1" customHeight="1" x14ac:dyDescent="0.3">
      <c r="A1651" s="14"/>
      <c r="B1651" s="15">
        <v>4</v>
      </c>
      <c r="C1651" s="2">
        <v>0</v>
      </c>
      <c r="D1651" s="2">
        <v>0</v>
      </c>
      <c r="E1651" s="2">
        <v>1</v>
      </c>
    </row>
    <row r="1652" spans="1:5" ht="16.5" hidden="1" customHeight="1" thickBot="1" x14ac:dyDescent="0.35"/>
    <row r="1653" spans="1:5" ht="66" hidden="1" customHeight="1" x14ac:dyDescent="0.3">
      <c r="A1653" s="4" t="s">
        <v>465</v>
      </c>
    </row>
    <row r="1654" spans="1:5" ht="99" hidden="1" customHeight="1" x14ac:dyDescent="0.3">
      <c r="A1654" s="23" t="s">
        <v>466</v>
      </c>
    </row>
    <row r="1655" spans="1:5" ht="16.5" hidden="1" customHeight="1" thickBot="1" x14ac:dyDescent="0.35"/>
    <row r="1656" spans="1:5" ht="16.5" hidden="1" customHeight="1" x14ac:dyDescent="0.3">
      <c r="A1656" s="24" t="s">
        <v>467</v>
      </c>
      <c r="B1656" s="26"/>
      <c r="C1656" s="26"/>
    </row>
    <row r="1657" spans="1:5" ht="66" hidden="1" customHeight="1" x14ac:dyDescent="0.3">
      <c r="A1657" s="6" t="s">
        <v>468</v>
      </c>
      <c r="B1657" s="3" t="s">
        <v>469</v>
      </c>
      <c r="C1657" s="3" t="s">
        <v>470</v>
      </c>
    </row>
    <row r="1658" spans="1:5" ht="17.25" hidden="1" customHeight="1" thickBot="1" x14ac:dyDescent="0.35">
      <c r="A1658" s="13" t="s">
        <v>471</v>
      </c>
      <c r="B1658" s="2">
        <v>1454100.1</v>
      </c>
      <c r="C1658" s="2">
        <v>1444545.7</v>
      </c>
    </row>
    <row r="1659" spans="1:5" ht="17.25" hidden="1" customHeight="1" thickBot="1" x14ac:dyDescent="0.35">
      <c r="A1659" s="13" t="s">
        <v>472</v>
      </c>
      <c r="B1659" s="2">
        <v>1454113.5</v>
      </c>
      <c r="C1659" s="2">
        <v>1444599.3</v>
      </c>
    </row>
    <row r="1660" spans="1:5" ht="16.5" hidden="1" customHeight="1" x14ac:dyDescent="0.3">
      <c r="A1660" s="14" t="s">
        <v>473</v>
      </c>
      <c r="B1660" s="2" t="s">
        <v>641</v>
      </c>
      <c r="C1660" s="2">
        <v>1444537.7</v>
      </c>
    </row>
    <row r="1661" spans="1:5" ht="16.5" hidden="1" customHeight="1" thickBot="1" x14ac:dyDescent="0.35"/>
    <row r="1662" spans="1:5" ht="16.5" hidden="1" customHeight="1" x14ac:dyDescent="0.3">
      <c r="A1662" s="24" t="s">
        <v>474</v>
      </c>
      <c r="B1662" s="26"/>
      <c r="C1662" s="26"/>
      <c r="D1662" s="26"/>
      <c r="E1662" s="26"/>
    </row>
    <row r="1663" spans="1:5" ht="16.5" hidden="1" customHeight="1" x14ac:dyDescent="0.3">
      <c r="A1663" s="6" t="s">
        <v>475</v>
      </c>
      <c r="B1663" s="3" t="s">
        <v>476</v>
      </c>
      <c r="C1663" s="3" t="s">
        <v>477</v>
      </c>
      <c r="D1663" s="3" t="s">
        <v>478</v>
      </c>
      <c r="E1663" s="3" t="s">
        <v>479</v>
      </c>
    </row>
    <row r="1664" spans="1:5" ht="33" hidden="1" customHeight="1" x14ac:dyDescent="0.3">
      <c r="A1664" s="25" t="s">
        <v>611</v>
      </c>
      <c r="B1664" s="27"/>
      <c r="C1664" s="27"/>
      <c r="D1664" s="27"/>
      <c r="E1664" s="27"/>
    </row>
    <row r="1665" spans="1:6" ht="26.25" hidden="1" customHeight="1" thickBot="1" x14ac:dyDescent="0.35">
      <c r="A1665" s="13" t="s">
        <v>481</v>
      </c>
      <c r="B1665" s="2">
        <v>8.15</v>
      </c>
      <c r="C1665" s="2">
        <v>2.9853999999999998</v>
      </c>
      <c r="D1665" s="2">
        <v>8114.3</v>
      </c>
      <c r="E1665" s="2" t="s">
        <v>482</v>
      </c>
    </row>
    <row r="1666" spans="1:6" ht="17.25" hidden="1" customHeight="1" thickBot="1" x14ac:dyDescent="0.35">
      <c r="A1666" s="13" t="s">
        <v>483</v>
      </c>
      <c r="B1666" s="2">
        <v>10.029999999999999</v>
      </c>
      <c r="C1666" s="2">
        <v>3</v>
      </c>
      <c r="D1666" s="2">
        <v>2716</v>
      </c>
      <c r="E1666" s="2" t="s">
        <v>482</v>
      </c>
    </row>
    <row r="1667" spans="1:6" ht="16.5" hidden="1" customHeight="1" x14ac:dyDescent="0.3">
      <c r="A1667" s="14" t="s">
        <v>484</v>
      </c>
      <c r="B1667" s="2">
        <v>6.44</v>
      </c>
      <c r="C1667" s="2">
        <v>3</v>
      </c>
      <c r="D1667" s="2">
        <v>2716</v>
      </c>
      <c r="E1667" s="2">
        <v>2.0000000000000001E-4</v>
      </c>
    </row>
    <row r="1668" spans="1:6" ht="16.5" hidden="1" customHeight="1" thickBot="1" x14ac:dyDescent="0.35"/>
    <row r="1669" spans="1:6" ht="16.5" hidden="1" customHeight="1" x14ac:dyDescent="0.3">
      <c r="A1669" s="24" t="s">
        <v>485</v>
      </c>
      <c r="B1669" s="26"/>
      <c r="C1669" s="26"/>
      <c r="D1669" s="26"/>
      <c r="E1669" s="26"/>
    </row>
    <row r="1670" spans="1:6" ht="16.5" hidden="1" customHeight="1" x14ac:dyDescent="0.3">
      <c r="A1670" s="6" t="s">
        <v>486</v>
      </c>
      <c r="B1670" s="3" t="s">
        <v>476</v>
      </c>
      <c r="C1670" s="3" t="s">
        <v>477</v>
      </c>
      <c r="D1670" s="3" t="s">
        <v>478</v>
      </c>
      <c r="E1670" s="3" t="s">
        <v>479</v>
      </c>
    </row>
    <row r="1671" spans="1:6" ht="16.5" hidden="1" customHeight="1" x14ac:dyDescent="0.3">
      <c r="A1671" s="14" t="s">
        <v>28</v>
      </c>
      <c r="B1671" s="2">
        <v>6.44</v>
      </c>
      <c r="C1671" s="2">
        <v>3</v>
      </c>
      <c r="D1671" s="2">
        <v>2716</v>
      </c>
      <c r="E1671" s="2">
        <v>2.0000000000000001E-4</v>
      </c>
    </row>
    <row r="1672" spans="1:6" ht="16.5" hidden="1" customHeight="1" thickBot="1" x14ac:dyDescent="0.35"/>
    <row r="1673" spans="1:6" ht="16.5" hidden="1" customHeight="1" x14ac:dyDescent="0.3">
      <c r="A1673" s="24" t="s">
        <v>487</v>
      </c>
      <c r="B1673" s="26"/>
      <c r="C1673" s="26"/>
      <c r="D1673" s="26"/>
      <c r="E1673" s="26"/>
      <c r="F1673" s="26"/>
    </row>
    <row r="1674" spans="1:6" ht="16.5" hidden="1" customHeight="1" x14ac:dyDescent="0.3">
      <c r="A1674" s="25" t="s">
        <v>488</v>
      </c>
      <c r="B1674" s="27"/>
      <c r="C1674" s="27" t="s">
        <v>489</v>
      </c>
      <c r="D1674" s="3" t="s">
        <v>490</v>
      </c>
      <c r="E1674" s="27" t="s">
        <v>492</v>
      </c>
      <c r="F1674" s="27" t="s">
        <v>493</v>
      </c>
    </row>
    <row r="1675" spans="1:6" ht="16.5" hidden="1" customHeight="1" x14ac:dyDescent="0.3">
      <c r="A1675" s="25"/>
      <c r="B1675" s="27"/>
      <c r="C1675" s="27"/>
      <c r="D1675" s="3" t="s">
        <v>491</v>
      </c>
      <c r="E1675" s="27"/>
      <c r="F1675" s="27"/>
    </row>
    <row r="1676" spans="1:6" ht="16.5" hidden="1" customHeight="1" x14ac:dyDescent="0.3">
      <c r="A1676" s="25" t="s">
        <v>583</v>
      </c>
      <c r="B1676" s="27"/>
      <c r="C1676" s="27"/>
      <c r="D1676" s="27"/>
      <c r="E1676" s="27"/>
      <c r="F1676" s="27"/>
    </row>
    <row r="1677" spans="1:6" ht="17.25" hidden="1" customHeight="1" thickBot="1" x14ac:dyDescent="0.35">
      <c r="A1677" s="13" t="s">
        <v>495</v>
      </c>
      <c r="B1677" s="12"/>
      <c r="C1677" s="16">
        <v>-3.9424999999999999</v>
      </c>
      <c r="D1677" s="2">
        <v>0.152</v>
      </c>
      <c r="E1677" s="16">
        <v>-25.94</v>
      </c>
      <c r="F1677" s="2" t="s">
        <v>482</v>
      </c>
    </row>
    <row r="1678" spans="1:6" ht="17.25" hidden="1" customHeight="1" thickBot="1" x14ac:dyDescent="0.35">
      <c r="A1678" s="13" t="s">
        <v>28</v>
      </c>
      <c r="B1678" s="12">
        <v>2</v>
      </c>
      <c r="C1678" s="2">
        <v>0.61499999999999999</v>
      </c>
      <c r="D1678" s="2">
        <v>0.19389999999999999</v>
      </c>
      <c r="E1678" s="2">
        <v>3.17</v>
      </c>
      <c r="F1678" s="2">
        <v>1.5E-3</v>
      </c>
    </row>
    <row r="1679" spans="1:6" ht="17.25" hidden="1" customHeight="1" thickBot="1" x14ac:dyDescent="0.35">
      <c r="A1679" s="13" t="s">
        <v>28</v>
      </c>
      <c r="B1679" s="12">
        <v>3</v>
      </c>
      <c r="C1679" s="2">
        <v>0.71009999999999995</v>
      </c>
      <c r="D1679" s="2">
        <v>0.1782</v>
      </c>
      <c r="E1679" s="2">
        <v>3.99</v>
      </c>
      <c r="F1679" s="2" t="s">
        <v>482</v>
      </c>
    </row>
    <row r="1680" spans="1:6" ht="16.5" hidden="1" customHeight="1" x14ac:dyDescent="0.3">
      <c r="A1680" s="14" t="s">
        <v>28</v>
      </c>
      <c r="B1680" s="15">
        <v>4</v>
      </c>
      <c r="C1680" s="2">
        <v>0.72470000000000001</v>
      </c>
      <c r="D1680" s="2">
        <v>0.17349999999999999</v>
      </c>
      <c r="E1680" s="2">
        <v>4.18</v>
      </c>
      <c r="F1680" s="2" t="s">
        <v>482</v>
      </c>
    </row>
    <row r="1681" spans="1:9" ht="16.5" hidden="1" customHeight="1" thickBot="1" x14ac:dyDescent="0.35"/>
    <row r="1682" spans="1:9" ht="16.5" hidden="1" customHeight="1" x14ac:dyDescent="0.3">
      <c r="A1682" s="24" t="s">
        <v>496</v>
      </c>
      <c r="B1682" s="26"/>
      <c r="C1682" s="26"/>
      <c r="D1682" s="26"/>
    </row>
    <row r="1683" spans="1:9" ht="33" hidden="1" customHeight="1" x14ac:dyDescent="0.3">
      <c r="A1683" s="6" t="s">
        <v>486</v>
      </c>
      <c r="B1683" s="3" t="s">
        <v>497</v>
      </c>
      <c r="C1683" s="27" t="s">
        <v>91</v>
      </c>
      <c r="D1683" s="27"/>
    </row>
    <row r="1684" spans="1:9" ht="49.5" hidden="1" customHeight="1" x14ac:dyDescent="0.3">
      <c r="A1684" s="25" t="s">
        <v>584</v>
      </c>
      <c r="B1684" s="27"/>
      <c r="C1684" s="27"/>
      <c r="D1684" s="27"/>
    </row>
    <row r="1685" spans="1:9" ht="26.25" thickBot="1" x14ac:dyDescent="0.35">
      <c r="A1685" s="13" t="s">
        <v>525</v>
      </c>
      <c r="B1685" s="2">
        <v>1.85</v>
      </c>
      <c r="C1685" s="2">
        <v>1.2649999999999999</v>
      </c>
      <c r="D1685" s="2">
        <v>2.7050000000000001</v>
      </c>
      <c r="H1685" s="8" t="str">
        <f t="shared" ref="H1685:H1687" si="38">TEXT(B1685,"0.00")&amp;" ("&amp;TEXT(C1685,"0.00")&amp;" to "&amp;TEXT(D1685,"0.00")&amp;")"</f>
        <v>1.85 (1.27 to 2.71)</v>
      </c>
      <c r="I1685">
        <f>F1678</f>
        <v>1.5E-3</v>
      </c>
    </row>
    <row r="1686" spans="1:9" ht="26.25" thickBot="1" x14ac:dyDescent="0.35">
      <c r="A1686" s="13" t="s">
        <v>526</v>
      </c>
      <c r="B1686" s="2">
        <v>2.0339999999999998</v>
      </c>
      <c r="C1686" s="2">
        <v>1.4339999999999999</v>
      </c>
      <c r="D1686" s="2">
        <v>2.8849999999999998</v>
      </c>
      <c r="H1686" s="8" t="str">
        <f t="shared" si="38"/>
        <v>2.03 (1.43 to 2.89)</v>
      </c>
      <c r="I1686" t="str">
        <f t="shared" ref="I1686:I1687" si="39">F1679</f>
        <v>&lt;.0001</v>
      </c>
    </row>
    <row r="1687" spans="1:9" ht="25.5" x14ac:dyDescent="0.3">
      <c r="A1687" s="14" t="s">
        <v>527</v>
      </c>
      <c r="B1687" s="2">
        <v>2.0640000000000001</v>
      </c>
      <c r="C1687" s="2">
        <v>1.4690000000000001</v>
      </c>
      <c r="D1687" s="2">
        <v>2.9</v>
      </c>
      <c r="H1687" s="8" t="str">
        <f t="shared" si="38"/>
        <v>2.06 (1.47 to 2.90)</v>
      </c>
      <c r="I1687" t="str">
        <f t="shared" si="39"/>
        <v>&lt;.0001</v>
      </c>
    </row>
    <row r="1688" spans="1:9" ht="16.5" hidden="1" customHeight="1" thickBot="1" x14ac:dyDescent="0.35"/>
    <row r="1689" spans="1:9" ht="33" hidden="1" customHeight="1" x14ac:dyDescent="0.3">
      <c r="A1689" s="24" t="s">
        <v>502</v>
      </c>
      <c r="B1689" s="26"/>
      <c r="C1689" s="26"/>
      <c r="D1689" s="26"/>
    </row>
    <row r="1690" spans="1:9" ht="39" hidden="1" customHeight="1" thickBot="1" x14ac:dyDescent="0.35">
      <c r="A1690" s="13" t="s">
        <v>503</v>
      </c>
      <c r="B1690" s="2">
        <v>41.9</v>
      </c>
      <c r="C1690" s="12" t="s">
        <v>504</v>
      </c>
      <c r="D1690" s="2">
        <v>0.107</v>
      </c>
    </row>
    <row r="1691" spans="1:9" ht="26.25" hidden="1" customHeight="1" thickBot="1" x14ac:dyDescent="0.35">
      <c r="A1691" s="13" t="s">
        <v>505</v>
      </c>
      <c r="B1691" s="2">
        <v>31.2</v>
      </c>
      <c r="C1691" s="12" t="s">
        <v>506</v>
      </c>
      <c r="D1691" s="2">
        <v>0.14699999999999999</v>
      </c>
    </row>
    <row r="1692" spans="1:9" ht="26.25" hidden="1" customHeight="1" thickBot="1" x14ac:dyDescent="0.35">
      <c r="A1692" s="13" t="s">
        <v>507</v>
      </c>
      <c r="B1692" s="2">
        <v>26.9</v>
      </c>
      <c r="C1692" s="12" t="s">
        <v>508</v>
      </c>
      <c r="D1692" s="2">
        <v>8.9999999999999993E-3</v>
      </c>
    </row>
    <row r="1693" spans="1:9" ht="16.5" hidden="1" customHeight="1" x14ac:dyDescent="0.3">
      <c r="A1693" s="14" t="s">
        <v>509</v>
      </c>
      <c r="B1693" s="2">
        <v>6507794</v>
      </c>
      <c r="C1693" s="15" t="s">
        <v>510</v>
      </c>
      <c r="D1693" s="2">
        <v>0.55400000000000005</v>
      </c>
    </row>
    <row r="1694" spans="1:9" ht="16.5" hidden="1" customHeight="1" x14ac:dyDescent="0.3"/>
    <row r="1695" spans="1:9" ht="16.5" hidden="1" customHeight="1" x14ac:dyDescent="0.3"/>
    <row r="1696" spans="1:9" ht="16.5" hidden="1" customHeight="1" x14ac:dyDescent="0.3"/>
    <row r="1697" spans="1:2" ht="16.5" hidden="1" customHeight="1" x14ac:dyDescent="0.3">
      <c r="A1697" s="1" t="s">
        <v>436</v>
      </c>
    </row>
    <row r="1698" spans="1:2" ht="16.5" hidden="1" customHeight="1" x14ac:dyDescent="0.3"/>
    <row r="1699" spans="1:2" ht="16.5" hidden="1" customHeight="1" x14ac:dyDescent="0.3">
      <c r="A1699" s="1" t="s">
        <v>418</v>
      </c>
    </row>
    <row r="1700" spans="1:2" ht="16.5" hidden="1" customHeight="1" thickBot="1" x14ac:dyDescent="0.35"/>
    <row r="1701" spans="1:2" ht="16.5" hidden="1" customHeight="1" x14ac:dyDescent="0.3">
      <c r="A1701" s="24" t="s">
        <v>437</v>
      </c>
      <c r="B1701" s="26"/>
    </row>
    <row r="1702" spans="1:2" ht="26.25" hidden="1" customHeight="1" thickBot="1" x14ac:dyDescent="0.35">
      <c r="A1702" s="13" t="s">
        <v>438</v>
      </c>
      <c r="B1702" s="18" t="s">
        <v>439</v>
      </c>
    </row>
    <row r="1703" spans="1:2" ht="26.25" hidden="1" customHeight="1" thickBot="1" x14ac:dyDescent="0.35">
      <c r="A1703" s="13" t="s">
        <v>440</v>
      </c>
      <c r="B1703" s="18" t="s">
        <v>19</v>
      </c>
    </row>
    <row r="1704" spans="1:2" ht="39" hidden="1" customHeight="1" thickBot="1" x14ac:dyDescent="0.35">
      <c r="A1704" s="13" t="s">
        <v>441</v>
      </c>
      <c r="B1704" s="18">
        <v>2</v>
      </c>
    </row>
    <row r="1705" spans="1:2" ht="26.25" hidden="1" customHeight="1" thickBot="1" x14ac:dyDescent="0.35">
      <c r="A1705" s="13" t="s">
        <v>442</v>
      </c>
      <c r="B1705" s="18" t="s">
        <v>443</v>
      </c>
    </row>
    <row r="1706" spans="1:2" ht="26.25" hidden="1" customHeight="1" thickBot="1" x14ac:dyDescent="0.35">
      <c r="A1706" s="13" t="s">
        <v>76</v>
      </c>
      <c r="B1706" s="18">
        <v>183</v>
      </c>
    </row>
    <row r="1707" spans="1:2" ht="26.25" hidden="1" customHeight="1" thickBot="1" x14ac:dyDescent="0.35">
      <c r="A1707" s="13" t="s">
        <v>444</v>
      </c>
      <c r="B1707" s="18" t="s">
        <v>445</v>
      </c>
    </row>
    <row r="1708" spans="1:2" ht="26.25" hidden="1" customHeight="1" thickBot="1" x14ac:dyDescent="0.35">
      <c r="A1708" s="13" t="s">
        <v>77</v>
      </c>
      <c r="B1708" s="18">
        <v>2959</v>
      </c>
    </row>
    <row r="1709" spans="1:2" ht="26.25" hidden="1" customHeight="1" thickBot="1" x14ac:dyDescent="0.35">
      <c r="A1709" s="13" t="s">
        <v>446</v>
      </c>
      <c r="B1709" s="18" t="s">
        <v>447</v>
      </c>
    </row>
    <row r="1710" spans="1:2" ht="26.25" hidden="1" customHeight="1" thickBot="1" x14ac:dyDescent="0.35">
      <c r="A1710" s="13" t="s">
        <v>448</v>
      </c>
      <c r="B1710" s="18" t="s">
        <v>449</v>
      </c>
    </row>
    <row r="1711" spans="1:2" ht="39" hidden="1" customHeight="1" thickBot="1" x14ac:dyDescent="0.35">
      <c r="A1711" s="13" t="s">
        <v>450</v>
      </c>
      <c r="B1711" s="18" t="s">
        <v>451</v>
      </c>
    </row>
    <row r="1712" spans="1:2" ht="38.25" hidden="1" customHeight="1" x14ac:dyDescent="0.3">
      <c r="A1712" s="14" t="s">
        <v>452</v>
      </c>
      <c r="B1712" s="19" t="s">
        <v>453</v>
      </c>
    </row>
    <row r="1713" spans="1:4" ht="16.5" hidden="1" customHeight="1" thickBot="1" x14ac:dyDescent="0.35"/>
    <row r="1714" spans="1:4" ht="33" hidden="1" customHeight="1" x14ac:dyDescent="0.3">
      <c r="A1714" s="24" t="s">
        <v>80</v>
      </c>
      <c r="B1714" s="26"/>
    </row>
    <row r="1715" spans="1:4" ht="33.75" hidden="1" customHeight="1" thickBot="1" x14ac:dyDescent="0.35">
      <c r="A1715" s="13" t="s">
        <v>81</v>
      </c>
      <c r="B1715" s="2" t="s">
        <v>82</v>
      </c>
    </row>
    <row r="1716" spans="1:4" ht="66" hidden="1" customHeight="1" x14ac:dyDescent="0.3">
      <c r="A1716" s="14" t="s">
        <v>452</v>
      </c>
      <c r="B1716" s="2" t="s">
        <v>453</v>
      </c>
    </row>
    <row r="1717" spans="1:4" ht="16.5" hidden="1" customHeight="1" thickBot="1" x14ac:dyDescent="0.35"/>
    <row r="1718" spans="1:4" ht="39" hidden="1" customHeight="1" thickBot="1" x14ac:dyDescent="0.35">
      <c r="A1718" s="20" t="s">
        <v>454</v>
      </c>
      <c r="B1718" s="21">
        <v>18257</v>
      </c>
    </row>
    <row r="1719" spans="1:4" ht="39" hidden="1" customHeight="1" thickBot="1" x14ac:dyDescent="0.35">
      <c r="A1719" s="13" t="s">
        <v>455</v>
      </c>
      <c r="B1719" s="2">
        <v>18257</v>
      </c>
    </row>
    <row r="1720" spans="1:4" ht="39" hidden="1" customHeight="1" thickBot="1" x14ac:dyDescent="0.35">
      <c r="A1720" s="13" t="s">
        <v>456</v>
      </c>
      <c r="B1720" s="2">
        <v>8413045</v>
      </c>
    </row>
    <row r="1721" spans="1:4" ht="38.25" hidden="1" customHeight="1" x14ac:dyDescent="0.3">
      <c r="A1721" s="14" t="s">
        <v>457</v>
      </c>
      <c r="B1721" s="2">
        <v>8413045</v>
      </c>
    </row>
    <row r="1722" spans="1:4" ht="16.5" hidden="1" customHeight="1" thickBot="1" x14ac:dyDescent="0.35"/>
    <row r="1723" spans="1:4" ht="16.5" hidden="1" customHeight="1" x14ac:dyDescent="0.3">
      <c r="A1723" s="24" t="s">
        <v>458</v>
      </c>
      <c r="B1723" s="26"/>
      <c r="C1723" s="26"/>
      <c r="D1723" s="26"/>
    </row>
    <row r="1724" spans="1:4" ht="16.5" hidden="1" customHeight="1" x14ac:dyDescent="0.3">
      <c r="A1724" s="6" t="s">
        <v>459</v>
      </c>
      <c r="B1724" s="27" t="s">
        <v>19</v>
      </c>
      <c r="C1724" s="3" t="s">
        <v>93</v>
      </c>
      <c r="D1724" s="3" t="s">
        <v>93</v>
      </c>
    </row>
    <row r="1725" spans="1:4" ht="33" hidden="1" customHeight="1" x14ac:dyDescent="0.3">
      <c r="A1725" s="6" t="s">
        <v>460</v>
      </c>
      <c r="B1725" s="27"/>
      <c r="C1725" s="3" t="s">
        <v>86</v>
      </c>
      <c r="D1725" s="3" t="s">
        <v>461</v>
      </c>
    </row>
    <row r="1726" spans="1:4" ht="17.25" hidden="1" customHeight="1" thickBot="1" x14ac:dyDescent="0.35">
      <c r="A1726" s="6">
        <v>1</v>
      </c>
      <c r="B1726" s="17">
        <v>0</v>
      </c>
      <c r="C1726" s="2">
        <v>17958</v>
      </c>
      <c r="D1726" s="2">
        <v>8314089.2000000002</v>
      </c>
    </row>
    <row r="1727" spans="1:4" ht="16.5" hidden="1" customHeight="1" x14ac:dyDescent="0.3">
      <c r="A1727" s="6">
        <v>2</v>
      </c>
      <c r="B1727" s="22">
        <v>1</v>
      </c>
      <c r="C1727" s="2">
        <v>299</v>
      </c>
      <c r="D1727" s="2">
        <v>98956.3</v>
      </c>
    </row>
    <row r="1728" spans="1:4" ht="16.5" hidden="1" customHeight="1" x14ac:dyDescent="0.3"/>
    <row r="1729" spans="1:5" ht="16.5" hidden="1" customHeight="1" x14ac:dyDescent="0.3">
      <c r="A1729" s="1" t="s">
        <v>513</v>
      </c>
    </row>
    <row r="1730" spans="1:5" ht="16.5" hidden="1" customHeight="1" thickBot="1" x14ac:dyDescent="0.35"/>
    <row r="1731" spans="1:5" ht="16.5" hidden="1" customHeight="1" x14ac:dyDescent="0.3">
      <c r="A1731" s="24" t="s">
        <v>462</v>
      </c>
      <c r="B1731" s="26"/>
      <c r="C1731" s="26"/>
      <c r="D1731" s="26"/>
      <c r="E1731" s="26"/>
    </row>
    <row r="1732" spans="1:5" ht="16.5" hidden="1" customHeight="1" x14ac:dyDescent="0.3">
      <c r="A1732" s="6" t="s">
        <v>463</v>
      </c>
      <c r="B1732" s="3" t="s">
        <v>460</v>
      </c>
      <c r="C1732" s="27" t="s">
        <v>464</v>
      </c>
      <c r="D1732" s="27"/>
      <c r="E1732" s="27"/>
    </row>
    <row r="1733" spans="1:5" ht="17.25" hidden="1" customHeight="1" thickBot="1" x14ac:dyDescent="0.35">
      <c r="A1733" s="13" t="s">
        <v>28</v>
      </c>
      <c r="B1733" s="12">
        <v>1</v>
      </c>
      <c r="C1733" s="2">
        <v>0</v>
      </c>
      <c r="D1733" s="2">
        <v>0</v>
      </c>
      <c r="E1733" s="2">
        <v>0</v>
      </c>
    </row>
    <row r="1734" spans="1:5" ht="17.25" hidden="1" customHeight="1" thickBot="1" x14ac:dyDescent="0.35">
      <c r="A1734" s="13"/>
      <c r="B1734" s="12">
        <v>2</v>
      </c>
      <c r="C1734" s="2">
        <v>1</v>
      </c>
      <c r="D1734" s="2">
        <v>0</v>
      </c>
      <c r="E1734" s="2">
        <v>0</v>
      </c>
    </row>
    <row r="1735" spans="1:5" ht="17.25" hidden="1" customHeight="1" thickBot="1" x14ac:dyDescent="0.35">
      <c r="A1735" s="13"/>
      <c r="B1735" s="12">
        <v>3</v>
      </c>
      <c r="C1735" s="2">
        <v>0</v>
      </c>
      <c r="D1735" s="2">
        <v>1</v>
      </c>
      <c r="E1735" s="2">
        <v>0</v>
      </c>
    </row>
    <row r="1736" spans="1:5" ht="16.5" hidden="1" customHeight="1" x14ac:dyDescent="0.3">
      <c r="A1736" s="14"/>
      <c r="B1736" s="15">
        <v>4</v>
      </c>
      <c r="C1736" s="2">
        <v>0</v>
      </c>
      <c r="D1736" s="2">
        <v>0</v>
      </c>
      <c r="E1736" s="2">
        <v>1</v>
      </c>
    </row>
    <row r="1737" spans="1:5" ht="16.5" hidden="1" customHeight="1" thickBot="1" x14ac:dyDescent="0.35"/>
    <row r="1738" spans="1:5" ht="66" hidden="1" customHeight="1" x14ac:dyDescent="0.3">
      <c r="A1738" s="4" t="s">
        <v>465</v>
      </c>
    </row>
    <row r="1739" spans="1:5" ht="99" hidden="1" customHeight="1" x14ac:dyDescent="0.3">
      <c r="A1739" s="23" t="s">
        <v>466</v>
      </c>
    </row>
    <row r="1740" spans="1:5" ht="16.5" hidden="1" customHeight="1" thickBot="1" x14ac:dyDescent="0.35"/>
    <row r="1741" spans="1:5" ht="16.5" hidden="1" customHeight="1" x14ac:dyDescent="0.3">
      <c r="A1741" s="24" t="s">
        <v>467</v>
      </c>
      <c r="B1741" s="26"/>
      <c r="C1741" s="26"/>
    </row>
    <row r="1742" spans="1:5" ht="66" hidden="1" customHeight="1" x14ac:dyDescent="0.3">
      <c r="A1742" s="6" t="s">
        <v>468</v>
      </c>
      <c r="B1742" s="3" t="s">
        <v>469</v>
      </c>
      <c r="C1742" s="3" t="s">
        <v>470</v>
      </c>
    </row>
    <row r="1743" spans="1:5" ht="17.25" hidden="1" customHeight="1" thickBot="1" x14ac:dyDescent="0.35">
      <c r="A1743" s="13" t="s">
        <v>471</v>
      </c>
      <c r="B1743" s="2">
        <v>1076043.8999999999</v>
      </c>
      <c r="C1743" s="2">
        <v>1055071.2</v>
      </c>
    </row>
    <row r="1744" spans="1:5" ht="17.25" hidden="1" customHeight="1" thickBot="1" x14ac:dyDescent="0.35">
      <c r="A1744" s="13" t="s">
        <v>472</v>
      </c>
      <c r="B1744" s="2">
        <v>1076057.8999999999</v>
      </c>
      <c r="C1744" s="2">
        <v>1055127</v>
      </c>
    </row>
    <row r="1745" spans="1:6" ht="16.5" hidden="1" customHeight="1" x14ac:dyDescent="0.3">
      <c r="A1745" s="14" t="s">
        <v>473</v>
      </c>
      <c r="B1745" s="2" t="s">
        <v>642</v>
      </c>
      <c r="C1745" s="2">
        <v>1055063.2</v>
      </c>
    </row>
    <row r="1746" spans="1:6" ht="16.5" hidden="1" customHeight="1" thickBot="1" x14ac:dyDescent="0.35"/>
    <row r="1747" spans="1:6" ht="16.5" hidden="1" customHeight="1" x14ac:dyDescent="0.3">
      <c r="A1747" s="24" t="s">
        <v>474</v>
      </c>
      <c r="B1747" s="26"/>
      <c r="C1747" s="26"/>
      <c r="D1747" s="26"/>
      <c r="E1747" s="26"/>
    </row>
    <row r="1748" spans="1:6" ht="16.5" hidden="1" customHeight="1" x14ac:dyDescent="0.3">
      <c r="A1748" s="6" t="s">
        <v>475</v>
      </c>
      <c r="B1748" s="3" t="s">
        <v>476</v>
      </c>
      <c r="C1748" s="3" t="s">
        <v>477</v>
      </c>
      <c r="D1748" s="3" t="s">
        <v>478</v>
      </c>
      <c r="E1748" s="3" t="s">
        <v>479</v>
      </c>
    </row>
    <row r="1749" spans="1:6" ht="33" hidden="1" customHeight="1" x14ac:dyDescent="0.3">
      <c r="A1749" s="25" t="s">
        <v>572</v>
      </c>
      <c r="B1749" s="27"/>
      <c r="C1749" s="27"/>
      <c r="D1749" s="27"/>
      <c r="E1749" s="27"/>
    </row>
    <row r="1750" spans="1:6" ht="26.25" hidden="1" customHeight="1" thickBot="1" x14ac:dyDescent="0.35">
      <c r="A1750" s="13" t="s">
        <v>481</v>
      </c>
      <c r="B1750" s="2">
        <v>14.9</v>
      </c>
      <c r="C1750" s="2">
        <v>2.9967999999999999</v>
      </c>
      <c r="D1750" s="2">
        <v>8318.98</v>
      </c>
      <c r="E1750" s="2" t="s">
        <v>482</v>
      </c>
    </row>
    <row r="1751" spans="1:6" ht="17.25" hidden="1" customHeight="1" thickBot="1" x14ac:dyDescent="0.35">
      <c r="A1751" s="13" t="s">
        <v>483</v>
      </c>
      <c r="B1751" s="2">
        <v>30.37</v>
      </c>
      <c r="C1751" s="2">
        <v>3</v>
      </c>
      <c r="D1751" s="2">
        <v>2774</v>
      </c>
      <c r="E1751" s="2" t="s">
        <v>482</v>
      </c>
    </row>
    <row r="1752" spans="1:6" ht="16.5" hidden="1" customHeight="1" x14ac:dyDescent="0.3">
      <c r="A1752" s="14" t="s">
        <v>484</v>
      </c>
      <c r="B1752" s="2">
        <v>11.73</v>
      </c>
      <c r="C1752" s="2">
        <v>3</v>
      </c>
      <c r="D1752" s="2">
        <v>2774</v>
      </c>
      <c r="E1752" s="2" t="s">
        <v>482</v>
      </c>
    </row>
    <row r="1753" spans="1:6" ht="16.5" hidden="1" customHeight="1" thickBot="1" x14ac:dyDescent="0.35"/>
    <row r="1754" spans="1:6" ht="16.5" hidden="1" customHeight="1" x14ac:dyDescent="0.3">
      <c r="A1754" s="24" t="s">
        <v>485</v>
      </c>
      <c r="B1754" s="26"/>
      <c r="C1754" s="26"/>
      <c r="D1754" s="26"/>
      <c r="E1754" s="26"/>
    </row>
    <row r="1755" spans="1:6" ht="16.5" hidden="1" customHeight="1" x14ac:dyDescent="0.3">
      <c r="A1755" s="6" t="s">
        <v>486</v>
      </c>
      <c r="B1755" s="3" t="s">
        <v>476</v>
      </c>
      <c r="C1755" s="3" t="s">
        <v>477</v>
      </c>
      <c r="D1755" s="3" t="s">
        <v>478</v>
      </c>
      <c r="E1755" s="3" t="s">
        <v>479</v>
      </c>
    </row>
    <row r="1756" spans="1:6" ht="16.5" hidden="1" customHeight="1" x14ac:dyDescent="0.3">
      <c r="A1756" s="14" t="s">
        <v>28</v>
      </c>
      <c r="B1756" s="2">
        <v>11.73</v>
      </c>
      <c r="C1756" s="2">
        <v>3</v>
      </c>
      <c r="D1756" s="2">
        <v>2774</v>
      </c>
      <c r="E1756" s="2" t="s">
        <v>482</v>
      </c>
    </row>
    <row r="1757" spans="1:6" ht="16.5" hidden="1" customHeight="1" thickBot="1" x14ac:dyDescent="0.35"/>
    <row r="1758" spans="1:6" ht="16.5" hidden="1" customHeight="1" x14ac:dyDescent="0.3">
      <c r="A1758" s="24" t="s">
        <v>487</v>
      </c>
      <c r="B1758" s="26"/>
      <c r="C1758" s="26"/>
      <c r="D1758" s="26"/>
      <c r="E1758" s="26"/>
      <c r="F1758" s="26"/>
    </row>
    <row r="1759" spans="1:6" ht="16.5" hidden="1" customHeight="1" x14ac:dyDescent="0.3">
      <c r="A1759" s="25" t="s">
        <v>488</v>
      </c>
      <c r="B1759" s="27"/>
      <c r="C1759" s="27" t="s">
        <v>489</v>
      </c>
      <c r="D1759" s="3" t="s">
        <v>490</v>
      </c>
      <c r="E1759" s="27" t="s">
        <v>492</v>
      </c>
      <c r="F1759" s="27" t="s">
        <v>493</v>
      </c>
    </row>
    <row r="1760" spans="1:6" ht="16.5" hidden="1" customHeight="1" x14ac:dyDescent="0.3">
      <c r="A1760" s="25"/>
      <c r="B1760" s="27"/>
      <c r="C1760" s="27"/>
      <c r="D1760" s="3" t="s">
        <v>491</v>
      </c>
      <c r="E1760" s="27"/>
      <c r="F1760" s="27"/>
    </row>
    <row r="1761" spans="1:9" ht="16.5" hidden="1" customHeight="1" x14ac:dyDescent="0.3">
      <c r="A1761" s="25" t="s">
        <v>585</v>
      </c>
      <c r="B1761" s="27"/>
      <c r="C1761" s="27"/>
      <c r="D1761" s="27"/>
      <c r="E1761" s="27"/>
      <c r="F1761" s="27"/>
    </row>
    <row r="1762" spans="1:9" ht="17.25" hidden="1" customHeight="1" thickBot="1" x14ac:dyDescent="0.35">
      <c r="A1762" s="13" t="s">
        <v>495</v>
      </c>
      <c r="B1762" s="12"/>
      <c r="C1762" s="16">
        <v>-5.5960999999999999</v>
      </c>
      <c r="D1762" s="2">
        <v>0.2349</v>
      </c>
      <c r="E1762" s="16">
        <v>-23.83</v>
      </c>
      <c r="F1762" s="2" t="s">
        <v>482</v>
      </c>
    </row>
    <row r="1763" spans="1:9" ht="17.25" hidden="1" customHeight="1" thickBot="1" x14ac:dyDescent="0.35">
      <c r="A1763" s="13" t="s">
        <v>28</v>
      </c>
      <c r="B1763" s="12">
        <v>2</v>
      </c>
      <c r="C1763" s="2">
        <v>1.1431</v>
      </c>
      <c r="D1763" s="2">
        <v>0.28029999999999999</v>
      </c>
      <c r="E1763" s="2">
        <v>4.08</v>
      </c>
      <c r="F1763" s="2" t="s">
        <v>482</v>
      </c>
    </row>
    <row r="1764" spans="1:9" ht="17.25" hidden="1" customHeight="1" thickBot="1" x14ac:dyDescent="0.35">
      <c r="A1764" s="13" t="s">
        <v>28</v>
      </c>
      <c r="B1764" s="12">
        <v>3</v>
      </c>
      <c r="C1764" s="2">
        <v>1.5005999999999999</v>
      </c>
      <c r="D1764" s="2">
        <v>0.26319999999999999</v>
      </c>
      <c r="E1764" s="2">
        <v>5.7</v>
      </c>
      <c r="F1764" s="2" t="s">
        <v>482</v>
      </c>
    </row>
    <row r="1765" spans="1:9" ht="16.5" hidden="1" customHeight="1" x14ac:dyDescent="0.3">
      <c r="A1765" s="14" t="s">
        <v>28</v>
      </c>
      <c r="B1765" s="15">
        <v>4</v>
      </c>
      <c r="C1765" s="2">
        <v>1.4181999999999999</v>
      </c>
      <c r="D1765" s="2">
        <v>0.2646</v>
      </c>
      <c r="E1765" s="2">
        <v>5.36</v>
      </c>
      <c r="F1765" s="2" t="s">
        <v>482</v>
      </c>
    </row>
    <row r="1766" spans="1:9" ht="16.5" hidden="1" customHeight="1" thickBot="1" x14ac:dyDescent="0.35"/>
    <row r="1767" spans="1:9" ht="16.5" hidden="1" customHeight="1" x14ac:dyDescent="0.3">
      <c r="A1767" s="24" t="s">
        <v>496</v>
      </c>
      <c r="B1767" s="26"/>
      <c r="C1767" s="26"/>
      <c r="D1767" s="26"/>
    </row>
    <row r="1768" spans="1:9" ht="33" hidden="1" customHeight="1" x14ac:dyDescent="0.3">
      <c r="A1768" s="6" t="s">
        <v>486</v>
      </c>
      <c r="B1768" s="3" t="s">
        <v>497</v>
      </c>
      <c r="C1768" s="27" t="s">
        <v>91</v>
      </c>
      <c r="D1768" s="27"/>
    </row>
    <row r="1769" spans="1:9" ht="49.5" hidden="1" customHeight="1" x14ac:dyDescent="0.3">
      <c r="A1769" s="25" t="s">
        <v>586</v>
      </c>
      <c r="B1769" s="27"/>
      <c r="C1769" s="27"/>
      <c r="D1769" s="27"/>
    </row>
    <row r="1770" spans="1:9" ht="26.25" thickBot="1" x14ac:dyDescent="0.35">
      <c r="A1770" s="13" t="s">
        <v>525</v>
      </c>
      <c r="B1770" s="2">
        <v>3.1360000000000001</v>
      </c>
      <c r="C1770" s="2">
        <v>1.81</v>
      </c>
      <c r="D1770" s="2">
        <v>5.4340000000000002</v>
      </c>
      <c r="H1770" s="8" t="str">
        <f t="shared" ref="H1770:H1772" si="40">TEXT(B1770,"0.00")&amp;" ("&amp;TEXT(C1770,"0.00")&amp;" to "&amp;TEXT(D1770,"0.00")&amp;")"</f>
        <v>3.14 (1.81 to 5.43)</v>
      </c>
      <c r="I1770" t="str">
        <f>F1763</f>
        <v>&lt;.0001</v>
      </c>
    </row>
    <row r="1771" spans="1:9" ht="26.25" thickBot="1" x14ac:dyDescent="0.35">
      <c r="A1771" s="13" t="s">
        <v>526</v>
      </c>
      <c r="B1771" s="2">
        <v>4.484</v>
      </c>
      <c r="C1771" s="2">
        <v>2.677</v>
      </c>
      <c r="D1771" s="2">
        <v>7.5129999999999999</v>
      </c>
      <c r="H1771" s="8" t="str">
        <f t="shared" si="40"/>
        <v>4.48 (2.68 to 7.51)</v>
      </c>
      <c r="I1771" t="str">
        <f t="shared" ref="I1771:I1772" si="41">F1764</f>
        <v>&lt;.0001</v>
      </c>
    </row>
    <row r="1772" spans="1:9" ht="25.5" x14ac:dyDescent="0.3">
      <c r="A1772" s="14" t="s">
        <v>527</v>
      </c>
      <c r="B1772" s="2">
        <v>4.13</v>
      </c>
      <c r="C1772" s="2">
        <v>2.4580000000000002</v>
      </c>
      <c r="D1772" s="2">
        <v>6.9390000000000001</v>
      </c>
      <c r="H1772" s="8" t="str">
        <f t="shared" si="40"/>
        <v>4.13 (2.46 to 6.94)</v>
      </c>
      <c r="I1772" t="str">
        <f t="shared" si="41"/>
        <v>&lt;.0001</v>
      </c>
    </row>
    <row r="1773" spans="1:9" ht="16.5" hidden="1" customHeight="1" thickBot="1" x14ac:dyDescent="0.35"/>
    <row r="1774" spans="1:9" ht="33" hidden="1" customHeight="1" x14ac:dyDescent="0.3">
      <c r="A1774" s="24" t="s">
        <v>502</v>
      </c>
      <c r="B1774" s="26"/>
      <c r="C1774" s="26"/>
      <c r="D1774" s="26"/>
    </row>
    <row r="1775" spans="1:9" ht="39" hidden="1" customHeight="1" thickBot="1" x14ac:dyDescent="0.35">
      <c r="A1775" s="13" t="s">
        <v>503</v>
      </c>
      <c r="B1775" s="2">
        <v>48.5</v>
      </c>
      <c r="C1775" s="12" t="s">
        <v>504</v>
      </c>
      <c r="D1775" s="2">
        <v>0.223</v>
      </c>
    </row>
    <row r="1776" spans="1:9" ht="26.25" hidden="1" customHeight="1" thickBot="1" x14ac:dyDescent="0.35">
      <c r="A1776" s="13" t="s">
        <v>505</v>
      </c>
      <c r="B1776" s="2">
        <v>26.2</v>
      </c>
      <c r="C1776" s="12" t="s">
        <v>506</v>
      </c>
      <c r="D1776" s="2">
        <v>0.29799999999999999</v>
      </c>
    </row>
    <row r="1777" spans="1:4" ht="26.25" hidden="1" customHeight="1" thickBot="1" x14ac:dyDescent="0.35">
      <c r="A1777" s="13" t="s">
        <v>507</v>
      </c>
      <c r="B1777" s="2">
        <v>25.3</v>
      </c>
      <c r="C1777" s="12" t="s">
        <v>508</v>
      </c>
      <c r="D1777" s="2">
        <v>7.0000000000000001E-3</v>
      </c>
    </row>
    <row r="1778" spans="1:4" ht="16.5" hidden="1" customHeight="1" x14ac:dyDescent="0.3">
      <c r="A1778" s="14" t="s">
        <v>509</v>
      </c>
      <c r="B1778" s="2">
        <v>5369442</v>
      </c>
      <c r="C1778" s="15" t="s">
        <v>510</v>
      </c>
      <c r="D1778" s="2">
        <v>0.61199999999999999</v>
      </c>
    </row>
    <row r="1779" spans="1:4" ht="16.5" hidden="1" customHeight="1" x14ac:dyDescent="0.3"/>
    <row r="1780" spans="1:4" ht="16.5" hidden="1" customHeight="1" x14ac:dyDescent="0.3"/>
    <row r="1781" spans="1:4" ht="16.5" hidden="1" customHeight="1" x14ac:dyDescent="0.3"/>
    <row r="1782" spans="1:4" ht="16.5" hidden="1" customHeight="1" x14ac:dyDescent="0.3">
      <c r="A1782" s="1" t="s">
        <v>436</v>
      </c>
    </row>
    <row r="1783" spans="1:4" ht="16.5" hidden="1" customHeight="1" x14ac:dyDescent="0.3"/>
    <row r="1784" spans="1:4" ht="16.5" hidden="1" customHeight="1" x14ac:dyDescent="0.3">
      <c r="A1784" s="1" t="s">
        <v>419</v>
      </c>
    </row>
    <row r="1785" spans="1:4" ht="16.5" hidden="1" customHeight="1" thickBot="1" x14ac:dyDescent="0.35"/>
    <row r="1786" spans="1:4" ht="16.5" hidden="1" customHeight="1" x14ac:dyDescent="0.3">
      <c r="A1786" s="24" t="s">
        <v>437</v>
      </c>
      <c r="B1786" s="26"/>
    </row>
    <row r="1787" spans="1:4" ht="26.25" hidden="1" customHeight="1" thickBot="1" x14ac:dyDescent="0.35">
      <c r="A1787" s="13" t="s">
        <v>438</v>
      </c>
      <c r="B1787" s="18" t="s">
        <v>439</v>
      </c>
    </row>
    <row r="1788" spans="1:4" ht="26.25" hidden="1" customHeight="1" thickBot="1" x14ac:dyDescent="0.35">
      <c r="A1788" s="13" t="s">
        <v>440</v>
      </c>
      <c r="B1788" s="18" t="s">
        <v>19</v>
      </c>
    </row>
    <row r="1789" spans="1:4" ht="39" hidden="1" customHeight="1" thickBot="1" x14ac:dyDescent="0.35">
      <c r="A1789" s="13" t="s">
        <v>441</v>
      </c>
      <c r="B1789" s="18">
        <v>2</v>
      </c>
    </row>
    <row r="1790" spans="1:4" ht="26.25" hidden="1" customHeight="1" thickBot="1" x14ac:dyDescent="0.35">
      <c r="A1790" s="13" t="s">
        <v>442</v>
      </c>
      <c r="B1790" s="18" t="s">
        <v>443</v>
      </c>
    </row>
    <row r="1791" spans="1:4" ht="26.25" hidden="1" customHeight="1" thickBot="1" x14ac:dyDescent="0.35">
      <c r="A1791" s="13" t="s">
        <v>76</v>
      </c>
      <c r="B1791" s="18">
        <v>183</v>
      </c>
    </row>
    <row r="1792" spans="1:4" ht="26.25" hidden="1" customHeight="1" thickBot="1" x14ac:dyDescent="0.35">
      <c r="A1792" s="13" t="s">
        <v>444</v>
      </c>
      <c r="B1792" s="18" t="s">
        <v>445</v>
      </c>
    </row>
    <row r="1793" spans="1:4" ht="26.25" hidden="1" customHeight="1" thickBot="1" x14ac:dyDescent="0.35">
      <c r="A1793" s="13" t="s">
        <v>77</v>
      </c>
      <c r="B1793" s="18">
        <v>2981</v>
      </c>
    </row>
    <row r="1794" spans="1:4" ht="26.25" hidden="1" customHeight="1" thickBot="1" x14ac:dyDescent="0.35">
      <c r="A1794" s="13" t="s">
        <v>446</v>
      </c>
      <c r="B1794" s="18" t="s">
        <v>447</v>
      </c>
    </row>
    <row r="1795" spans="1:4" ht="26.25" hidden="1" customHeight="1" thickBot="1" x14ac:dyDescent="0.35">
      <c r="A1795" s="13" t="s">
        <v>448</v>
      </c>
      <c r="B1795" s="18" t="s">
        <v>449</v>
      </c>
    </row>
    <row r="1796" spans="1:4" ht="39" hidden="1" customHeight="1" thickBot="1" x14ac:dyDescent="0.35">
      <c r="A1796" s="13" t="s">
        <v>450</v>
      </c>
      <c r="B1796" s="18" t="s">
        <v>451</v>
      </c>
    </row>
    <row r="1797" spans="1:4" ht="38.25" hidden="1" customHeight="1" x14ac:dyDescent="0.3">
      <c r="A1797" s="14" t="s">
        <v>452</v>
      </c>
      <c r="B1797" s="19" t="s">
        <v>453</v>
      </c>
    </row>
    <row r="1798" spans="1:4" ht="16.5" hidden="1" customHeight="1" thickBot="1" x14ac:dyDescent="0.35"/>
    <row r="1799" spans="1:4" ht="33" hidden="1" customHeight="1" x14ac:dyDescent="0.3">
      <c r="A1799" s="24" t="s">
        <v>80</v>
      </c>
      <c r="B1799" s="26"/>
    </row>
    <row r="1800" spans="1:4" ht="33.75" hidden="1" customHeight="1" thickBot="1" x14ac:dyDescent="0.35">
      <c r="A1800" s="13" t="s">
        <v>81</v>
      </c>
      <c r="B1800" s="2" t="s">
        <v>82</v>
      </c>
    </row>
    <row r="1801" spans="1:4" ht="66" hidden="1" customHeight="1" x14ac:dyDescent="0.3">
      <c r="A1801" s="14" t="s">
        <v>452</v>
      </c>
      <c r="B1801" s="2" t="s">
        <v>453</v>
      </c>
    </row>
    <row r="1802" spans="1:4" ht="16.5" hidden="1" customHeight="1" thickBot="1" x14ac:dyDescent="0.35"/>
    <row r="1803" spans="1:4" ht="39" hidden="1" customHeight="1" thickBot="1" x14ac:dyDescent="0.35">
      <c r="A1803" s="20" t="s">
        <v>454</v>
      </c>
      <c r="B1803" s="21">
        <v>39551</v>
      </c>
    </row>
    <row r="1804" spans="1:4" ht="39" hidden="1" customHeight="1" thickBot="1" x14ac:dyDescent="0.35">
      <c r="A1804" s="13" t="s">
        <v>455</v>
      </c>
      <c r="B1804" s="2">
        <v>39551</v>
      </c>
    </row>
    <row r="1805" spans="1:4" ht="39" hidden="1" customHeight="1" thickBot="1" x14ac:dyDescent="0.35">
      <c r="A1805" s="13" t="s">
        <v>456</v>
      </c>
      <c r="B1805" s="2">
        <v>17621468</v>
      </c>
    </row>
    <row r="1806" spans="1:4" ht="38.25" hidden="1" customHeight="1" x14ac:dyDescent="0.3">
      <c r="A1806" s="14" t="s">
        <v>457</v>
      </c>
      <c r="B1806" s="2">
        <v>17621468</v>
      </c>
    </row>
    <row r="1807" spans="1:4" ht="16.5" hidden="1" customHeight="1" thickBot="1" x14ac:dyDescent="0.35"/>
    <row r="1808" spans="1:4" ht="16.5" hidden="1" customHeight="1" x14ac:dyDescent="0.3">
      <c r="A1808" s="24" t="s">
        <v>458</v>
      </c>
      <c r="B1808" s="26"/>
      <c r="C1808" s="26"/>
      <c r="D1808" s="26"/>
    </row>
    <row r="1809" spans="1:5" ht="16.5" hidden="1" customHeight="1" x14ac:dyDescent="0.3">
      <c r="A1809" s="6" t="s">
        <v>459</v>
      </c>
      <c r="B1809" s="27" t="s">
        <v>19</v>
      </c>
      <c r="C1809" s="3" t="s">
        <v>93</v>
      </c>
      <c r="D1809" s="3" t="s">
        <v>93</v>
      </c>
    </row>
    <row r="1810" spans="1:5" ht="33" hidden="1" customHeight="1" x14ac:dyDescent="0.3">
      <c r="A1810" s="6" t="s">
        <v>460</v>
      </c>
      <c r="B1810" s="27"/>
      <c r="C1810" s="3" t="s">
        <v>86</v>
      </c>
      <c r="D1810" s="3" t="s">
        <v>461</v>
      </c>
    </row>
    <row r="1811" spans="1:5" ht="17.25" hidden="1" customHeight="1" thickBot="1" x14ac:dyDescent="0.35">
      <c r="A1811" s="6">
        <v>1</v>
      </c>
      <c r="B1811" s="17">
        <v>0</v>
      </c>
      <c r="C1811" s="2">
        <v>38904</v>
      </c>
      <c r="D1811" s="2">
        <v>17419510</v>
      </c>
    </row>
    <row r="1812" spans="1:5" ht="16.5" hidden="1" customHeight="1" x14ac:dyDescent="0.3">
      <c r="A1812" s="6">
        <v>2</v>
      </c>
      <c r="B1812" s="22">
        <v>1</v>
      </c>
      <c r="C1812" s="2">
        <v>647</v>
      </c>
      <c r="D1812" s="2">
        <v>201958</v>
      </c>
    </row>
    <row r="1813" spans="1:5" ht="16.5" hidden="1" customHeight="1" x14ac:dyDescent="0.3"/>
    <row r="1814" spans="1:5" ht="16.5" hidden="1" customHeight="1" x14ac:dyDescent="0.3">
      <c r="A1814" s="1" t="s">
        <v>513</v>
      </c>
    </row>
    <row r="1815" spans="1:5" ht="16.5" hidden="1" customHeight="1" thickBot="1" x14ac:dyDescent="0.35"/>
    <row r="1816" spans="1:5" ht="16.5" hidden="1" customHeight="1" x14ac:dyDescent="0.3">
      <c r="A1816" s="24" t="s">
        <v>462</v>
      </c>
      <c r="B1816" s="26"/>
      <c r="C1816" s="26"/>
      <c r="D1816" s="26"/>
      <c r="E1816" s="26"/>
    </row>
    <row r="1817" spans="1:5" ht="16.5" hidden="1" customHeight="1" x14ac:dyDescent="0.3">
      <c r="A1817" s="6" t="s">
        <v>463</v>
      </c>
      <c r="B1817" s="3" t="s">
        <v>460</v>
      </c>
      <c r="C1817" s="27" t="s">
        <v>464</v>
      </c>
      <c r="D1817" s="27"/>
      <c r="E1817" s="27"/>
    </row>
    <row r="1818" spans="1:5" ht="17.25" hidden="1" customHeight="1" thickBot="1" x14ac:dyDescent="0.35">
      <c r="A1818" s="13" t="s">
        <v>28</v>
      </c>
      <c r="B1818" s="12">
        <v>1</v>
      </c>
      <c r="C1818" s="2">
        <v>0</v>
      </c>
      <c r="D1818" s="2">
        <v>0</v>
      </c>
      <c r="E1818" s="2">
        <v>0</v>
      </c>
    </row>
    <row r="1819" spans="1:5" ht="17.25" hidden="1" customHeight="1" thickBot="1" x14ac:dyDescent="0.35">
      <c r="A1819" s="13"/>
      <c r="B1819" s="12">
        <v>2</v>
      </c>
      <c r="C1819" s="2">
        <v>1</v>
      </c>
      <c r="D1819" s="2">
        <v>0</v>
      </c>
      <c r="E1819" s="2">
        <v>0</v>
      </c>
    </row>
    <row r="1820" spans="1:5" ht="17.25" hidden="1" customHeight="1" thickBot="1" x14ac:dyDescent="0.35">
      <c r="A1820" s="13"/>
      <c r="B1820" s="12">
        <v>3</v>
      </c>
      <c r="C1820" s="2">
        <v>0</v>
      </c>
      <c r="D1820" s="2">
        <v>1</v>
      </c>
      <c r="E1820" s="2">
        <v>0</v>
      </c>
    </row>
    <row r="1821" spans="1:5" ht="16.5" hidden="1" customHeight="1" x14ac:dyDescent="0.3">
      <c r="A1821" s="14"/>
      <c r="B1821" s="15">
        <v>4</v>
      </c>
      <c r="C1821" s="2">
        <v>0</v>
      </c>
      <c r="D1821" s="2">
        <v>0</v>
      </c>
      <c r="E1821" s="2">
        <v>1</v>
      </c>
    </row>
    <row r="1822" spans="1:5" ht="16.5" hidden="1" customHeight="1" thickBot="1" x14ac:dyDescent="0.35"/>
    <row r="1823" spans="1:5" ht="66" hidden="1" customHeight="1" x14ac:dyDescent="0.3">
      <c r="A1823" s="4" t="s">
        <v>465</v>
      </c>
    </row>
    <row r="1824" spans="1:5" ht="99" hidden="1" customHeight="1" x14ac:dyDescent="0.3">
      <c r="A1824" s="23" t="s">
        <v>466</v>
      </c>
    </row>
    <row r="1825" spans="1:5" ht="16.5" hidden="1" customHeight="1" thickBot="1" x14ac:dyDescent="0.35"/>
    <row r="1826" spans="1:5" ht="16.5" hidden="1" customHeight="1" x14ac:dyDescent="0.3">
      <c r="A1826" s="24" t="s">
        <v>467</v>
      </c>
      <c r="B1826" s="26"/>
      <c r="C1826" s="26"/>
    </row>
    <row r="1827" spans="1:5" ht="66" hidden="1" customHeight="1" x14ac:dyDescent="0.3">
      <c r="A1827" s="6" t="s">
        <v>468</v>
      </c>
      <c r="B1827" s="3" t="s">
        <v>469</v>
      </c>
      <c r="C1827" s="3" t="s">
        <v>470</v>
      </c>
    </row>
    <row r="1828" spans="1:5" ht="17.25" hidden="1" customHeight="1" thickBot="1" x14ac:dyDescent="0.35">
      <c r="A1828" s="13" t="s">
        <v>471</v>
      </c>
      <c r="B1828" s="2">
        <v>2206623</v>
      </c>
      <c r="C1828" s="2">
        <v>2175032</v>
      </c>
    </row>
    <row r="1829" spans="1:5" ht="17.25" hidden="1" customHeight="1" thickBot="1" x14ac:dyDescent="0.35">
      <c r="A1829" s="13" t="s">
        <v>472</v>
      </c>
      <c r="B1829" s="2">
        <v>2206637.7000000002</v>
      </c>
      <c r="C1829" s="2">
        <v>2175090.7000000002</v>
      </c>
    </row>
    <row r="1830" spans="1:5" ht="16.5" hidden="1" customHeight="1" x14ac:dyDescent="0.3">
      <c r="A1830" s="14" t="s">
        <v>473</v>
      </c>
      <c r="B1830" s="2" t="s">
        <v>643</v>
      </c>
      <c r="C1830" s="2">
        <v>2175024</v>
      </c>
    </row>
    <row r="1831" spans="1:5" ht="16.5" hidden="1" customHeight="1" thickBot="1" x14ac:dyDescent="0.35"/>
    <row r="1832" spans="1:5" ht="16.5" hidden="1" customHeight="1" x14ac:dyDescent="0.3">
      <c r="A1832" s="24" t="s">
        <v>474</v>
      </c>
      <c r="B1832" s="26"/>
      <c r="C1832" s="26"/>
      <c r="D1832" s="26"/>
      <c r="E1832" s="26"/>
    </row>
    <row r="1833" spans="1:5" ht="16.5" hidden="1" customHeight="1" x14ac:dyDescent="0.3">
      <c r="A1833" s="6" t="s">
        <v>475</v>
      </c>
      <c r="B1833" s="3" t="s">
        <v>476</v>
      </c>
      <c r="C1833" s="3" t="s">
        <v>477</v>
      </c>
      <c r="D1833" s="3" t="s">
        <v>478</v>
      </c>
      <c r="E1833" s="3" t="s">
        <v>479</v>
      </c>
    </row>
    <row r="1834" spans="1:5" ht="33" hidden="1" customHeight="1" x14ac:dyDescent="0.3">
      <c r="A1834" s="25" t="s">
        <v>599</v>
      </c>
      <c r="B1834" s="27"/>
      <c r="C1834" s="27"/>
      <c r="D1834" s="27"/>
      <c r="E1834" s="27"/>
    </row>
    <row r="1835" spans="1:5" ht="26.25" hidden="1" customHeight="1" thickBot="1" x14ac:dyDescent="0.35">
      <c r="A1835" s="13" t="s">
        <v>481</v>
      </c>
      <c r="B1835" s="2">
        <v>24.09</v>
      </c>
      <c r="C1835" s="2">
        <v>2.9882</v>
      </c>
      <c r="D1835" s="2">
        <v>8361.0300000000007</v>
      </c>
      <c r="E1835" s="2" t="s">
        <v>482</v>
      </c>
    </row>
    <row r="1836" spans="1:5" ht="17.25" hidden="1" customHeight="1" thickBot="1" x14ac:dyDescent="0.35">
      <c r="A1836" s="13" t="s">
        <v>483</v>
      </c>
      <c r="B1836" s="2">
        <v>27.34</v>
      </c>
      <c r="C1836" s="2">
        <v>3</v>
      </c>
      <c r="D1836" s="2">
        <v>2796</v>
      </c>
      <c r="E1836" s="2" t="s">
        <v>482</v>
      </c>
    </row>
    <row r="1837" spans="1:5" ht="16.5" hidden="1" customHeight="1" x14ac:dyDescent="0.3">
      <c r="A1837" s="14" t="s">
        <v>484</v>
      </c>
      <c r="B1837" s="2">
        <v>18.3</v>
      </c>
      <c r="C1837" s="2">
        <v>3</v>
      </c>
      <c r="D1837" s="2">
        <v>2796</v>
      </c>
      <c r="E1837" s="2" t="s">
        <v>482</v>
      </c>
    </row>
    <row r="1838" spans="1:5" ht="16.5" hidden="1" customHeight="1" thickBot="1" x14ac:dyDescent="0.35"/>
    <row r="1839" spans="1:5" ht="16.5" hidden="1" customHeight="1" x14ac:dyDescent="0.3">
      <c r="A1839" s="24" t="s">
        <v>485</v>
      </c>
      <c r="B1839" s="26"/>
      <c r="C1839" s="26"/>
      <c r="D1839" s="26"/>
      <c r="E1839" s="26"/>
    </row>
    <row r="1840" spans="1:5" ht="16.5" hidden="1" customHeight="1" x14ac:dyDescent="0.3">
      <c r="A1840" s="6" t="s">
        <v>486</v>
      </c>
      <c r="B1840" s="3" t="s">
        <v>476</v>
      </c>
      <c r="C1840" s="3" t="s">
        <v>477</v>
      </c>
      <c r="D1840" s="3" t="s">
        <v>478</v>
      </c>
      <c r="E1840" s="3" t="s">
        <v>479</v>
      </c>
    </row>
    <row r="1841" spans="1:9" ht="16.5" hidden="1" customHeight="1" x14ac:dyDescent="0.3">
      <c r="A1841" s="14" t="s">
        <v>28</v>
      </c>
      <c r="B1841" s="2">
        <v>18.3</v>
      </c>
      <c r="C1841" s="2">
        <v>3</v>
      </c>
      <c r="D1841" s="2">
        <v>2796</v>
      </c>
      <c r="E1841" s="2" t="s">
        <v>482</v>
      </c>
    </row>
    <row r="1842" spans="1:9" ht="16.5" hidden="1" customHeight="1" thickBot="1" x14ac:dyDescent="0.35"/>
    <row r="1843" spans="1:9" ht="16.5" hidden="1" customHeight="1" x14ac:dyDescent="0.3">
      <c r="A1843" s="24" t="s">
        <v>487</v>
      </c>
      <c r="B1843" s="26"/>
      <c r="C1843" s="26"/>
      <c r="D1843" s="26"/>
      <c r="E1843" s="26"/>
      <c r="F1843" s="26"/>
    </row>
    <row r="1844" spans="1:9" ht="16.5" hidden="1" customHeight="1" x14ac:dyDescent="0.3">
      <c r="A1844" s="25" t="s">
        <v>488</v>
      </c>
      <c r="B1844" s="27"/>
      <c r="C1844" s="27" t="s">
        <v>489</v>
      </c>
      <c r="D1844" s="3" t="s">
        <v>490</v>
      </c>
      <c r="E1844" s="27" t="s">
        <v>492</v>
      </c>
      <c r="F1844" s="27" t="s">
        <v>493</v>
      </c>
    </row>
    <row r="1845" spans="1:9" ht="16.5" hidden="1" customHeight="1" x14ac:dyDescent="0.3">
      <c r="A1845" s="25"/>
      <c r="B1845" s="27"/>
      <c r="C1845" s="27"/>
      <c r="D1845" s="3" t="s">
        <v>491</v>
      </c>
      <c r="E1845" s="27"/>
      <c r="F1845" s="27"/>
    </row>
    <row r="1846" spans="1:9" ht="16.5" hidden="1" customHeight="1" x14ac:dyDescent="0.3">
      <c r="A1846" s="25" t="s">
        <v>535</v>
      </c>
      <c r="B1846" s="27"/>
      <c r="C1846" s="27"/>
      <c r="D1846" s="27"/>
      <c r="E1846" s="27"/>
      <c r="F1846" s="27"/>
    </row>
    <row r="1847" spans="1:9" ht="17.25" hidden="1" customHeight="1" thickBot="1" x14ac:dyDescent="0.35">
      <c r="A1847" s="13" t="s">
        <v>495</v>
      </c>
      <c r="B1847" s="12"/>
      <c r="C1847" s="16">
        <v>-5.2332999999999998</v>
      </c>
      <c r="D1847" s="2">
        <v>0.15029999999999999</v>
      </c>
      <c r="E1847" s="16">
        <v>-34.81</v>
      </c>
      <c r="F1847" s="2" t="s">
        <v>482</v>
      </c>
    </row>
    <row r="1848" spans="1:9" ht="17.25" hidden="1" customHeight="1" thickBot="1" x14ac:dyDescent="0.35">
      <c r="A1848" s="13" t="s">
        <v>28</v>
      </c>
      <c r="B1848" s="12">
        <v>2</v>
      </c>
      <c r="C1848" s="2">
        <v>0.56559999999999999</v>
      </c>
      <c r="D1848" s="2">
        <v>0.17760000000000001</v>
      </c>
      <c r="E1848" s="2">
        <v>3.18</v>
      </c>
      <c r="F1848" s="2">
        <v>1.5E-3</v>
      </c>
    </row>
    <row r="1849" spans="1:9" ht="17.25" hidden="1" customHeight="1" thickBot="1" x14ac:dyDescent="0.35">
      <c r="A1849" s="13" t="s">
        <v>28</v>
      </c>
      <c r="B1849" s="12">
        <v>3</v>
      </c>
      <c r="C1849" s="2">
        <v>0.98350000000000004</v>
      </c>
      <c r="D1849" s="2">
        <v>0.17430000000000001</v>
      </c>
      <c r="E1849" s="2">
        <v>5.64</v>
      </c>
      <c r="F1849" s="2" t="s">
        <v>482</v>
      </c>
    </row>
    <row r="1850" spans="1:9" ht="16.5" hidden="1" customHeight="1" x14ac:dyDescent="0.3">
      <c r="A1850" s="14" t="s">
        <v>28</v>
      </c>
      <c r="B1850" s="15">
        <v>4</v>
      </c>
      <c r="C1850" s="2">
        <v>1.1592</v>
      </c>
      <c r="D1850" s="2">
        <v>0.17180000000000001</v>
      </c>
      <c r="E1850" s="2">
        <v>6.75</v>
      </c>
      <c r="F1850" s="2" t="s">
        <v>482</v>
      </c>
    </row>
    <row r="1851" spans="1:9" ht="16.5" hidden="1" customHeight="1" thickBot="1" x14ac:dyDescent="0.35"/>
    <row r="1852" spans="1:9" ht="16.5" hidden="1" customHeight="1" x14ac:dyDescent="0.3">
      <c r="A1852" s="24" t="s">
        <v>496</v>
      </c>
      <c r="B1852" s="26"/>
      <c r="C1852" s="26"/>
      <c r="D1852" s="26"/>
    </row>
    <row r="1853" spans="1:9" ht="33" hidden="1" customHeight="1" x14ac:dyDescent="0.3">
      <c r="A1853" s="6" t="s">
        <v>486</v>
      </c>
      <c r="B1853" s="3" t="s">
        <v>497</v>
      </c>
      <c r="C1853" s="27" t="s">
        <v>91</v>
      </c>
      <c r="D1853" s="27"/>
    </row>
    <row r="1854" spans="1:9" ht="49.5" hidden="1" customHeight="1" x14ac:dyDescent="0.3">
      <c r="A1854" s="25" t="s">
        <v>536</v>
      </c>
      <c r="B1854" s="27"/>
      <c r="C1854" s="27"/>
      <c r="D1854" s="27"/>
    </row>
    <row r="1855" spans="1:9" ht="26.25" thickBot="1" x14ac:dyDescent="0.35">
      <c r="A1855" s="13" t="s">
        <v>525</v>
      </c>
      <c r="B1855" s="2">
        <v>1.76</v>
      </c>
      <c r="C1855" s="2">
        <v>1.2430000000000001</v>
      </c>
      <c r="D1855" s="2">
        <v>2.4940000000000002</v>
      </c>
      <c r="H1855" s="8" t="str">
        <f t="shared" ref="H1855:H1857" si="42">TEXT(B1855,"0.00")&amp;" ("&amp;TEXT(C1855,"0.00")&amp;" to "&amp;TEXT(D1855,"0.00")&amp;")"</f>
        <v>1.76 (1.24 to 2.49)</v>
      </c>
      <c r="I1855">
        <f>F1848</f>
        <v>1.5E-3</v>
      </c>
    </row>
    <row r="1856" spans="1:9" ht="26.25" thickBot="1" x14ac:dyDescent="0.35">
      <c r="A1856" s="13" t="s">
        <v>526</v>
      </c>
      <c r="B1856" s="2">
        <v>2.6739999999999999</v>
      </c>
      <c r="C1856" s="2">
        <v>1.9</v>
      </c>
      <c r="D1856" s="2">
        <v>3.7629999999999999</v>
      </c>
      <c r="H1856" s="8" t="str">
        <f t="shared" si="42"/>
        <v>2.67 (1.90 to 3.76)</v>
      </c>
      <c r="I1856" t="str">
        <f t="shared" ref="I1856:I1857" si="43">F1849</f>
        <v>&lt;.0001</v>
      </c>
    </row>
    <row r="1857" spans="1:9" ht="25.5" x14ac:dyDescent="0.3">
      <c r="A1857" s="14" t="s">
        <v>527</v>
      </c>
      <c r="B1857" s="2">
        <v>3.1869999999999998</v>
      </c>
      <c r="C1857" s="2">
        <v>2.2759999999999998</v>
      </c>
      <c r="D1857" s="2">
        <v>4.4640000000000004</v>
      </c>
      <c r="H1857" s="8" t="str">
        <f t="shared" si="42"/>
        <v>3.19 (2.28 to 4.46)</v>
      </c>
      <c r="I1857" t="str">
        <f t="shared" si="43"/>
        <v>&lt;.0001</v>
      </c>
    </row>
    <row r="1858" spans="1:9" ht="16.5" hidden="1" customHeight="1" thickBot="1" x14ac:dyDescent="0.35"/>
    <row r="1859" spans="1:9" ht="33" hidden="1" customHeight="1" x14ac:dyDescent="0.3">
      <c r="A1859" s="24" t="s">
        <v>502</v>
      </c>
      <c r="B1859" s="26"/>
      <c r="C1859" s="26"/>
      <c r="D1859" s="26"/>
    </row>
    <row r="1860" spans="1:9" ht="39" hidden="1" customHeight="1" thickBot="1" x14ac:dyDescent="0.35">
      <c r="A1860" s="13" t="s">
        <v>503</v>
      </c>
      <c r="B1860" s="2">
        <v>48.2</v>
      </c>
      <c r="C1860" s="12" t="s">
        <v>504</v>
      </c>
      <c r="D1860" s="2">
        <v>0.218</v>
      </c>
    </row>
    <row r="1861" spans="1:9" ht="26.25" hidden="1" customHeight="1" thickBot="1" x14ac:dyDescent="0.35">
      <c r="A1861" s="13" t="s">
        <v>505</v>
      </c>
      <c r="B1861" s="2">
        <v>26.4</v>
      </c>
      <c r="C1861" s="12" t="s">
        <v>506</v>
      </c>
      <c r="D1861" s="2">
        <v>0.29199999999999998</v>
      </c>
    </row>
    <row r="1862" spans="1:9" ht="26.25" hidden="1" customHeight="1" thickBot="1" x14ac:dyDescent="0.35">
      <c r="A1862" s="13" t="s">
        <v>507</v>
      </c>
      <c r="B1862" s="2">
        <v>25.3</v>
      </c>
      <c r="C1862" s="12" t="s">
        <v>508</v>
      </c>
      <c r="D1862" s="2">
        <v>7.0000000000000001E-3</v>
      </c>
    </row>
    <row r="1863" spans="1:9" ht="16.5" hidden="1" customHeight="1" x14ac:dyDescent="0.3">
      <c r="A1863" s="14" t="s">
        <v>509</v>
      </c>
      <c r="B1863" s="2">
        <v>25170888</v>
      </c>
      <c r="C1863" s="15" t="s">
        <v>510</v>
      </c>
      <c r="D1863" s="2">
        <v>0.60899999999999999</v>
      </c>
    </row>
    <row r="1864" spans="1:9" ht="16.5" hidden="1" customHeight="1" x14ac:dyDescent="0.3"/>
    <row r="1865" spans="1:9" ht="16.5" hidden="1" customHeight="1" x14ac:dyDescent="0.3"/>
    <row r="1866" spans="1:9" ht="16.5" hidden="1" customHeight="1" x14ac:dyDescent="0.3"/>
    <row r="1867" spans="1:9" ht="16.5" hidden="1" customHeight="1" x14ac:dyDescent="0.3">
      <c r="A1867" s="1" t="s">
        <v>436</v>
      </c>
    </row>
    <row r="1868" spans="1:9" ht="16.5" hidden="1" customHeight="1" x14ac:dyDescent="0.3"/>
    <row r="1869" spans="1:9" ht="16.5" hidden="1" customHeight="1" x14ac:dyDescent="0.3">
      <c r="A1869" s="1" t="s">
        <v>420</v>
      </c>
    </row>
    <row r="1870" spans="1:9" ht="16.5" hidden="1" customHeight="1" thickBot="1" x14ac:dyDescent="0.35"/>
    <row r="1871" spans="1:9" ht="16.5" hidden="1" customHeight="1" x14ac:dyDescent="0.3">
      <c r="A1871" s="24" t="s">
        <v>437</v>
      </c>
      <c r="B1871" s="26"/>
    </row>
    <row r="1872" spans="1:9" ht="26.25" hidden="1" customHeight="1" thickBot="1" x14ac:dyDescent="0.35">
      <c r="A1872" s="13" t="s">
        <v>438</v>
      </c>
      <c r="B1872" s="18" t="s">
        <v>439</v>
      </c>
    </row>
    <row r="1873" spans="1:2" ht="26.25" hidden="1" customHeight="1" thickBot="1" x14ac:dyDescent="0.35">
      <c r="A1873" s="13" t="s">
        <v>440</v>
      </c>
      <c r="B1873" s="18" t="s">
        <v>19</v>
      </c>
    </row>
    <row r="1874" spans="1:2" ht="39" hidden="1" customHeight="1" thickBot="1" x14ac:dyDescent="0.35">
      <c r="A1874" s="13" t="s">
        <v>441</v>
      </c>
      <c r="B1874" s="18">
        <v>2</v>
      </c>
    </row>
    <row r="1875" spans="1:2" ht="26.25" hidden="1" customHeight="1" thickBot="1" x14ac:dyDescent="0.35">
      <c r="A1875" s="13" t="s">
        <v>442</v>
      </c>
      <c r="B1875" s="18" t="s">
        <v>443</v>
      </c>
    </row>
    <row r="1876" spans="1:2" ht="26.25" hidden="1" customHeight="1" thickBot="1" x14ac:dyDescent="0.35">
      <c r="A1876" s="13" t="s">
        <v>76</v>
      </c>
      <c r="B1876" s="18">
        <v>183</v>
      </c>
    </row>
    <row r="1877" spans="1:2" ht="26.25" hidden="1" customHeight="1" thickBot="1" x14ac:dyDescent="0.35">
      <c r="A1877" s="13" t="s">
        <v>444</v>
      </c>
      <c r="B1877" s="18" t="s">
        <v>445</v>
      </c>
    </row>
    <row r="1878" spans="1:2" ht="26.25" hidden="1" customHeight="1" thickBot="1" x14ac:dyDescent="0.35">
      <c r="A1878" s="13" t="s">
        <v>77</v>
      </c>
      <c r="B1878" s="18">
        <v>2842</v>
      </c>
    </row>
    <row r="1879" spans="1:2" ht="26.25" hidden="1" customHeight="1" thickBot="1" x14ac:dyDescent="0.35">
      <c r="A1879" s="13" t="s">
        <v>446</v>
      </c>
      <c r="B1879" s="18" t="s">
        <v>447</v>
      </c>
    </row>
    <row r="1880" spans="1:2" ht="26.25" hidden="1" customHeight="1" thickBot="1" x14ac:dyDescent="0.35">
      <c r="A1880" s="13" t="s">
        <v>448</v>
      </c>
      <c r="B1880" s="18" t="s">
        <v>449</v>
      </c>
    </row>
    <row r="1881" spans="1:2" ht="39" hidden="1" customHeight="1" thickBot="1" x14ac:dyDescent="0.35">
      <c r="A1881" s="13" t="s">
        <v>450</v>
      </c>
      <c r="B1881" s="18" t="s">
        <v>451</v>
      </c>
    </row>
    <row r="1882" spans="1:2" ht="38.25" hidden="1" customHeight="1" x14ac:dyDescent="0.3">
      <c r="A1882" s="14" t="s">
        <v>452</v>
      </c>
      <c r="B1882" s="19" t="s">
        <v>453</v>
      </c>
    </row>
    <row r="1883" spans="1:2" ht="16.5" hidden="1" customHeight="1" thickBot="1" x14ac:dyDescent="0.35"/>
    <row r="1884" spans="1:2" ht="33" hidden="1" customHeight="1" x14ac:dyDescent="0.3">
      <c r="A1884" s="24" t="s">
        <v>80</v>
      </c>
      <c r="B1884" s="26"/>
    </row>
    <row r="1885" spans="1:2" ht="33.75" hidden="1" customHeight="1" thickBot="1" x14ac:dyDescent="0.35">
      <c r="A1885" s="13" t="s">
        <v>81</v>
      </c>
      <c r="B1885" s="2" t="s">
        <v>82</v>
      </c>
    </row>
    <row r="1886" spans="1:2" ht="66" hidden="1" customHeight="1" x14ac:dyDescent="0.3">
      <c r="A1886" s="14" t="s">
        <v>452</v>
      </c>
      <c r="B1886" s="2" t="s">
        <v>453</v>
      </c>
    </row>
    <row r="1887" spans="1:2" ht="16.5" hidden="1" customHeight="1" thickBot="1" x14ac:dyDescent="0.35"/>
    <row r="1888" spans="1:2" ht="39" hidden="1" customHeight="1" thickBot="1" x14ac:dyDescent="0.35">
      <c r="A1888" s="20" t="s">
        <v>454</v>
      </c>
      <c r="B1888" s="21">
        <v>10827</v>
      </c>
    </row>
    <row r="1889" spans="1:5" ht="39" hidden="1" customHeight="1" thickBot="1" x14ac:dyDescent="0.35">
      <c r="A1889" s="13" t="s">
        <v>455</v>
      </c>
      <c r="B1889" s="2">
        <v>10827</v>
      </c>
    </row>
    <row r="1890" spans="1:5" ht="39" hidden="1" customHeight="1" thickBot="1" x14ac:dyDescent="0.35">
      <c r="A1890" s="13" t="s">
        <v>456</v>
      </c>
      <c r="B1890" s="2">
        <v>4217422</v>
      </c>
    </row>
    <row r="1891" spans="1:5" ht="38.25" hidden="1" customHeight="1" x14ac:dyDescent="0.3">
      <c r="A1891" s="14" t="s">
        <v>457</v>
      </c>
      <c r="B1891" s="2">
        <v>4217422</v>
      </c>
    </row>
    <row r="1892" spans="1:5" ht="16.5" hidden="1" customHeight="1" thickBot="1" x14ac:dyDescent="0.35"/>
    <row r="1893" spans="1:5" ht="16.5" hidden="1" customHeight="1" x14ac:dyDescent="0.3">
      <c r="A1893" s="24" t="s">
        <v>458</v>
      </c>
      <c r="B1893" s="26"/>
      <c r="C1893" s="26"/>
      <c r="D1893" s="26"/>
    </row>
    <row r="1894" spans="1:5" ht="16.5" hidden="1" customHeight="1" x14ac:dyDescent="0.3">
      <c r="A1894" s="6" t="s">
        <v>459</v>
      </c>
      <c r="B1894" s="27" t="s">
        <v>19</v>
      </c>
      <c r="C1894" s="3" t="s">
        <v>93</v>
      </c>
      <c r="D1894" s="3" t="s">
        <v>93</v>
      </c>
    </row>
    <row r="1895" spans="1:5" ht="33" hidden="1" customHeight="1" x14ac:dyDescent="0.3">
      <c r="A1895" s="6" t="s">
        <v>460</v>
      </c>
      <c r="B1895" s="27"/>
      <c r="C1895" s="3" t="s">
        <v>86</v>
      </c>
      <c r="D1895" s="3" t="s">
        <v>461</v>
      </c>
    </row>
    <row r="1896" spans="1:5" ht="17.25" hidden="1" customHeight="1" thickBot="1" x14ac:dyDescent="0.35">
      <c r="A1896" s="6">
        <v>1</v>
      </c>
      <c r="B1896" s="17">
        <v>0</v>
      </c>
      <c r="C1896" s="2">
        <v>10572</v>
      </c>
      <c r="D1896" s="2">
        <v>4140591.8</v>
      </c>
    </row>
    <row r="1897" spans="1:5" ht="16.5" hidden="1" customHeight="1" x14ac:dyDescent="0.3">
      <c r="A1897" s="6">
        <v>2</v>
      </c>
      <c r="B1897" s="22">
        <v>1</v>
      </c>
      <c r="C1897" s="2">
        <v>255</v>
      </c>
      <c r="D1897" s="2">
        <v>76830.2</v>
      </c>
    </row>
    <row r="1898" spans="1:5" ht="16.5" hidden="1" customHeight="1" x14ac:dyDescent="0.3"/>
    <row r="1899" spans="1:5" ht="16.5" hidden="1" customHeight="1" x14ac:dyDescent="0.3">
      <c r="A1899" s="1" t="s">
        <v>513</v>
      </c>
    </row>
    <row r="1900" spans="1:5" ht="16.5" hidden="1" customHeight="1" thickBot="1" x14ac:dyDescent="0.35"/>
    <row r="1901" spans="1:5" ht="16.5" hidden="1" customHeight="1" x14ac:dyDescent="0.3">
      <c r="A1901" s="24" t="s">
        <v>462</v>
      </c>
      <c r="B1901" s="26"/>
      <c r="C1901" s="26"/>
      <c r="D1901" s="26"/>
      <c r="E1901" s="26"/>
    </row>
    <row r="1902" spans="1:5" ht="16.5" hidden="1" customHeight="1" x14ac:dyDescent="0.3">
      <c r="A1902" s="6" t="s">
        <v>463</v>
      </c>
      <c r="B1902" s="3" t="s">
        <v>460</v>
      </c>
      <c r="C1902" s="27" t="s">
        <v>464</v>
      </c>
      <c r="D1902" s="27"/>
      <c r="E1902" s="27"/>
    </row>
    <row r="1903" spans="1:5" ht="17.25" hidden="1" customHeight="1" thickBot="1" x14ac:dyDescent="0.35">
      <c r="A1903" s="13" t="s">
        <v>28</v>
      </c>
      <c r="B1903" s="12">
        <v>1</v>
      </c>
      <c r="C1903" s="2">
        <v>0</v>
      </c>
      <c r="D1903" s="2">
        <v>0</v>
      </c>
      <c r="E1903" s="2">
        <v>0</v>
      </c>
    </row>
    <row r="1904" spans="1:5" ht="17.25" hidden="1" customHeight="1" thickBot="1" x14ac:dyDescent="0.35">
      <c r="A1904" s="13"/>
      <c r="B1904" s="12">
        <v>2</v>
      </c>
      <c r="C1904" s="2">
        <v>1</v>
      </c>
      <c r="D1904" s="2">
        <v>0</v>
      </c>
      <c r="E1904" s="2">
        <v>0</v>
      </c>
    </row>
    <row r="1905" spans="1:5" ht="17.25" hidden="1" customHeight="1" thickBot="1" x14ac:dyDescent="0.35">
      <c r="A1905" s="13"/>
      <c r="B1905" s="12">
        <v>3</v>
      </c>
      <c r="C1905" s="2">
        <v>0</v>
      </c>
      <c r="D1905" s="2">
        <v>1</v>
      </c>
      <c r="E1905" s="2">
        <v>0</v>
      </c>
    </row>
    <row r="1906" spans="1:5" ht="16.5" hidden="1" customHeight="1" x14ac:dyDescent="0.3">
      <c r="A1906" s="14"/>
      <c r="B1906" s="15">
        <v>4</v>
      </c>
      <c r="C1906" s="2">
        <v>0</v>
      </c>
      <c r="D1906" s="2">
        <v>0</v>
      </c>
      <c r="E1906" s="2">
        <v>1</v>
      </c>
    </row>
    <row r="1907" spans="1:5" ht="16.5" hidden="1" customHeight="1" thickBot="1" x14ac:dyDescent="0.35"/>
    <row r="1908" spans="1:5" ht="66" hidden="1" customHeight="1" x14ac:dyDescent="0.3">
      <c r="A1908" s="4" t="s">
        <v>465</v>
      </c>
    </row>
    <row r="1909" spans="1:5" ht="99" hidden="1" customHeight="1" x14ac:dyDescent="0.3">
      <c r="A1909" s="23" t="s">
        <v>466</v>
      </c>
    </row>
    <row r="1910" spans="1:5" ht="16.5" hidden="1" customHeight="1" thickBot="1" x14ac:dyDescent="0.35"/>
    <row r="1911" spans="1:5" ht="16.5" hidden="1" customHeight="1" x14ac:dyDescent="0.3">
      <c r="A1911" s="24" t="s">
        <v>467</v>
      </c>
      <c r="B1911" s="26"/>
      <c r="C1911" s="26"/>
    </row>
    <row r="1912" spans="1:5" ht="66" hidden="1" customHeight="1" x14ac:dyDescent="0.3">
      <c r="A1912" s="6" t="s">
        <v>468</v>
      </c>
      <c r="B1912" s="3" t="s">
        <v>469</v>
      </c>
      <c r="C1912" s="3" t="s">
        <v>470</v>
      </c>
    </row>
    <row r="1913" spans="1:5" ht="17.25" hidden="1" customHeight="1" thickBot="1" x14ac:dyDescent="0.35">
      <c r="A1913" s="13" t="s">
        <v>471</v>
      </c>
      <c r="B1913" s="2">
        <v>767722.83</v>
      </c>
      <c r="C1913" s="2">
        <v>756771.73</v>
      </c>
    </row>
    <row r="1914" spans="1:5" ht="17.25" hidden="1" customHeight="1" thickBot="1" x14ac:dyDescent="0.35">
      <c r="A1914" s="13" t="s">
        <v>472</v>
      </c>
      <c r="B1914" s="2">
        <v>767736.09</v>
      </c>
      <c r="C1914" s="2">
        <v>756824.75</v>
      </c>
    </row>
    <row r="1915" spans="1:5" ht="16.5" hidden="1" customHeight="1" x14ac:dyDescent="0.3">
      <c r="A1915" s="14" t="s">
        <v>473</v>
      </c>
      <c r="B1915" s="2" t="s">
        <v>644</v>
      </c>
      <c r="C1915" s="2">
        <v>756763.73</v>
      </c>
    </row>
    <row r="1916" spans="1:5" ht="16.5" hidden="1" customHeight="1" thickBot="1" x14ac:dyDescent="0.35"/>
    <row r="1917" spans="1:5" ht="16.5" hidden="1" customHeight="1" x14ac:dyDescent="0.3">
      <c r="A1917" s="24" t="s">
        <v>474</v>
      </c>
      <c r="B1917" s="26"/>
      <c r="C1917" s="26"/>
      <c r="D1917" s="26"/>
      <c r="E1917" s="26"/>
    </row>
    <row r="1918" spans="1:5" ht="16.5" hidden="1" customHeight="1" x14ac:dyDescent="0.3">
      <c r="A1918" s="6" t="s">
        <v>475</v>
      </c>
      <c r="B1918" s="3" t="s">
        <v>476</v>
      </c>
      <c r="C1918" s="3" t="s">
        <v>477</v>
      </c>
      <c r="D1918" s="3" t="s">
        <v>478</v>
      </c>
      <c r="E1918" s="3" t="s">
        <v>479</v>
      </c>
    </row>
    <row r="1919" spans="1:5" ht="33" hidden="1" customHeight="1" x14ac:dyDescent="0.3">
      <c r="A1919" s="25" t="s">
        <v>612</v>
      </c>
      <c r="B1919" s="27"/>
      <c r="C1919" s="27"/>
      <c r="D1919" s="27"/>
      <c r="E1919" s="27"/>
    </row>
    <row r="1920" spans="1:5" ht="26.25" hidden="1" customHeight="1" thickBot="1" x14ac:dyDescent="0.35">
      <c r="A1920" s="13" t="s">
        <v>481</v>
      </c>
      <c r="B1920" s="2">
        <v>9.61</v>
      </c>
      <c r="C1920" s="2">
        <v>2.9748999999999999</v>
      </c>
      <c r="D1920" s="2">
        <v>7910.31</v>
      </c>
      <c r="E1920" s="2" t="s">
        <v>482</v>
      </c>
    </row>
    <row r="1921" spans="1:6" ht="17.25" hidden="1" customHeight="1" thickBot="1" x14ac:dyDescent="0.35">
      <c r="A1921" s="13" t="s">
        <v>483</v>
      </c>
      <c r="B1921" s="2">
        <v>18.760000000000002</v>
      </c>
      <c r="C1921" s="2">
        <v>3</v>
      </c>
      <c r="D1921" s="2">
        <v>2657</v>
      </c>
      <c r="E1921" s="2" t="s">
        <v>482</v>
      </c>
    </row>
    <row r="1922" spans="1:6" ht="16.5" hidden="1" customHeight="1" x14ac:dyDescent="0.3">
      <c r="A1922" s="14" t="s">
        <v>484</v>
      </c>
      <c r="B1922" s="2">
        <v>8.18</v>
      </c>
      <c r="C1922" s="2">
        <v>3</v>
      </c>
      <c r="D1922" s="2">
        <v>2657</v>
      </c>
      <c r="E1922" s="2" t="s">
        <v>482</v>
      </c>
    </row>
    <row r="1923" spans="1:6" ht="16.5" hidden="1" customHeight="1" thickBot="1" x14ac:dyDescent="0.35"/>
    <row r="1924" spans="1:6" ht="16.5" hidden="1" customHeight="1" x14ac:dyDescent="0.3">
      <c r="A1924" s="24" t="s">
        <v>485</v>
      </c>
      <c r="B1924" s="26"/>
      <c r="C1924" s="26"/>
      <c r="D1924" s="26"/>
      <c r="E1924" s="26"/>
    </row>
    <row r="1925" spans="1:6" ht="16.5" hidden="1" customHeight="1" x14ac:dyDescent="0.3">
      <c r="A1925" s="6" t="s">
        <v>486</v>
      </c>
      <c r="B1925" s="3" t="s">
        <v>476</v>
      </c>
      <c r="C1925" s="3" t="s">
        <v>477</v>
      </c>
      <c r="D1925" s="3" t="s">
        <v>478</v>
      </c>
      <c r="E1925" s="3" t="s">
        <v>479</v>
      </c>
    </row>
    <row r="1926" spans="1:6" ht="16.5" hidden="1" customHeight="1" x14ac:dyDescent="0.3">
      <c r="A1926" s="14" t="s">
        <v>28</v>
      </c>
      <c r="B1926" s="2">
        <v>8.18</v>
      </c>
      <c r="C1926" s="2">
        <v>3</v>
      </c>
      <c r="D1926" s="2">
        <v>2657</v>
      </c>
      <c r="E1926" s="2" t="s">
        <v>482</v>
      </c>
    </row>
    <row r="1927" spans="1:6" ht="16.5" hidden="1" customHeight="1" thickBot="1" x14ac:dyDescent="0.35"/>
    <row r="1928" spans="1:6" ht="16.5" hidden="1" customHeight="1" x14ac:dyDescent="0.3">
      <c r="A1928" s="24" t="s">
        <v>487</v>
      </c>
      <c r="B1928" s="26"/>
      <c r="C1928" s="26"/>
      <c r="D1928" s="26"/>
      <c r="E1928" s="26"/>
      <c r="F1928" s="26"/>
    </row>
    <row r="1929" spans="1:6" ht="16.5" hidden="1" customHeight="1" x14ac:dyDescent="0.3">
      <c r="A1929" s="25" t="s">
        <v>488</v>
      </c>
      <c r="B1929" s="27"/>
      <c r="C1929" s="27" t="s">
        <v>489</v>
      </c>
      <c r="D1929" s="3" t="s">
        <v>490</v>
      </c>
      <c r="E1929" s="27" t="s">
        <v>492</v>
      </c>
      <c r="F1929" s="27" t="s">
        <v>493</v>
      </c>
    </row>
    <row r="1930" spans="1:6" ht="16.5" hidden="1" customHeight="1" x14ac:dyDescent="0.3">
      <c r="A1930" s="25"/>
      <c r="B1930" s="27"/>
      <c r="C1930" s="27"/>
      <c r="D1930" s="3" t="s">
        <v>491</v>
      </c>
      <c r="E1930" s="27"/>
      <c r="F1930" s="27"/>
    </row>
    <row r="1931" spans="1:6" ht="16.5" hidden="1" customHeight="1" x14ac:dyDescent="0.3">
      <c r="A1931" s="25" t="s">
        <v>588</v>
      </c>
      <c r="B1931" s="27"/>
      <c r="C1931" s="27"/>
      <c r="D1931" s="27"/>
      <c r="E1931" s="27"/>
      <c r="F1931" s="27"/>
    </row>
    <row r="1932" spans="1:6" ht="17.25" hidden="1" customHeight="1" thickBot="1" x14ac:dyDescent="0.35">
      <c r="A1932" s="13" t="s">
        <v>495</v>
      </c>
      <c r="B1932" s="12"/>
      <c r="C1932" s="16">
        <v>-5.0243000000000002</v>
      </c>
      <c r="D1932" s="2">
        <v>0.24879999999999999</v>
      </c>
      <c r="E1932" s="16">
        <v>-20.190000000000001</v>
      </c>
      <c r="F1932" s="2" t="s">
        <v>482</v>
      </c>
    </row>
    <row r="1933" spans="1:6" ht="17.25" hidden="1" customHeight="1" thickBot="1" x14ac:dyDescent="0.35">
      <c r="A1933" s="13" t="s">
        <v>28</v>
      </c>
      <c r="B1933" s="12">
        <v>2</v>
      </c>
      <c r="C1933" s="2">
        <v>0.98450000000000004</v>
      </c>
      <c r="D1933" s="2">
        <v>0.29530000000000001</v>
      </c>
      <c r="E1933" s="2">
        <v>3.33</v>
      </c>
      <c r="F1933" s="2">
        <v>8.9999999999999998E-4</v>
      </c>
    </row>
    <row r="1934" spans="1:6" ht="17.25" hidden="1" customHeight="1" thickBot="1" x14ac:dyDescent="0.35">
      <c r="A1934" s="13" t="s">
        <v>28</v>
      </c>
      <c r="B1934" s="12">
        <v>3</v>
      </c>
      <c r="C1934" s="2">
        <v>1.1792</v>
      </c>
      <c r="D1934" s="2">
        <v>0.26690000000000003</v>
      </c>
      <c r="E1934" s="2">
        <v>4.42</v>
      </c>
      <c r="F1934" s="2" t="s">
        <v>482</v>
      </c>
    </row>
    <row r="1935" spans="1:6" ht="16.5" hidden="1" customHeight="1" x14ac:dyDescent="0.3">
      <c r="A1935" s="14" t="s">
        <v>28</v>
      </c>
      <c r="B1935" s="15">
        <v>4</v>
      </c>
      <c r="C1935" s="2">
        <v>1.3353999999999999</v>
      </c>
      <c r="D1935" s="2">
        <v>0.27910000000000001</v>
      </c>
      <c r="E1935" s="2">
        <v>4.78</v>
      </c>
      <c r="F1935" s="2" t="s">
        <v>482</v>
      </c>
    </row>
    <row r="1936" spans="1:6" ht="16.5" hidden="1" customHeight="1" thickBot="1" x14ac:dyDescent="0.35"/>
    <row r="1937" spans="1:9" ht="16.5" hidden="1" customHeight="1" x14ac:dyDescent="0.3">
      <c r="A1937" s="24" t="s">
        <v>496</v>
      </c>
      <c r="B1937" s="26"/>
      <c r="C1937" s="26"/>
      <c r="D1937" s="26"/>
    </row>
    <row r="1938" spans="1:9" ht="33" hidden="1" customHeight="1" x14ac:dyDescent="0.3">
      <c r="A1938" s="6" t="s">
        <v>486</v>
      </c>
      <c r="B1938" s="3" t="s">
        <v>497</v>
      </c>
      <c r="C1938" s="27" t="s">
        <v>91</v>
      </c>
      <c r="D1938" s="27"/>
    </row>
    <row r="1939" spans="1:9" ht="49.5" hidden="1" customHeight="1" x14ac:dyDescent="0.3">
      <c r="A1939" s="25" t="s">
        <v>589</v>
      </c>
      <c r="B1939" s="27"/>
      <c r="C1939" s="27"/>
      <c r="D1939" s="27"/>
    </row>
    <row r="1940" spans="1:9" ht="26.25" thickBot="1" x14ac:dyDescent="0.35">
      <c r="A1940" s="13" t="s">
        <v>525</v>
      </c>
      <c r="B1940" s="2">
        <v>2.6760000000000002</v>
      </c>
      <c r="C1940" s="2">
        <v>1.5</v>
      </c>
      <c r="D1940" s="2">
        <v>4.7759999999999998</v>
      </c>
      <c r="H1940" s="8" t="str">
        <f t="shared" ref="H1940:H1942" si="44">TEXT(B1940,"0.00")&amp;" ("&amp;TEXT(C1940,"0.00")&amp;" to "&amp;TEXT(D1940,"0.00")&amp;")"</f>
        <v>2.68 (1.50 to 4.78)</v>
      </c>
      <c r="I1940">
        <f>F1933</f>
        <v>8.9999999999999998E-4</v>
      </c>
    </row>
    <row r="1941" spans="1:9" ht="26.25" thickBot="1" x14ac:dyDescent="0.35">
      <c r="A1941" s="13" t="s">
        <v>526</v>
      </c>
      <c r="B1941" s="2">
        <v>3.2519999999999998</v>
      </c>
      <c r="C1941" s="2">
        <v>1.927</v>
      </c>
      <c r="D1941" s="2">
        <v>5.4880000000000004</v>
      </c>
      <c r="H1941" s="8" t="str">
        <f t="shared" si="44"/>
        <v>3.25 (1.93 to 5.49)</v>
      </c>
      <c r="I1941" t="str">
        <f t="shared" ref="I1941:I1942" si="45">F1934</f>
        <v>&lt;.0001</v>
      </c>
    </row>
    <row r="1942" spans="1:9" ht="25.5" x14ac:dyDescent="0.3">
      <c r="A1942" s="14" t="s">
        <v>527</v>
      </c>
      <c r="B1942" s="2">
        <v>3.8010000000000002</v>
      </c>
      <c r="C1942" s="2">
        <v>2.1989999999999998</v>
      </c>
      <c r="D1942" s="2">
        <v>6.5709999999999997</v>
      </c>
      <c r="H1942" s="8" t="str">
        <f t="shared" si="44"/>
        <v>3.80 (2.20 to 6.57)</v>
      </c>
      <c r="I1942" t="str">
        <f t="shared" si="45"/>
        <v>&lt;.0001</v>
      </c>
    </row>
    <row r="1943" spans="1:9" ht="16.5" hidden="1" customHeight="1" thickBot="1" x14ac:dyDescent="0.35"/>
    <row r="1944" spans="1:9" ht="33" hidden="1" customHeight="1" x14ac:dyDescent="0.3">
      <c r="A1944" s="24" t="s">
        <v>502</v>
      </c>
      <c r="B1944" s="26"/>
      <c r="C1944" s="26"/>
      <c r="D1944" s="26"/>
    </row>
    <row r="1945" spans="1:9" ht="39" hidden="1" customHeight="1" thickBot="1" x14ac:dyDescent="0.35">
      <c r="A1945" s="13" t="s">
        <v>503</v>
      </c>
      <c r="B1945" s="2">
        <v>45</v>
      </c>
      <c r="C1945" s="12" t="s">
        <v>504</v>
      </c>
      <c r="D1945" s="2">
        <v>0.16700000000000001</v>
      </c>
    </row>
    <row r="1946" spans="1:9" ht="26.25" hidden="1" customHeight="1" thickBot="1" x14ac:dyDescent="0.35">
      <c r="A1946" s="13" t="s">
        <v>505</v>
      </c>
      <c r="B1946" s="2">
        <v>28.3</v>
      </c>
      <c r="C1946" s="12" t="s">
        <v>506</v>
      </c>
      <c r="D1946" s="2">
        <v>0.22800000000000001</v>
      </c>
    </row>
    <row r="1947" spans="1:9" ht="26.25" hidden="1" customHeight="1" thickBot="1" x14ac:dyDescent="0.35">
      <c r="A1947" s="13" t="s">
        <v>507</v>
      </c>
      <c r="B1947" s="2">
        <v>26.7</v>
      </c>
      <c r="C1947" s="12" t="s">
        <v>508</v>
      </c>
      <c r="D1947" s="2">
        <v>8.0000000000000002E-3</v>
      </c>
    </row>
    <row r="1948" spans="1:9" ht="16.5" hidden="1" customHeight="1" x14ac:dyDescent="0.3">
      <c r="A1948" s="14" t="s">
        <v>509</v>
      </c>
      <c r="B1948" s="2">
        <v>2695860</v>
      </c>
      <c r="C1948" s="15" t="s">
        <v>510</v>
      </c>
      <c r="D1948" s="2">
        <v>0.58299999999999996</v>
      </c>
    </row>
    <row r="1949" spans="1:9" ht="16.5" hidden="1" customHeight="1" x14ac:dyDescent="0.3"/>
    <row r="1950" spans="1:9" ht="16.5" hidden="1" customHeight="1" x14ac:dyDescent="0.3"/>
    <row r="1951" spans="1:9" ht="16.5" hidden="1" customHeight="1" x14ac:dyDescent="0.3"/>
    <row r="1952" spans="1:9" ht="16.5" hidden="1" customHeight="1" x14ac:dyDescent="0.3">
      <c r="A1952" s="1" t="s">
        <v>436</v>
      </c>
    </row>
    <row r="1953" spans="1:2" ht="16.5" hidden="1" customHeight="1" x14ac:dyDescent="0.3"/>
    <row r="1954" spans="1:2" ht="16.5" hidden="1" customHeight="1" x14ac:dyDescent="0.3">
      <c r="A1954" s="1" t="s">
        <v>421</v>
      </c>
    </row>
    <row r="1955" spans="1:2" ht="16.5" hidden="1" customHeight="1" thickBot="1" x14ac:dyDescent="0.35"/>
    <row r="1956" spans="1:2" ht="16.5" hidden="1" customHeight="1" x14ac:dyDescent="0.3">
      <c r="A1956" s="24" t="s">
        <v>437</v>
      </c>
      <c r="B1956" s="26"/>
    </row>
    <row r="1957" spans="1:2" ht="26.25" hidden="1" customHeight="1" thickBot="1" x14ac:dyDescent="0.35">
      <c r="A1957" s="13" t="s">
        <v>438</v>
      </c>
      <c r="B1957" s="18" t="s">
        <v>439</v>
      </c>
    </row>
    <row r="1958" spans="1:2" ht="26.25" hidden="1" customHeight="1" thickBot="1" x14ac:dyDescent="0.35">
      <c r="A1958" s="13" t="s">
        <v>440</v>
      </c>
      <c r="B1958" s="18" t="s">
        <v>19</v>
      </c>
    </row>
    <row r="1959" spans="1:2" ht="39" hidden="1" customHeight="1" thickBot="1" x14ac:dyDescent="0.35">
      <c r="A1959" s="13" t="s">
        <v>441</v>
      </c>
      <c r="B1959" s="18">
        <v>2</v>
      </c>
    </row>
    <row r="1960" spans="1:2" ht="26.25" hidden="1" customHeight="1" thickBot="1" x14ac:dyDescent="0.35">
      <c r="A1960" s="13" t="s">
        <v>442</v>
      </c>
      <c r="B1960" s="18" t="s">
        <v>443</v>
      </c>
    </row>
    <row r="1961" spans="1:2" ht="26.25" hidden="1" customHeight="1" thickBot="1" x14ac:dyDescent="0.35">
      <c r="A1961" s="13" t="s">
        <v>76</v>
      </c>
      <c r="B1961" s="18">
        <v>183</v>
      </c>
    </row>
    <row r="1962" spans="1:2" ht="26.25" hidden="1" customHeight="1" thickBot="1" x14ac:dyDescent="0.35">
      <c r="A1962" s="13" t="s">
        <v>444</v>
      </c>
      <c r="B1962" s="18" t="s">
        <v>445</v>
      </c>
    </row>
    <row r="1963" spans="1:2" ht="26.25" hidden="1" customHeight="1" thickBot="1" x14ac:dyDescent="0.35">
      <c r="A1963" s="13" t="s">
        <v>77</v>
      </c>
      <c r="B1963" s="18">
        <v>2980</v>
      </c>
    </row>
    <row r="1964" spans="1:2" ht="26.25" hidden="1" customHeight="1" thickBot="1" x14ac:dyDescent="0.35">
      <c r="A1964" s="13" t="s">
        <v>446</v>
      </c>
      <c r="B1964" s="18" t="s">
        <v>447</v>
      </c>
    </row>
    <row r="1965" spans="1:2" ht="26.25" hidden="1" customHeight="1" thickBot="1" x14ac:dyDescent="0.35">
      <c r="A1965" s="13" t="s">
        <v>448</v>
      </c>
      <c r="B1965" s="18" t="s">
        <v>449</v>
      </c>
    </row>
    <row r="1966" spans="1:2" ht="39" hidden="1" customHeight="1" thickBot="1" x14ac:dyDescent="0.35">
      <c r="A1966" s="13" t="s">
        <v>450</v>
      </c>
      <c r="B1966" s="18" t="s">
        <v>451</v>
      </c>
    </row>
    <row r="1967" spans="1:2" ht="38.25" hidden="1" customHeight="1" x14ac:dyDescent="0.3">
      <c r="A1967" s="14" t="s">
        <v>452</v>
      </c>
      <c r="B1967" s="19" t="s">
        <v>453</v>
      </c>
    </row>
    <row r="1968" spans="1:2" ht="16.5" hidden="1" customHeight="1" thickBot="1" x14ac:dyDescent="0.35"/>
    <row r="1969" spans="1:4" ht="33" hidden="1" customHeight="1" x14ac:dyDescent="0.3">
      <c r="A1969" s="24" t="s">
        <v>80</v>
      </c>
      <c r="B1969" s="26"/>
    </row>
    <row r="1970" spans="1:4" ht="33.75" hidden="1" customHeight="1" thickBot="1" x14ac:dyDescent="0.35">
      <c r="A1970" s="13" t="s">
        <v>81</v>
      </c>
      <c r="B1970" s="2" t="s">
        <v>82</v>
      </c>
    </row>
    <row r="1971" spans="1:4" ht="66" hidden="1" customHeight="1" x14ac:dyDescent="0.3">
      <c r="A1971" s="14" t="s">
        <v>452</v>
      </c>
      <c r="B1971" s="2" t="s">
        <v>453</v>
      </c>
    </row>
    <row r="1972" spans="1:4" ht="16.5" hidden="1" customHeight="1" thickBot="1" x14ac:dyDescent="0.35"/>
    <row r="1973" spans="1:4" ht="39" hidden="1" customHeight="1" thickBot="1" x14ac:dyDescent="0.35">
      <c r="A1973" s="20" t="s">
        <v>454</v>
      </c>
      <c r="B1973" s="21">
        <v>26908</v>
      </c>
    </row>
    <row r="1974" spans="1:4" ht="39" hidden="1" customHeight="1" thickBot="1" x14ac:dyDescent="0.35">
      <c r="A1974" s="13" t="s">
        <v>455</v>
      </c>
      <c r="B1974" s="2">
        <v>26908</v>
      </c>
    </row>
    <row r="1975" spans="1:4" ht="39" hidden="1" customHeight="1" thickBot="1" x14ac:dyDescent="0.35">
      <c r="A1975" s="13" t="s">
        <v>456</v>
      </c>
      <c r="B1975" s="2">
        <v>10739070</v>
      </c>
    </row>
    <row r="1976" spans="1:4" ht="38.25" hidden="1" customHeight="1" x14ac:dyDescent="0.3">
      <c r="A1976" s="14" t="s">
        <v>457</v>
      </c>
      <c r="B1976" s="2">
        <v>10739070</v>
      </c>
    </row>
    <row r="1977" spans="1:4" ht="16.5" hidden="1" customHeight="1" thickBot="1" x14ac:dyDescent="0.35"/>
    <row r="1978" spans="1:4" ht="16.5" hidden="1" customHeight="1" x14ac:dyDescent="0.3">
      <c r="A1978" s="24" t="s">
        <v>458</v>
      </c>
      <c r="B1978" s="26"/>
      <c r="C1978" s="26"/>
      <c r="D1978" s="26"/>
    </row>
    <row r="1979" spans="1:4" ht="16.5" hidden="1" customHeight="1" x14ac:dyDescent="0.3">
      <c r="A1979" s="6" t="s">
        <v>459</v>
      </c>
      <c r="B1979" s="27" t="s">
        <v>19</v>
      </c>
      <c r="C1979" s="3" t="s">
        <v>93</v>
      </c>
      <c r="D1979" s="3" t="s">
        <v>93</v>
      </c>
    </row>
    <row r="1980" spans="1:4" ht="33" hidden="1" customHeight="1" x14ac:dyDescent="0.3">
      <c r="A1980" s="6" t="s">
        <v>460</v>
      </c>
      <c r="B1980" s="27"/>
      <c r="C1980" s="3" t="s">
        <v>86</v>
      </c>
      <c r="D1980" s="3" t="s">
        <v>461</v>
      </c>
    </row>
    <row r="1981" spans="1:4" ht="17.25" hidden="1" customHeight="1" thickBot="1" x14ac:dyDescent="0.35">
      <c r="A1981" s="6">
        <v>1</v>
      </c>
      <c r="B1981" s="17">
        <v>0</v>
      </c>
      <c r="C1981" s="2">
        <v>26311</v>
      </c>
      <c r="D1981" s="2">
        <v>10559422</v>
      </c>
    </row>
    <row r="1982" spans="1:4" ht="16.5" hidden="1" customHeight="1" x14ac:dyDescent="0.3">
      <c r="A1982" s="6">
        <v>2</v>
      </c>
      <c r="B1982" s="22">
        <v>1</v>
      </c>
      <c r="C1982" s="2">
        <v>597</v>
      </c>
      <c r="D1982" s="2">
        <v>179648</v>
      </c>
    </row>
    <row r="1983" spans="1:4" ht="16.5" hidden="1" customHeight="1" x14ac:dyDescent="0.3"/>
    <row r="1984" spans="1:4" ht="16.5" hidden="1" customHeight="1" x14ac:dyDescent="0.3">
      <c r="A1984" s="1" t="s">
        <v>513</v>
      </c>
    </row>
    <row r="1985" spans="1:5" ht="16.5" hidden="1" customHeight="1" thickBot="1" x14ac:dyDescent="0.35"/>
    <row r="1986" spans="1:5" ht="16.5" hidden="1" customHeight="1" x14ac:dyDescent="0.3">
      <c r="A1986" s="24" t="s">
        <v>462</v>
      </c>
      <c r="B1986" s="26"/>
      <c r="C1986" s="26"/>
      <c r="D1986" s="26"/>
      <c r="E1986" s="26"/>
    </row>
    <row r="1987" spans="1:5" ht="16.5" hidden="1" customHeight="1" x14ac:dyDescent="0.3">
      <c r="A1987" s="6" t="s">
        <v>463</v>
      </c>
      <c r="B1987" s="3" t="s">
        <v>460</v>
      </c>
      <c r="C1987" s="27" t="s">
        <v>464</v>
      </c>
      <c r="D1987" s="27"/>
      <c r="E1987" s="27"/>
    </row>
    <row r="1988" spans="1:5" ht="17.25" hidden="1" customHeight="1" thickBot="1" x14ac:dyDescent="0.35">
      <c r="A1988" s="13" t="s">
        <v>28</v>
      </c>
      <c r="B1988" s="12">
        <v>1</v>
      </c>
      <c r="C1988" s="2">
        <v>0</v>
      </c>
      <c r="D1988" s="2">
        <v>0</v>
      </c>
      <c r="E1988" s="2">
        <v>0</v>
      </c>
    </row>
    <row r="1989" spans="1:5" ht="17.25" hidden="1" customHeight="1" thickBot="1" x14ac:dyDescent="0.35">
      <c r="A1989" s="13"/>
      <c r="B1989" s="12">
        <v>2</v>
      </c>
      <c r="C1989" s="2">
        <v>1</v>
      </c>
      <c r="D1989" s="2">
        <v>0</v>
      </c>
      <c r="E1989" s="2">
        <v>0</v>
      </c>
    </row>
    <row r="1990" spans="1:5" ht="17.25" hidden="1" customHeight="1" thickBot="1" x14ac:dyDescent="0.35">
      <c r="A1990" s="13"/>
      <c r="B1990" s="12">
        <v>3</v>
      </c>
      <c r="C1990" s="2">
        <v>0</v>
      </c>
      <c r="D1990" s="2">
        <v>1</v>
      </c>
      <c r="E1990" s="2">
        <v>0</v>
      </c>
    </row>
    <row r="1991" spans="1:5" ht="16.5" hidden="1" customHeight="1" x14ac:dyDescent="0.3">
      <c r="A1991" s="14"/>
      <c r="B1991" s="15">
        <v>4</v>
      </c>
      <c r="C1991" s="2">
        <v>0</v>
      </c>
      <c r="D1991" s="2">
        <v>0</v>
      </c>
      <c r="E1991" s="2">
        <v>1</v>
      </c>
    </row>
    <row r="1992" spans="1:5" ht="16.5" hidden="1" customHeight="1" thickBot="1" x14ac:dyDescent="0.35"/>
    <row r="1993" spans="1:5" ht="66" hidden="1" customHeight="1" x14ac:dyDescent="0.3">
      <c r="A1993" s="4" t="s">
        <v>465</v>
      </c>
    </row>
    <row r="1994" spans="1:5" ht="99" hidden="1" customHeight="1" x14ac:dyDescent="0.3">
      <c r="A1994" s="23" t="s">
        <v>466</v>
      </c>
    </row>
    <row r="1995" spans="1:5" ht="16.5" hidden="1" customHeight="1" thickBot="1" x14ac:dyDescent="0.35"/>
    <row r="1996" spans="1:5" ht="16.5" hidden="1" customHeight="1" x14ac:dyDescent="0.3">
      <c r="A1996" s="24" t="s">
        <v>467</v>
      </c>
      <c r="B1996" s="26"/>
      <c r="C1996" s="26"/>
    </row>
    <row r="1997" spans="1:5" ht="66" hidden="1" customHeight="1" x14ac:dyDescent="0.3">
      <c r="A1997" s="6" t="s">
        <v>468</v>
      </c>
      <c r="B1997" s="3" t="s">
        <v>469</v>
      </c>
      <c r="C1997" s="3" t="s">
        <v>470</v>
      </c>
    </row>
    <row r="1998" spans="1:5" ht="17.25" hidden="1" customHeight="1" thickBot="1" x14ac:dyDescent="0.35">
      <c r="A1998" s="13" t="s">
        <v>471</v>
      </c>
      <c r="B1998" s="2">
        <v>1826026.7</v>
      </c>
      <c r="C1998" s="2">
        <v>1792212.3</v>
      </c>
    </row>
    <row r="1999" spans="1:5" ht="17.25" hidden="1" customHeight="1" thickBot="1" x14ac:dyDescent="0.35">
      <c r="A1999" s="13" t="s">
        <v>472</v>
      </c>
      <c r="B1999" s="2">
        <v>1826040.8</v>
      </c>
      <c r="C1999" s="2">
        <v>1792269</v>
      </c>
    </row>
    <row r="2000" spans="1:5" ht="16.5" hidden="1" customHeight="1" x14ac:dyDescent="0.3">
      <c r="A2000" s="14" t="s">
        <v>473</v>
      </c>
      <c r="B2000" s="2" t="s">
        <v>645</v>
      </c>
      <c r="C2000" s="2">
        <v>1792204.3</v>
      </c>
    </row>
    <row r="2001" spans="1:6" ht="16.5" hidden="1" customHeight="1" thickBot="1" x14ac:dyDescent="0.35"/>
    <row r="2002" spans="1:6" ht="16.5" hidden="1" customHeight="1" x14ac:dyDescent="0.3">
      <c r="A2002" s="24" t="s">
        <v>474</v>
      </c>
      <c r="B2002" s="26"/>
      <c r="C2002" s="26"/>
      <c r="D2002" s="26"/>
      <c r="E2002" s="26"/>
    </row>
    <row r="2003" spans="1:6" ht="16.5" hidden="1" customHeight="1" x14ac:dyDescent="0.3">
      <c r="A2003" s="6" t="s">
        <v>475</v>
      </c>
      <c r="B2003" s="3" t="s">
        <v>476</v>
      </c>
      <c r="C2003" s="3" t="s">
        <v>477</v>
      </c>
      <c r="D2003" s="3" t="s">
        <v>478</v>
      </c>
      <c r="E2003" s="3" t="s">
        <v>479</v>
      </c>
    </row>
    <row r="2004" spans="1:6" ht="33" hidden="1" customHeight="1" x14ac:dyDescent="0.3">
      <c r="A2004" s="25" t="s">
        <v>520</v>
      </c>
      <c r="B2004" s="27"/>
      <c r="C2004" s="27"/>
      <c r="D2004" s="27"/>
      <c r="E2004" s="27"/>
    </row>
    <row r="2005" spans="1:6" ht="26.25" hidden="1" customHeight="1" thickBot="1" x14ac:dyDescent="0.35">
      <c r="A2005" s="13" t="s">
        <v>481</v>
      </c>
      <c r="B2005" s="2">
        <v>27.95</v>
      </c>
      <c r="C2005" s="2">
        <v>2.9927000000000001</v>
      </c>
      <c r="D2005" s="2">
        <v>8370.5400000000009</v>
      </c>
      <c r="E2005" s="2" t="s">
        <v>482</v>
      </c>
    </row>
    <row r="2006" spans="1:6" ht="17.25" hidden="1" customHeight="1" thickBot="1" x14ac:dyDescent="0.35">
      <c r="A2006" s="13" t="s">
        <v>483</v>
      </c>
      <c r="B2006" s="2">
        <v>42.42</v>
      </c>
      <c r="C2006" s="2">
        <v>3</v>
      </c>
      <c r="D2006" s="2">
        <v>2795</v>
      </c>
      <c r="E2006" s="2" t="s">
        <v>482</v>
      </c>
    </row>
    <row r="2007" spans="1:6" ht="16.5" hidden="1" customHeight="1" x14ac:dyDescent="0.3">
      <c r="A2007" s="14" t="s">
        <v>484</v>
      </c>
      <c r="B2007" s="2">
        <v>22.47</v>
      </c>
      <c r="C2007" s="2">
        <v>3</v>
      </c>
      <c r="D2007" s="2">
        <v>2795</v>
      </c>
      <c r="E2007" s="2" t="s">
        <v>482</v>
      </c>
    </row>
    <row r="2008" spans="1:6" ht="16.5" hidden="1" customHeight="1" thickBot="1" x14ac:dyDescent="0.35"/>
    <row r="2009" spans="1:6" ht="16.5" hidden="1" customHeight="1" x14ac:dyDescent="0.3">
      <c r="A2009" s="24" t="s">
        <v>485</v>
      </c>
      <c r="B2009" s="26"/>
      <c r="C2009" s="26"/>
      <c r="D2009" s="26"/>
      <c r="E2009" s="26"/>
    </row>
    <row r="2010" spans="1:6" ht="16.5" hidden="1" customHeight="1" x14ac:dyDescent="0.3">
      <c r="A2010" s="6" t="s">
        <v>486</v>
      </c>
      <c r="B2010" s="3" t="s">
        <v>476</v>
      </c>
      <c r="C2010" s="3" t="s">
        <v>477</v>
      </c>
      <c r="D2010" s="3" t="s">
        <v>478</v>
      </c>
      <c r="E2010" s="3" t="s">
        <v>479</v>
      </c>
    </row>
    <row r="2011" spans="1:6" ht="16.5" hidden="1" customHeight="1" x14ac:dyDescent="0.3">
      <c r="A2011" s="14" t="s">
        <v>28</v>
      </c>
      <c r="B2011" s="2">
        <v>22.47</v>
      </c>
      <c r="C2011" s="2">
        <v>3</v>
      </c>
      <c r="D2011" s="2">
        <v>2795</v>
      </c>
      <c r="E2011" s="2" t="s">
        <v>482</v>
      </c>
    </row>
    <row r="2012" spans="1:6" ht="16.5" hidden="1" customHeight="1" thickBot="1" x14ac:dyDescent="0.35"/>
    <row r="2013" spans="1:6" ht="16.5" hidden="1" customHeight="1" x14ac:dyDescent="0.3">
      <c r="A2013" s="24" t="s">
        <v>487</v>
      </c>
      <c r="B2013" s="26"/>
      <c r="C2013" s="26"/>
      <c r="D2013" s="26"/>
      <c r="E2013" s="26"/>
      <c r="F2013" s="26"/>
    </row>
    <row r="2014" spans="1:6" ht="16.5" hidden="1" customHeight="1" x14ac:dyDescent="0.3">
      <c r="A2014" s="25" t="s">
        <v>488</v>
      </c>
      <c r="B2014" s="27"/>
      <c r="C2014" s="27" t="s">
        <v>489</v>
      </c>
      <c r="D2014" s="3" t="s">
        <v>490</v>
      </c>
      <c r="E2014" s="27" t="s">
        <v>492</v>
      </c>
      <c r="F2014" s="27" t="s">
        <v>493</v>
      </c>
    </row>
    <row r="2015" spans="1:6" ht="16.5" hidden="1" customHeight="1" x14ac:dyDescent="0.3">
      <c r="A2015" s="25"/>
      <c r="B2015" s="27"/>
      <c r="C2015" s="27"/>
      <c r="D2015" s="3" t="s">
        <v>491</v>
      </c>
      <c r="E2015" s="27"/>
      <c r="F2015" s="27"/>
    </row>
    <row r="2016" spans="1:6" ht="16.5" hidden="1" customHeight="1" x14ac:dyDescent="0.3">
      <c r="A2016" s="25" t="s">
        <v>590</v>
      </c>
      <c r="B2016" s="27"/>
      <c r="C2016" s="27"/>
      <c r="D2016" s="27"/>
      <c r="E2016" s="27"/>
      <c r="F2016" s="27"/>
    </row>
    <row r="2017" spans="1:9" ht="17.25" hidden="1" customHeight="1" thickBot="1" x14ac:dyDescent="0.35">
      <c r="A2017" s="13" t="s">
        <v>495</v>
      </c>
      <c r="B2017" s="12"/>
      <c r="C2017" s="16">
        <v>-5.0315000000000003</v>
      </c>
      <c r="D2017" s="2">
        <v>0.15260000000000001</v>
      </c>
      <c r="E2017" s="16">
        <v>-32.979999999999997</v>
      </c>
      <c r="F2017" s="2" t="s">
        <v>482</v>
      </c>
    </row>
    <row r="2018" spans="1:9" ht="17.25" hidden="1" customHeight="1" thickBot="1" x14ac:dyDescent="0.35">
      <c r="A2018" s="13" t="s">
        <v>28</v>
      </c>
      <c r="B2018" s="12">
        <v>2</v>
      </c>
      <c r="C2018" s="2">
        <v>0.83120000000000005</v>
      </c>
      <c r="D2018" s="2">
        <v>0.18890000000000001</v>
      </c>
      <c r="E2018" s="2">
        <v>4.4000000000000004</v>
      </c>
      <c r="F2018" s="2" t="s">
        <v>482</v>
      </c>
    </row>
    <row r="2019" spans="1:9" ht="17.25" hidden="1" customHeight="1" thickBot="1" x14ac:dyDescent="0.35">
      <c r="A2019" s="13" t="s">
        <v>28</v>
      </c>
      <c r="B2019" s="12">
        <v>3</v>
      </c>
      <c r="C2019" s="2">
        <v>1.1980999999999999</v>
      </c>
      <c r="D2019" s="2">
        <v>0.1749</v>
      </c>
      <c r="E2019" s="2">
        <v>6.85</v>
      </c>
      <c r="F2019" s="2" t="s">
        <v>482</v>
      </c>
    </row>
    <row r="2020" spans="1:9" ht="16.5" hidden="1" customHeight="1" x14ac:dyDescent="0.3">
      <c r="A2020" s="14" t="s">
        <v>28</v>
      </c>
      <c r="B2020" s="15">
        <v>4</v>
      </c>
      <c r="C2020" s="2">
        <v>1.3369</v>
      </c>
      <c r="D2020" s="2">
        <v>0.17519999999999999</v>
      </c>
      <c r="E2020" s="2">
        <v>7.63</v>
      </c>
      <c r="F2020" s="2" t="s">
        <v>482</v>
      </c>
    </row>
    <row r="2021" spans="1:9" ht="16.5" hidden="1" customHeight="1" thickBot="1" x14ac:dyDescent="0.35"/>
    <row r="2022" spans="1:9" ht="16.5" hidden="1" customHeight="1" x14ac:dyDescent="0.3">
      <c r="A2022" s="24" t="s">
        <v>496</v>
      </c>
      <c r="B2022" s="26"/>
      <c r="C2022" s="26"/>
      <c r="D2022" s="26"/>
    </row>
    <row r="2023" spans="1:9" ht="33" hidden="1" customHeight="1" x14ac:dyDescent="0.3">
      <c r="A2023" s="6" t="s">
        <v>486</v>
      </c>
      <c r="B2023" s="3" t="s">
        <v>497</v>
      </c>
      <c r="C2023" s="27" t="s">
        <v>91</v>
      </c>
      <c r="D2023" s="27"/>
    </row>
    <row r="2024" spans="1:9" ht="49.5" hidden="1" customHeight="1" x14ac:dyDescent="0.3">
      <c r="A2024" s="25" t="s">
        <v>591</v>
      </c>
      <c r="B2024" s="27"/>
      <c r="C2024" s="27"/>
      <c r="D2024" s="27"/>
    </row>
    <row r="2025" spans="1:9" ht="26.25" thickBot="1" x14ac:dyDescent="0.35">
      <c r="A2025" s="13" t="s">
        <v>525</v>
      </c>
      <c r="B2025" s="2">
        <v>2.2959999999999998</v>
      </c>
      <c r="C2025" s="2">
        <v>1.585</v>
      </c>
      <c r="D2025" s="2">
        <v>3.3250000000000002</v>
      </c>
      <c r="H2025" s="8" t="str">
        <f t="shared" ref="H2025:H2027" si="46">TEXT(B2025,"0.00")&amp;" ("&amp;TEXT(C2025,"0.00")&amp;" to "&amp;TEXT(D2025,"0.00")&amp;")"</f>
        <v>2.30 (1.59 to 3.33)</v>
      </c>
      <c r="I2025" t="str">
        <f>F2018</f>
        <v>&lt;.0001</v>
      </c>
    </row>
    <row r="2026" spans="1:9" ht="26.25" thickBot="1" x14ac:dyDescent="0.35">
      <c r="A2026" s="13" t="s">
        <v>526</v>
      </c>
      <c r="B2026" s="2">
        <v>3.3140000000000001</v>
      </c>
      <c r="C2026" s="2">
        <v>2.3519999999999999</v>
      </c>
      <c r="D2026" s="2">
        <v>4.6689999999999996</v>
      </c>
      <c r="H2026" s="8" t="str">
        <f t="shared" si="46"/>
        <v>3.31 (2.35 to 4.67)</v>
      </c>
      <c r="I2026" t="str">
        <f t="shared" ref="I2026:I2027" si="47">F2019</f>
        <v>&lt;.0001</v>
      </c>
    </row>
    <row r="2027" spans="1:9" ht="25.5" x14ac:dyDescent="0.3">
      <c r="A2027" s="14" t="s">
        <v>527</v>
      </c>
      <c r="B2027" s="2">
        <v>3.8069999999999999</v>
      </c>
      <c r="C2027" s="2">
        <v>2.7</v>
      </c>
      <c r="D2027" s="2">
        <v>5.3680000000000003</v>
      </c>
      <c r="H2027" s="8" t="str">
        <f t="shared" si="46"/>
        <v>3.81 (2.70 to 5.37)</v>
      </c>
      <c r="I2027" t="str">
        <f t="shared" si="47"/>
        <v>&lt;.0001</v>
      </c>
    </row>
    <row r="2028" spans="1:9" ht="16.5" hidden="1" customHeight="1" thickBot="1" x14ac:dyDescent="0.35"/>
    <row r="2029" spans="1:9" ht="33" hidden="1" customHeight="1" x14ac:dyDescent="0.3">
      <c r="A2029" s="24" t="s">
        <v>502</v>
      </c>
      <c r="B2029" s="26"/>
      <c r="C2029" s="26"/>
      <c r="D2029" s="26"/>
    </row>
    <row r="2030" spans="1:9" ht="39" hidden="1" customHeight="1" thickBot="1" x14ac:dyDescent="0.35">
      <c r="A2030" s="13" t="s">
        <v>503</v>
      </c>
      <c r="B2030" s="2">
        <v>47.6</v>
      </c>
      <c r="C2030" s="12" t="s">
        <v>504</v>
      </c>
      <c r="D2030" s="2">
        <v>0.20599999999999999</v>
      </c>
    </row>
    <row r="2031" spans="1:9" ht="26.25" hidden="1" customHeight="1" thickBot="1" x14ac:dyDescent="0.35">
      <c r="A2031" s="13" t="s">
        <v>505</v>
      </c>
      <c r="B2031" s="2">
        <v>27.1</v>
      </c>
      <c r="C2031" s="12" t="s">
        <v>506</v>
      </c>
      <c r="D2031" s="2">
        <v>0.27500000000000002</v>
      </c>
    </row>
    <row r="2032" spans="1:9" ht="26.25" hidden="1" customHeight="1" thickBot="1" x14ac:dyDescent="0.35">
      <c r="A2032" s="13" t="s">
        <v>507</v>
      </c>
      <c r="B2032" s="2">
        <v>25.3</v>
      </c>
      <c r="C2032" s="12" t="s">
        <v>508</v>
      </c>
      <c r="D2032" s="2">
        <v>8.9999999999999993E-3</v>
      </c>
    </row>
    <row r="2033" spans="1:4" ht="16.5" hidden="1" customHeight="1" x14ac:dyDescent="0.3">
      <c r="A2033" s="14" t="s">
        <v>509</v>
      </c>
      <c r="B2033" s="2">
        <v>15707667</v>
      </c>
      <c r="C2033" s="15" t="s">
        <v>510</v>
      </c>
      <c r="D2033" s="2">
        <v>0.60299999999999998</v>
      </c>
    </row>
    <row r="2034" spans="1:4" ht="16.5" hidden="1" customHeight="1" x14ac:dyDescent="0.3"/>
    <row r="2035" spans="1:4" ht="16.5" hidden="1" customHeight="1" x14ac:dyDescent="0.3"/>
    <row r="2036" spans="1:4" ht="16.5" hidden="1" customHeight="1" x14ac:dyDescent="0.3"/>
    <row r="2037" spans="1:4" ht="16.5" hidden="1" customHeight="1" x14ac:dyDescent="0.3">
      <c r="A2037" s="1" t="s">
        <v>436</v>
      </c>
    </row>
    <row r="2038" spans="1:4" ht="16.5" hidden="1" customHeight="1" x14ac:dyDescent="0.3"/>
    <row r="2039" spans="1:4" ht="16.5" hidden="1" customHeight="1" x14ac:dyDescent="0.3">
      <c r="A2039" s="1" t="s">
        <v>422</v>
      </c>
    </row>
    <row r="2040" spans="1:4" ht="16.5" hidden="1" customHeight="1" thickBot="1" x14ac:dyDescent="0.35"/>
    <row r="2041" spans="1:4" ht="16.5" hidden="1" customHeight="1" x14ac:dyDescent="0.3">
      <c r="A2041" s="24" t="s">
        <v>437</v>
      </c>
      <c r="B2041" s="26"/>
    </row>
    <row r="2042" spans="1:4" ht="26.25" hidden="1" customHeight="1" thickBot="1" x14ac:dyDescent="0.35">
      <c r="A2042" s="13" t="s">
        <v>438</v>
      </c>
      <c r="B2042" s="18" t="s">
        <v>439</v>
      </c>
    </row>
    <row r="2043" spans="1:4" ht="26.25" hidden="1" customHeight="1" thickBot="1" x14ac:dyDescent="0.35">
      <c r="A2043" s="13" t="s">
        <v>440</v>
      </c>
      <c r="B2043" s="18" t="s">
        <v>19</v>
      </c>
    </row>
    <row r="2044" spans="1:4" ht="39" hidden="1" customHeight="1" thickBot="1" x14ac:dyDescent="0.35">
      <c r="A2044" s="13" t="s">
        <v>441</v>
      </c>
      <c r="B2044" s="18">
        <v>2</v>
      </c>
    </row>
    <row r="2045" spans="1:4" ht="26.25" hidden="1" customHeight="1" thickBot="1" x14ac:dyDescent="0.35">
      <c r="A2045" s="13" t="s">
        <v>442</v>
      </c>
      <c r="B2045" s="18" t="s">
        <v>443</v>
      </c>
    </row>
    <row r="2046" spans="1:4" ht="26.25" hidden="1" customHeight="1" thickBot="1" x14ac:dyDescent="0.35">
      <c r="A2046" s="13" t="s">
        <v>76</v>
      </c>
      <c r="B2046" s="18">
        <v>183</v>
      </c>
    </row>
    <row r="2047" spans="1:4" ht="26.25" hidden="1" customHeight="1" thickBot="1" x14ac:dyDescent="0.35">
      <c r="A2047" s="13" t="s">
        <v>444</v>
      </c>
      <c r="B2047" s="18" t="s">
        <v>445</v>
      </c>
    </row>
    <row r="2048" spans="1:4" ht="26.25" hidden="1" customHeight="1" thickBot="1" x14ac:dyDescent="0.35">
      <c r="A2048" s="13" t="s">
        <v>77</v>
      </c>
      <c r="B2048" s="18">
        <v>2969</v>
      </c>
    </row>
    <row r="2049" spans="1:4" ht="26.25" hidden="1" customHeight="1" thickBot="1" x14ac:dyDescent="0.35">
      <c r="A2049" s="13" t="s">
        <v>446</v>
      </c>
      <c r="B2049" s="18" t="s">
        <v>447</v>
      </c>
    </row>
    <row r="2050" spans="1:4" ht="26.25" hidden="1" customHeight="1" thickBot="1" x14ac:dyDescent="0.35">
      <c r="A2050" s="13" t="s">
        <v>448</v>
      </c>
      <c r="B2050" s="18" t="s">
        <v>449</v>
      </c>
    </row>
    <row r="2051" spans="1:4" ht="39" hidden="1" customHeight="1" thickBot="1" x14ac:dyDescent="0.35">
      <c r="A2051" s="13" t="s">
        <v>450</v>
      </c>
      <c r="B2051" s="18" t="s">
        <v>451</v>
      </c>
    </row>
    <row r="2052" spans="1:4" ht="38.25" hidden="1" customHeight="1" x14ac:dyDescent="0.3">
      <c r="A2052" s="14" t="s">
        <v>452</v>
      </c>
      <c r="B2052" s="19" t="s">
        <v>453</v>
      </c>
    </row>
    <row r="2053" spans="1:4" ht="16.5" hidden="1" customHeight="1" thickBot="1" x14ac:dyDescent="0.35"/>
    <row r="2054" spans="1:4" ht="33" hidden="1" customHeight="1" x14ac:dyDescent="0.3">
      <c r="A2054" s="24" t="s">
        <v>80</v>
      </c>
      <c r="B2054" s="26"/>
    </row>
    <row r="2055" spans="1:4" ht="33.75" hidden="1" customHeight="1" thickBot="1" x14ac:dyDescent="0.35">
      <c r="A2055" s="13" t="s">
        <v>81</v>
      </c>
      <c r="B2055" s="2" t="s">
        <v>82</v>
      </c>
    </row>
    <row r="2056" spans="1:4" ht="66" hidden="1" customHeight="1" x14ac:dyDescent="0.3">
      <c r="A2056" s="14" t="s">
        <v>452</v>
      </c>
      <c r="B2056" s="2" t="s">
        <v>453</v>
      </c>
    </row>
    <row r="2057" spans="1:4" ht="16.5" hidden="1" customHeight="1" thickBot="1" x14ac:dyDescent="0.35"/>
    <row r="2058" spans="1:4" ht="39" hidden="1" customHeight="1" thickBot="1" x14ac:dyDescent="0.35">
      <c r="A2058" s="20" t="s">
        <v>454</v>
      </c>
      <c r="B2058" s="21">
        <v>24999</v>
      </c>
    </row>
    <row r="2059" spans="1:4" ht="39" hidden="1" customHeight="1" thickBot="1" x14ac:dyDescent="0.35">
      <c r="A2059" s="13" t="s">
        <v>455</v>
      </c>
      <c r="B2059" s="2">
        <v>24999</v>
      </c>
    </row>
    <row r="2060" spans="1:4" ht="39" hidden="1" customHeight="1" thickBot="1" x14ac:dyDescent="0.35">
      <c r="A2060" s="13" t="s">
        <v>456</v>
      </c>
      <c r="B2060" s="2">
        <v>11740558</v>
      </c>
    </row>
    <row r="2061" spans="1:4" ht="38.25" hidden="1" customHeight="1" x14ac:dyDescent="0.3">
      <c r="A2061" s="14" t="s">
        <v>457</v>
      </c>
      <c r="B2061" s="2">
        <v>11740558</v>
      </c>
    </row>
    <row r="2062" spans="1:4" ht="16.5" hidden="1" customHeight="1" thickBot="1" x14ac:dyDescent="0.35"/>
    <row r="2063" spans="1:4" ht="16.5" hidden="1" customHeight="1" x14ac:dyDescent="0.3">
      <c r="A2063" s="24" t="s">
        <v>458</v>
      </c>
      <c r="B2063" s="26"/>
      <c r="C2063" s="26"/>
      <c r="D2063" s="26"/>
    </row>
    <row r="2064" spans="1:4" ht="16.5" hidden="1" customHeight="1" x14ac:dyDescent="0.3">
      <c r="A2064" s="6" t="s">
        <v>459</v>
      </c>
      <c r="B2064" s="27" t="s">
        <v>19</v>
      </c>
      <c r="C2064" s="3" t="s">
        <v>93</v>
      </c>
      <c r="D2064" s="3" t="s">
        <v>93</v>
      </c>
    </row>
    <row r="2065" spans="1:5" ht="33" hidden="1" customHeight="1" x14ac:dyDescent="0.3">
      <c r="A2065" s="6" t="s">
        <v>460</v>
      </c>
      <c r="B2065" s="27"/>
      <c r="C2065" s="3" t="s">
        <v>86</v>
      </c>
      <c r="D2065" s="3" t="s">
        <v>461</v>
      </c>
    </row>
    <row r="2066" spans="1:5" ht="17.25" hidden="1" customHeight="1" thickBot="1" x14ac:dyDescent="0.35">
      <c r="A2066" s="6">
        <v>1</v>
      </c>
      <c r="B2066" s="17">
        <v>0</v>
      </c>
      <c r="C2066" s="2">
        <v>24660</v>
      </c>
      <c r="D2066" s="2">
        <v>11632656</v>
      </c>
    </row>
    <row r="2067" spans="1:5" ht="16.5" hidden="1" customHeight="1" x14ac:dyDescent="0.3">
      <c r="A2067" s="6">
        <v>2</v>
      </c>
      <c r="B2067" s="22">
        <v>1</v>
      </c>
      <c r="C2067" s="2">
        <v>339</v>
      </c>
      <c r="D2067" s="2">
        <v>107902</v>
      </c>
    </row>
    <row r="2068" spans="1:5" ht="16.5" hidden="1" customHeight="1" x14ac:dyDescent="0.3"/>
    <row r="2069" spans="1:5" ht="16.5" hidden="1" customHeight="1" x14ac:dyDescent="0.3">
      <c r="A2069" s="1" t="s">
        <v>513</v>
      </c>
    </row>
    <row r="2070" spans="1:5" ht="16.5" hidden="1" customHeight="1" thickBot="1" x14ac:dyDescent="0.35"/>
    <row r="2071" spans="1:5" ht="16.5" hidden="1" customHeight="1" x14ac:dyDescent="0.3">
      <c r="A2071" s="24" t="s">
        <v>462</v>
      </c>
      <c r="B2071" s="26"/>
      <c r="C2071" s="26"/>
      <c r="D2071" s="26"/>
      <c r="E2071" s="26"/>
    </row>
    <row r="2072" spans="1:5" ht="16.5" hidden="1" customHeight="1" x14ac:dyDescent="0.3">
      <c r="A2072" s="6" t="s">
        <v>463</v>
      </c>
      <c r="B2072" s="3" t="s">
        <v>460</v>
      </c>
      <c r="C2072" s="27" t="s">
        <v>464</v>
      </c>
      <c r="D2072" s="27"/>
      <c r="E2072" s="27"/>
    </row>
    <row r="2073" spans="1:5" ht="17.25" hidden="1" customHeight="1" thickBot="1" x14ac:dyDescent="0.35">
      <c r="A2073" s="13" t="s">
        <v>28</v>
      </c>
      <c r="B2073" s="12">
        <v>1</v>
      </c>
      <c r="C2073" s="2">
        <v>0</v>
      </c>
      <c r="D2073" s="2">
        <v>0</v>
      </c>
      <c r="E2073" s="2">
        <v>0</v>
      </c>
    </row>
    <row r="2074" spans="1:5" ht="17.25" hidden="1" customHeight="1" thickBot="1" x14ac:dyDescent="0.35">
      <c r="A2074" s="13"/>
      <c r="B2074" s="12">
        <v>2</v>
      </c>
      <c r="C2074" s="2">
        <v>1</v>
      </c>
      <c r="D2074" s="2">
        <v>0</v>
      </c>
      <c r="E2074" s="2">
        <v>0</v>
      </c>
    </row>
    <row r="2075" spans="1:5" ht="17.25" hidden="1" customHeight="1" thickBot="1" x14ac:dyDescent="0.35">
      <c r="A2075" s="13"/>
      <c r="B2075" s="12">
        <v>3</v>
      </c>
      <c r="C2075" s="2">
        <v>0</v>
      </c>
      <c r="D2075" s="2">
        <v>1</v>
      </c>
      <c r="E2075" s="2">
        <v>0</v>
      </c>
    </row>
    <row r="2076" spans="1:5" ht="16.5" hidden="1" customHeight="1" x14ac:dyDescent="0.3">
      <c r="A2076" s="14"/>
      <c r="B2076" s="15">
        <v>4</v>
      </c>
      <c r="C2076" s="2">
        <v>0</v>
      </c>
      <c r="D2076" s="2">
        <v>0</v>
      </c>
      <c r="E2076" s="2">
        <v>1</v>
      </c>
    </row>
    <row r="2077" spans="1:5" ht="16.5" hidden="1" customHeight="1" thickBot="1" x14ac:dyDescent="0.35"/>
    <row r="2078" spans="1:5" ht="66" hidden="1" customHeight="1" x14ac:dyDescent="0.3">
      <c r="A2078" s="4" t="s">
        <v>465</v>
      </c>
    </row>
    <row r="2079" spans="1:5" ht="99" hidden="1" customHeight="1" x14ac:dyDescent="0.3">
      <c r="A2079" s="23" t="s">
        <v>466</v>
      </c>
    </row>
    <row r="2080" spans="1:5" ht="16.5" hidden="1" customHeight="1" thickBot="1" x14ac:dyDescent="0.35"/>
    <row r="2081" spans="1:5" ht="16.5" hidden="1" customHeight="1" x14ac:dyDescent="0.3">
      <c r="A2081" s="24" t="s">
        <v>467</v>
      </c>
      <c r="B2081" s="26"/>
      <c r="C2081" s="26"/>
    </row>
    <row r="2082" spans="1:5" ht="66" hidden="1" customHeight="1" x14ac:dyDescent="0.3">
      <c r="A2082" s="6" t="s">
        <v>468</v>
      </c>
      <c r="B2082" s="3" t="s">
        <v>469</v>
      </c>
      <c r="C2082" s="3" t="s">
        <v>470</v>
      </c>
    </row>
    <row r="2083" spans="1:5" ht="17.25" hidden="1" customHeight="1" thickBot="1" x14ac:dyDescent="0.35">
      <c r="A2083" s="13" t="s">
        <v>471</v>
      </c>
      <c r="B2083" s="2">
        <v>1226839.6000000001</v>
      </c>
      <c r="C2083" s="2">
        <v>1200695.8</v>
      </c>
    </row>
    <row r="2084" spans="1:5" ht="17.25" hidden="1" customHeight="1" thickBot="1" x14ac:dyDescent="0.35">
      <c r="A2084" s="13" t="s">
        <v>472</v>
      </c>
      <c r="B2084" s="2">
        <v>1226853.8999999999</v>
      </c>
      <c r="C2084" s="2">
        <v>1200753</v>
      </c>
    </row>
    <row r="2085" spans="1:5" ht="16.5" hidden="1" customHeight="1" x14ac:dyDescent="0.3">
      <c r="A2085" s="14" t="s">
        <v>473</v>
      </c>
      <c r="B2085" s="2" t="s">
        <v>646</v>
      </c>
      <c r="C2085" s="2">
        <v>1200687.8</v>
      </c>
    </row>
    <row r="2086" spans="1:5" ht="16.5" hidden="1" customHeight="1" thickBot="1" x14ac:dyDescent="0.35"/>
    <row r="2087" spans="1:5" ht="16.5" hidden="1" customHeight="1" x14ac:dyDescent="0.3">
      <c r="A2087" s="24" t="s">
        <v>474</v>
      </c>
      <c r="B2087" s="26"/>
      <c r="C2087" s="26"/>
      <c r="D2087" s="26"/>
      <c r="E2087" s="26"/>
    </row>
    <row r="2088" spans="1:5" ht="16.5" hidden="1" customHeight="1" x14ac:dyDescent="0.3">
      <c r="A2088" s="6" t="s">
        <v>475</v>
      </c>
      <c r="B2088" s="3" t="s">
        <v>476</v>
      </c>
      <c r="C2088" s="3" t="s">
        <v>477</v>
      </c>
      <c r="D2088" s="3" t="s">
        <v>478</v>
      </c>
      <c r="E2088" s="3" t="s">
        <v>479</v>
      </c>
    </row>
    <row r="2089" spans="1:5" ht="33" hidden="1" customHeight="1" x14ac:dyDescent="0.3">
      <c r="A2089" s="25" t="s">
        <v>560</v>
      </c>
      <c r="B2089" s="27"/>
      <c r="C2089" s="27"/>
      <c r="D2089" s="27"/>
      <c r="E2089" s="27"/>
    </row>
    <row r="2090" spans="1:5" ht="26.25" hidden="1" customHeight="1" thickBot="1" x14ac:dyDescent="0.35">
      <c r="A2090" s="13" t="s">
        <v>481</v>
      </c>
      <c r="B2090" s="2">
        <v>18.41</v>
      </c>
      <c r="C2090" s="2">
        <v>2.9954999999999998</v>
      </c>
      <c r="D2090" s="2">
        <v>8345.6</v>
      </c>
      <c r="E2090" s="2" t="s">
        <v>482</v>
      </c>
    </row>
    <row r="2091" spans="1:5" ht="17.25" hidden="1" customHeight="1" thickBot="1" x14ac:dyDescent="0.35">
      <c r="A2091" s="13" t="s">
        <v>483</v>
      </c>
      <c r="B2091" s="2">
        <v>27.23</v>
      </c>
      <c r="C2091" s="2">
        <v>3</v>
      </c>
      <c r="D2091" s="2">
        <v>2784</v>
      </c>
      <c r="E2091" s="2" t="s">
        <v>482</v>
      </c>
    </row>
    <row r="2092" spans="1:5" ht="16.5" hidden="1" customHeight="1" x14ac:dyDescent="0.3">
      <c r="A2092" s="14" t="s">
        <v>484</v>
      </c>
      <c r="B2092" s="2">
        <v>13.43</v>
      </c>
      <c r="C2092" s="2">
        <v>3</v>
      </c>
      <c r="D2092" s="2">
        <v>2784</v>
      </c>
      <c r="E2092" s="2" t="s">
        <v>482</v>
      </c>
    </row>
    <row r="2093" spans="1:5" ht="16.5" hidden="1" customHeight="1" thickBot="1" x14ac:dyDescent="0.35"/>
    <row r="2094" spans="1:5" ht="16.5" hidden="1" customHeight="1" x14ac:dyDescent="0.3">
      <c r="A2094" s="24" t="s">
        <v>485</v>
      </c>
      <c r="B2094" s="26"/>
      <c r="C2094" s="26"/>
      <c r="D2094" s="26"/>
      <c r="E2094" s="26"/>
    </row>
    <row r="2095" spans="1:5" ht="16.5" hidden="1" customHeight="1" x14ac:dyDescent="0.3">
      <c r="A2095" s="6" t="s">
        <v>486</v>
      </c>
      <c r="B2095" s="3" t="s">
        <v>476</v>
      </c>
      <c r="C2095" s="3" t="s">
        <v>477</v>
      </c>
      <c r="D2095" s="3" t="s">
        <v>478</v>
      </c>
      <c r="E2095" s="3" t="s">
        <v>479</v>
      </c>
    </row>
    <row r="2096" spans="1:5" ht="16.5" hidden="1" customHeight="1" x14ac:dyDescent="0.3">
      <c r="A2096" s="14" t="s">
        <v>28</v>
      </c>
      <c r="B2096" s="2">
        <v>13.43</v>
      </c>
      <c r="C2096" s="2">
        <v>3</v>
      </c>
      <c r="D2096" s="2">
        <v>2784</v>
      </c>
      <c r="E2096" s="2" t="s">
        <v>482</v>
      </c>
    </row>
    <row r="2097" spans="1:9" ht="16.5" hidden="1" customHeight="1" thickBot="1" x14ac:dyDescent="0.35"/>
    <row r="2098" spans="1:9" ht="16.5" hidden="1" customHeight="1" x14ac:dyDescent="0.3">
      <c r="A2098" s="24" t="s">
        <v>487</v>
      </c>
      <c r="B2098" s="26"/>
      <c r="C2098" s="26"/>
      <c r="D2098" s="26"/>
      <c r="E2098" s="26"/>
      <c r="F2098" s="26"/>
    </row>
    <row r="2099" spans="1:9" ht="16.5" hidden="1" customHeight="1" x14ac:dyDescent="0.3">
      <c r="A2099" s="25" t="s">
        <v>488</v>
      </c>
      <c r="B2099" s="27"/>
      <c r="C2099" s="27" t="s">
        <v>489</v>
      </c>
      <c r="D2099" s="3" t="s">
        <v>490</v>
      </c>
      <c r="E2099" s="27" t="s">
        <v>492</v>
      </c>
      <c r="F2099" s="27" t="s">
        <v>493</v>
      </c>
    </row>
    <row r="2100" spans="1:9" ht="16.5" hidden="1" customHeight="1" x14ac:dyDescent="0.3">
      <c r="A2100" s="25"/>
      <c r="B2100" s="27"/>
      <c r="C2100" s="27"/>
      <c r="D2100" s="3" t="s">
        <v>491</v>
      </c>
      <c r="E2100" s="27"/>
      <c r="F2100" s="27"/>
    </row>
    <row r="2101" spans="1:9" ht="16.5" hidden="1" customHeight="1" x14ac:dyDescent="0.3">
      <c r="A2101" s="25" t="s">
        <v>531</v>
      </c>
      <c r="B2101" s="27"/>
      <c r="C2101" s="27"/>
      <c r="D2101" s="27"/>
      <c r="E2101" s="27"/>
      <c r="F2101" s="27"/>
    </row>
    <row r="2102" spans="1:9" ht="17.25" hidden="1" customHeight="1" thickBot="1" x14ac:dyDescent="0.35">
      <c r="A2102" s="13" t="s">
        <v>495</v>
      </c>
      <c r="B2102" s="12"/>
      <c r="C2102" s="16">
        <v>-5.7630999999999997</v>
      </c>
      <c r="D2102" s="2">
        <v>0.23899999999999999</v>
      </c>
      <c r="E2102" s="16">
        <v>-24.12</v>
      </c>
      <c r="F2102" s="2" t="s">
        <v>482</v>
      </c>
    </row>
    <row r="2103" spans="1:9" ht="17.25" hidden="1" customHeight="1" thickBot="1" x14ac:dyDescent="0.35">
      <c r="A2103" s="13" t="s">
        <v>28</v>
      </c>
      <c r="B2103" s="12">
        <v>2</v>
      </c>
      <c r="C2103" s="2">
        <v>0.87180000000000002</v>
      </c>
      <c r="D2103" s="2">
        <v>0.27729999999999999</v>
      </c>
      <c r="E2103" s="2">
        <v>3.14</v>
      </c>
      <c r="F2103" s="2">
        <v>1.6999999999999999E-3</v>
      </c>
    </row>
    <row r="2104" spans="1:9" ht="17.25" hidden="1" customHeight="1" thickBot="1" x14ac:dyDescent="0.35">
      <c r="A2104" s="13" t="s">
        <v>28</v>
      </c>
      <c r="B2104" s="12">
        <v>3</v>
      </c>
      <c r="C2104" s="2">
        <v>1.3582000000000001</v>
      </c>
      <c r="D2104" s="2">
        <v>0.26400000000000001</v>
      </c>
      <c r="E2104" s="2">
        <v>5.15</v>
      </c>
      <c r="F2104" s="2" t="s">
        <v>482</v>
      </c>
    </row>
    <row r="2105" spans="1:9" ht="16.5" hidden="1" customHeight="1" x14ac:dyDescent="0.3">
      <c r="A2105" s="14" t="s">
        <v>28</v>
      </c>
      <c r="B2105" s="15">
        <v>4</v>
      </c>
      <c r="C2105" s="2">
        <v>1.5195000000000001</v>
      </c>
      <c r="D2105" s="2">
        <v>0.26390000000000002</v>
      </c>
      <c r="E2105" s="2">
        <v>5.76</v>
      </c>
      <c r="F2105" s="2" t="s">
        <v>482</v>
      </c>
    </row>
    <row r="2106" spans="1:9" ht="16.5" hidden="1" customHeight="1" thickBot="1" x14ac:dyDescent="0.35"/>
    <row r="2107" spans="1:9" ht="16.5" hidden="1" customHeight="1" x14ac:dyDescent="0.3">
      <c r="A2107" s="24" t="s">
        <v>496</v>
      </c>
      <c r="B2107" s="26"/>
      <c r="C2107" s="26"/>
      <c r="D2107" s="26"/>
    </row>
    <row r="2108" spans="1:9" ht="33" hidden="1" customHeight="1" x14ac:dyDescent="0.3">
      <c r="A2108" s="6" t="s">
        <v>486</v>
      </c>
      <c r="B2108" s="3" t="s">
        <v>497</v>
      </c>
      <c r="C2108" s="27" t="s">
        <v>91</v>
      </c>
      <c r="D2108" s="27"/>
    </row>
    <row r="2109" spans="1:9" ht="49.5" hidden="1" customHeight="1" x14ac:dyDescent="0.3">
      <c r="A2109" s="25" t="s">
        <v>532</v>
      </c>
      <c r="B2109" s="27"/>
      <c r="C2109" s="27"/>
      <c r="D2109" s="27"/>
    </row>
    <row r="2110" spans="1:9" ht="26.25" thickBot="1" x14ac:dyDescent="0.35">
      <c r="A2110" s="13" t="s">
        <v>525</v>
      </c>
      <c r="B2110" s="2">
        <v>2.391</v>
      </c>
      <c r="C2110" s="2">
        <v>1.3879999999999999</v>
      </c>
      <c r="D2110" s="2">
        <v>4.1189999999999998</v>
      </c>
      <c r="H2110" s="8" t="str">
        <f t="shared" ref="H2110:H2112" si="48">TEXT(B2110,"0.00")&amp;" ("&amp;TEXT(C2110,"0.00")&amp;" to "&amp;TEXT(D2110,"0.00")&amp;")"</f>
        <v>2.39 (1.39 to 4.12)</v>
      </c>
      <c r="I2110">
        <f>F2103</f>
        <v>1.6999999999999999E-3</v>
      </c>
    </row>
    <row r="2111" spans="1:9" ht="26.25" thickBot="1" x14ac:dyDescent="0.35">
      <c r="A2111" s="13" t="s">
        <v>526</v>
      </c>
      <c r="B2111" s="2">
        <v>3.8889999999999998</v>
      </c>
      <c r="C2111" s="2">
        <v>2.3180000000000001</v>
      </c>
      <c r="D2111" s="2">
        <v>6.5259999999999998</v>
      </c>
      <c r="H2111" s="8" t="str">
        <f t="shared" si="48"/>
        <v>3.89 (2.32 to 6.53)</v>
      </c>
      <c r="I2111" t="str">
        <f t="shared" ref="I2111:I2112" si="49">F2104</f>
        <v>&lt;.0001</v>
      </c>
    </row>
    <row r="2112" spans="1:9" ht="25.5" x14ac:dyDescent="0.3">
      <c r="A2112" s="14" t="s">
        <v>527</v>
      </c>
      <c r="B2112" s="2">
        <v>4.57</v>
      </c>
      <c r="C2112" s="2">
        <v>2.7240000000000002</v>
      </c>
      <c r="D2112" s="2">
        <v>7.6669999999999998</v>
      </c>
      <c r="H2112" s="8" t="str">
        <f t="shared" si="48"/>
        <v>4.57 (2.72 to 7.67)</v>
      </c>
      <c r="I2112" t="str">
        <f t="shared" si="49"/>
        <v>&lt;.0001</v>
      </c>
    </row>
    <row r="2113" spans="1:4" ht="16.5" hidden="1" customHeight="1" thickBot="1" x14ac:dyDescent="0.35"/>
    <row r="2114" spans="1:4" ht="33" hidden="1" customHeight="1" x14ac:dyDescent="0.3">
      <c r="A2114" s="24" t="s">
        <v>502</v>
      </c>
      <c r="B2114" s="26"/>
      <c r="C2114" s="26"/>
      <c r="D2114" s="26"/>
    </row>
    <row r="2115" spans="1:4" ht="39" hidden="1" customHeight="1" thickBot="1" x14ac:dyDescent="0.35">
      <c r="A2115" s="13" t="s">
        <v>503</v>
      </c>
      <c r="B2115" s="2">
        <v>51.4</v>
      </c>
      <c r="C2115" s="12" t="s">
        <v>504</v>
      </c>
      <c r="D2115" s="2">
        <v>0.27800000000000002</v>
      </c>
    </row>
    <row r="2116" spans="1:4" ht="26.25" hidden="1" customHeight="1" thickBot="1" x14ac:dyDescent="0.35">
      <c r="A2116" s="13" t="s">
        <v>505</v>
      </c>
      <c r="B2116" s="2">
        <v>23.6</v>
      </c>
      <c r="C2116" s="12" t="s">
        <v>506</v>
      </c>
      <c r="D2116" s="2">
        <v>0.371</v>
      </c>
    </row>
    <row r="2117" spans="1:4" ht="26.25" hidden="1" customHeight="1" thickBot="1" x14ac:dyDescent="0.35">
      <c r="A2117" s="13" t="s">
        <v>507</v>
      </c>
      <c r="B2117" s="2">
        <v>25.1</v>
      </c>
      <c r="C2117" s="12" t="s">
        <v>508</v>
      </c>
      <c r="D2117" s="2">
        <v>7.0000000000000001E-3</v>
      </c>
    </row>
    <row r="2118" spans="1:4" ht="16.5" hidden="1" customHeight="1" x14ac:dyDescent="0.3">
      <c r="A2118" s="14" t="s">
        <v>509</v>
      </c>
      <c r="B2118" s="2">
        <v>8359740</v>
      </c>
      <c r="C2118" s="15" t="s">
        <v>510</v>
      </c>
      <c r="D2118" s="2">
        <v>0.63900000000000001</v>
      </c>
    </row>
    <row r="2119" spans="1:4" ht="16.5" hidden="1" customHeight="1" x14ac:dyDescent="0.3"/>
    <row r="2120" spans="1:4" ht="16.5" hidden="1" customHeight="1" x14ac:dyDescent="0.3"/>
    <row r="2121" spans="1:4" ht="16.5" hidden="1" customHeight="1" x14ac:dyDescent="0.3"/>
    <row r="2122" spans="1:4" ht="16.5" hidden="1" customHeight="1" x14ac:dyDescent="0.3">
      <c r="A2122" s="1" t="s">
        <v>436</v>
      </c>
    </row>
    <row r="2123" spans="1:4" ht="16.5" hidden="1" customHeight="1" x14ac:dyDescent="0.3"/>
    <row r="2124" spans="1:4" ht="16.5" hidden="1" customHeight="1" x14ac:dyDescent="0.3">
      <c r="A2124" s="1" t="s">
        <v>423</v>
      </c>
    </row>
    <row r="2125" spans="1:4" ht="16.5" hidden="1" customHeight="1" thickBot="1" x14ac:dyDescent="0.35"/>
    <row r="2126" spans="1:4" ht="16.5" hidden="1" customHeight="1" x14ac:dyDescent="0.3">
      <c r="A2126" s="24" t="s">
        <v>437</v>
      </c>
      <c r="B2126" s="26"/>
    </row>
    <row r="2127" spans="1:4" ht="26.25" hidden="1" customHeight="1" thickBot="1" x14ac:dyDescent="0.35">
      <c r="A2127" s="13" t="s">
        <v>438</v>
      </c>
      <c r="B2127" s="18" t="s">
        <v>439</v>
      </c>
    </row>
    <row r="2128" spans="1:4" ht="26.25" hidden="1" customHeight="1" thickBot="1" x14ac:dyDescent="0.35">
      <c r="A2128" s="13" t="s">
        <v>440</v>
      </c>
      <c r="B2128" s="18" t="s">
        <v>19</v>
      </c>
    </row>
    <row r="2129" spans="1:2" ht="39" hidden="1" customHeight="1" thickBot="1" x14ac:dyDescent="0.35">
      <c r="A2129" s="13" t="s">
        <v>441</v>
      </c>
      <c r="B2129" s="18">
        <v>2</v>
      </c>
    </row>
    <row r="2130" spans="1:2" ht="26.25" hidden="1" customHeight="1" thickBot="1" x14ac:dyDescent="0.35">
      <c r="A2130" s="13" t="s">
        <v>442</v>
      </c>
      <c r="B2130" s="18" t="s">
        <v>443</v>
      </c>
    </row>
    <row r="2131" spans="1:2" ht="26.25" hidden="1" customHeight="1" thickBot="1" x14ac:dyDescent="0.35">
      <c r="A2131" s="13" t="s">
        <v>76</v>
      </c>
      <c r="B2131" s="18">
        <v>183</v>
      </c>
    </row>
    <row r="2132" spans="1:2" ht="26.25" hidden="1" customHeight="1" thickBot="1" x14ac:dyDescent="0.35">
      <c r="A2132" s="13" t="s">
        <v>444</v>
      </c>
      <c r="B2132" s="18" t="s">
        <v>445</v>
      </c>
    </row>
    <row r="2133" spans="1:2" ht="26.25" hidden="1" customHeight="1" thickBot="1" x14ac:dyDescent="0.35">
      <c r="A2133" s="13" t="s">
        <v>77</v>
      </c>
      <c r="B2133" s="18">
        <v>2955</v>
      </c>
    </row>
    <row r="2134" spans="1:2" ht="26.25" hidden="1" customHeight="1" thickBot="1" x14ac:dyDescent="0.35">
      <c r="A2134" s="13" t="s">
        <v>446</v>
      </c>
      <c r="B2134" s="18" t="s">
        <v>447</v>
      </c>
    </row>
    <row r="2135" spans="1:2" ht="26.25" hidden="1" customHeight="1" thickBot="1" x14ac:dyDescent="0.35">
      <c r="A2135" s="13" t="s">
        <v>448</v>
      </c>
      <c r="B2135" s="18" t="s">
        <v>449</v>
      </c>
    </row>
    <row r="2136" spans="1:2" ht="39" hidden="1" customHeight="1" thickBot="1" x14ac:dyDescent="0.35">
      <c r="A2136" s="13" t="s">
        <v>450</v>
      </c>
      <c r="B2136" s="18" t="s">
        <v>451</v>
      </c>
    </row>
    <row r="2137" spans="1:2" ht="38.25" hidden="1" customHeight="1" x14ac:dyDescent="0.3">
      <c r="A2137" s="14" t="s">
        <v>452</v>
      </c>
      <c r="B2137" s="19" t="s">
        <v>453</v>
      </c>
    </row>
    <row r="2138" spans="1:2" ht="16.5" hidden="1" customHeight="1" thickBot="1" x14ac:dyDescent="0.35"/>
    <row r="2139" spans="1:2" ht="33" hidden="1" customHeight="1" x14ac:dyDescent="0.3">
      <c r="A2139" s="24" t="s">
        <v>80</v>
      </c>
      <c r="B2139" s="26"/>
    </row>
    <row r="2140" spans="1:2" ht="33.75" hidden="1" customHeight="1" thickBot="1" x14ac:dyDescent="0.35">
      <c r="A2140" s="13" t="s">
        <v>81</v>
      </c>
      <c r="B2140" s="2" t="s">
        <v>82</v>
      </c>
    </row>
    <row r="2141" spans="1:2" ht="66" hidden="1" customHeight="1" x14ac:dyDescent="0.3">
      <c r="A2141" s="14" t="s">
        <v>452</v>
      </c>
      <c r="B2141" s="2" t="s">
        <v>453</v>
      </c>
    </row>
    <row r="2142" spans="1:2" ht="16.5" hidden="1" customHeight="1" thickBot="1" x14ac:dyDescent="0.35"/>
    <row r="2143" spans="1:2" ht="39" hidden="1" customHeight="1" thickBot="1" x14ac:dyDescent="0.35">
      <c r="A2143" s="20" t="s">
        <v>454</v>
      </c>
      <c r="B2143" s="21">
        <v>16728</v>
      </c>
    </row>
    <row r="2144" spans="1:2" ht="39" hidden="1" customHeight="1" thickBot="1" x14ac:dyDescent="0.35">
      <c r="A2144" s="13" t="s">
        <v>455</v>
      </c>
      <c r="B2144" s="2">
        <v>16728</v>
      </c>
    </row>
    <row r="2145" spans="1:5" ht="39" hidden="1" customHeight="1" thickBot="1" x14ac:dyDescent="0.35">
      <c r="A2145" s="13" t="s">
        <v>456</v>
      </c>
      <c r="B2145" s="2">
        <v>7772308</v>
      </c>
    </row>
    <row r="2146" spans="1:5" ht="38.25" hidden="1" customHeight="1" x14ac:dyDescent="0.3">
      <c r="A2146" s="14" t="s">
        <v>457</v>
      </c>
      <c r="B2146" s="2">
        <v>7772308</v>
      </c>
    </row>
    <row r="2147" spans="1:5" ht="16.5" hidden="1" customHeight="1" thickBot="1" x14ac:dyDescent="0.35"/>
    <row r="2148" spans="1:5" ht="16.5" hidden="1" customHeight="1" x14ac:dyDescent="0.3">
      <c r="A2148" s="24" t="s">
        <v>458</v>
      </c>
      <c r="B2148" s="26"/>
      <c r="C2148" s="26"/>
      <c r="D2148" s="26"/>
    </row>
    <row r="2149" spans="1:5" ht="16.5" hidden="1" customHeight="1" x14ac:dyDescent="0.3">
      <c r="A2149" s="6" t="s">
        <v>459</v>
      </c>
      <c r="B2149" s="27" t="s">
        <v>19</v>
      </c>
      <c r="C2149" s="3" t="s">
        <v>93</v>
      </c>
      <c r="D2149" s="3" t="s">
        <v>93</v>
      </c>
    </row>
    <row r="2150" spans="1:5" ht="33" hidden="1" customHeight="1" x14ac:dyDescent="0.3">
      <c r="A2150" s="6" t="s">
        <v>460</v>
      </c>
      <c r="B2150" s="27"/>
      <c r="C2150" s="3" t="s">
        <v>86</v>
      </c>
      <c r="D2150" s="3" t="s">
        <v>461</v>
      </c>
    </row>
    <row r="2151" spans="1:5" ht="17.25" hidden="1" customHeight="1" thickBot="1" x14ac:dyDescent="0.35">
      <c r="A2151" s="6">
        <v>1</v>
      </c>
      <c r="B2151" s="17">
        <v>0</v>
      </c>
      <c r="C2151" s="2">
        <v>16463</v>
      </c>
      <c r="D2151" s="2">
        <v>7682112.7000000002</v>
      </c>
    </row>
    <row r="2152" spans="1:5" ht="16.5" hidden="1" customHeight="1" x14ac:dyDescent="0.3">
      <c r="A2152" s="6">
        <v>2</v>
      </c>
      <c r="B2152" s="22">
        <v>1</v>
      </c>
      <c r="C2152" s="2">
        <v>265</v>
      </c>
      <c r="D2152" s="2">
        <v>90195.199999999997</v>
      </c>
    </row>
    <row r="2153" spans="1:5" ht="16.5" hidden="1" customHeight="1" x14ac:dyDescent="0.3"/>
    <row r="2154" spans="1:5" ht="16.5" hidden="1" customHeight="1" x14ac:dyDescent="0.3">
      <c r="A2154" s="1" t="s">
        <v>513</v>
      </c>
    </row>
    <row r="2155" spans="1:5" ht="16.5" hidden="1" customHeight="1" thickBot="1" x14ac:dyDescent="0.35"/>
    <row r="2156" spans="1:5" ht="16.5" hidden="1" customHeight="1" x14ac:dyDescent="0.3">
      <c r="A2156" s="24" t="s">
        <v>462</v>
      </c>
      <c r="B2156" s="26"/>
      <c r="C2156" s="26"/>
      <c r="D2156" s="26"/>
      <c r="E2156" s="26"/>
    </row>
    <row r="2157" spans="1:5" ht="16.5" hidden="1" customHeight="1" x14ac:dyDescent="0.3">
      <c r="A2157" s="6" t="s">
        <v>463</v>
      </c>
      <c r="B2157" s="3" t="s">
        <v>460</v>
      </c>
      <c r="C2157" s="27" t="s">
        <v>464</v>
      </c>
      <c r="D2157" s="27"/>
      <c r="E2157" s="27"/>
    </row>
    <row r="2158" spans="1:5" ht="17.25" hidden="1" customHeight="1" thickBot="1" x14ac:dyDescent="0.35">
      <c r="A2158" s="13" t="s">
        <v>28</v>
      </c>
      <c r="B2158" s="12">
        <v>1</v>
      </c>
      <c r="C2158" s="2">
        <v>0</v>
      </c>
      <c r="D2158" s="2">
        <v>0</v>
      </c>
      <c r="E2158" s="2">
        <v>0</v>
      </c>
    </row>
    <row r="2159" spans="1:5" ht="17.25" hidden="1" customHeight="1" thickBot="1" x14ac:dyDescent="0.35">
      <c r="A2159" s="13"/>
      <c r="B2159" s="12">
        <v>2</v>
      </c>
      <c r="C2159" s="2">
        <v>1</v>
      </c>
      <c r="D2159" s="2">
        <v>0</v>
      </c>
      <c r="E2159" s="2">
        <v>0</v>
      </c>
    </row>
    <row r="2160" spans="1:5" ht="17.25" hidden="1" customHeight="1" thickBot="1" x14ac:dyDescent="0.35">
      <c r="A2160" s="13"/>
      <c r="B2160" s="12">
        <v>3</v>
      </c>
      <c r="C2160" s="2">
        <v>0</v>
      </c>
      <c r="D2160" s="2">
        <v>1</v>
      </c>
      <c r="E2160" s="2">
        <v>0</v>
      </c>
    </row>
    <row r="2161" spans="1:5" ht="16.5" hidden="1" customHeight="1" x14ac:dyDescent="0.3">
      <c r="A2161" s="14"/>
      <c r="B2161" s="15">
        <v>4</v>
      </c>
      <c r="C2161" s="2">
        <v>0</v>
      </c>
      <c r="D2161" s="2">
        <v>0</v>
      </c>
      <c r="E2161" s="2">
        <v>1</v>
      </c>
    </row>
    <row r="2162" spans="1:5" ht="16.5" hidden="1" customHeight="1" thickBot="1" x14ac:dyDescent="0.35"/>
    <row r="2163" spans="1:5" ht="66" hidden="1" customHeight="1" x14ac:dyDescent="0.3">
      <c r="A2163" s="4" t="s">
        <v>465</v>
      </c>
    </row>
    <row r="2164" spans="1:5" ht="99" hidden="1" customHeight="1" x14ac:dyDescent="0.3">
      <c r="A2164" s="23" t="s">
        <v>466</v>
      </c>
    </row>
    <row r="2165" spans="1:5" ht="16.5" hidden="1" customHeight="1" thickBot="1" x14ac:dyDescent="0.35"/>
    <row r="2166" spans="1:5" ht="16.5" hidden="1" customHeight="1" x14ac:dyDescent="0.3">
      <c r="A2166" s="24" t="s">
        <v>467</v>
      </c>
      <c r="B2166" s="26"/>
      <c r="C2166" s="26"/>
    </row>
    <row r="2167" spans="1:5" ht="66" hidden="1" customHeight="1" x14ac:dyDescent="0.3">
      <c r="A2167" s="6" t="s">
        <v>468</v>
      </c>
      <c r="B2167" s="3" t="s">
        <v>469</v>
      </c>
      <c r="C2167" s="3" t="s">
        <v>470</v>
      </c>
    </row>
    <row r="2168" spans="1:5" ht="17.25" hidden="1" customHeight="1" thickBot="1" x14ac:dyDescent="0.35">
      <c r="A2168" s="13" t="s">
        <v>471</v>
      </c>
      <c r="B2168" s="2">
        <v>983224.16</v>
      </c>
      <c r="C2168" s="2">
        <v>976668.93</v>
      </c>
    </row>
    <row r="2169" spans="1:5" ht="17.25" hidden="1" customHeight="1" thickBot="1" x14ac:dyDescent="0.35">
      <c r="A2169" s="13" t="s">
        <v>472</v>
      </c>
      <c r="B2169" s="2">
        <v>983238.03</v>
      </c>
      <c r="C2169" s="2">
        <v>976724.39</v>
      </c>
    </row>
    <row r="2170" spans="1:5" ht="16.5" hidden="1" customHeight="1" x14ac:dyDescent="0.3">
      <c r="A2170" s="14" t="s">
        <v>473</v>
      </c>
      <c r="B2170" s="2" t="s">
        <v>647</v>
      </c>
      <c r="C2170" s="2">
        <v>976660.93</v>
      </c>
    </row>
    <row r="2171" spans="1:5" ht="16.5" hidden="1" customHeight="1" thickBot="1" x14ac:dyDescent="0.35"/>
    <row r="2172" spans="1:5" ht="16.5" hidden="1" customHeight="1" x14ac:dyDescent="0.3">
      <c r="A2172" s="24" t="s">
        <v>474</v>
      </c>
      <c r="B2172" s="26"/>
      <c r="C2172" s="26"/>
      <c r="D2172" s="26"/>
      <c r="E2172" s="26"/>
    </row>
    <row r="2173" spans="1:5" ht="16.5" hidden="1" customHeight="1" x14ac:dyDescent="0.3">
      <c r="A2173" s="6" t="s">
        <v>475</v>
      </c>
      <c r="B2173" s="3" t="s">
        <v>476</v>
      </c>
      <c r="C2173" s="3" t="s">
        <v>477</v>
      </c>
      <c r="D2173" s="3" t="s">
        <v>478</v>
      </c>
      <c r="E2173" s="3" t="s">
        <v>479</v>
      </c>
    </row>
    <row r="2174" spans="1:5" ht="33" hidden="1" customHeight="1" x14ac:dyDescent="0.3">
      <c r="A2174" s="25" t="s">
        <v>599</v>
      </c>
      <c r="B2174" s="27"/>
      <c r="C2174" s="27"/>
      <c r="D2174" s="27"/>
      <c r="E2174" s="27"/>
    </row>
    <row r="2175" spans="1:5" ht="26.25" hidden="1" customHeight="1" thickBot="1" x14ac:dyDescent="0.35">
      <c r="A2175" s="13" t="s">
        <v>481</v>
      </c>
      <c r="B2175" s="2">
        <v>4.7300000000000004</v>
      </c>
      <c r="C2175" s="2">
        <v>2.9883000000000002</v>
      </c>
      <c r="D2175" s="2">
        <v>8283.5400000000009</v>
      </c>
      <c r="E2175" s="2">
        <v>2.7000000000000001E-3</v>
      </c>
    </row>
    <row r="2176" spans="1:5" ht="17.25" hidden="1" customHeight="1" thickBot="1" x14ac:dyDescent="0.35">
      <c r="A2176" s="13" t="s">
        <v>483</v>
      </c>
      <c r="B2176" s="2">
        <v>5.98</v>
      </c>
      <c r="C2176" s="2">
        <v>3</v>
      </c>
      <c r="D2176" s="2">
        <v>2770</v>
      </c>
      <c r="E2176" s="2">
        <v>5.0000000000000001E-4</v>
      </c>
    </row>
    <row r="2177" spans="1:6" ht="16.5" hidden="1" customHeight="1" x14ac:dyDescent="0.3">
      <c r="A2177" s="14" t="s">
        <v>484</v>
      </c>
      <c r="B2177" s="2">
        <v>3.52</v>
      </c>
      <c r="C2177" s="2">
        <v>3</v>
      </c>
      <c r="D2177" s="2">
        <v>2770</v>
      </c>
      <c r="E2177" s="2">
        <v>1.4500000000000001E-2</v>
      </c>
    </row>
    <row r="2178" spans="1:6" ht="16.5" hidden="1" customHeight="1" thickBot="1" x14ac:dyDescent="0.35"/>
    <row r="2179" spans="1:6" ht="16.5" hidden="1" customHeight="1" x14ac:dyDescent="0.3">
      <c r="A2179" s="24" t="s">
        <v>485</v>
      </c>
      <c r="B2179" s="26"/>
      <c r="C2179" s="26"/>
      <c r="D2179" s="26"/>
      <c r="E2179" s="26"/>
    </row>
    <row r="2180" spans="1:6" ht="16.5" hidden="1" customHeight="1" x14ac:dyDescent="0.3">
      <c r="A2180" s="6" t="s">
        <v>486</v>
      </c>
      <c r="B2180" s="3" t="s">
        <v>476</v>
      </c>
      <c r="C2180" s="3" t="s">
        <v>477</v>
      </c>
      <c r="D2180" s="3" t="s">
        <v>478</v>
      </c>
      <c r="E2180" s="3" t="s">
        <v>479</v>
      </c>
    </row>
    <row r="2181" spans="1:6" ht="16.5" hidden="1" customHeight="1" x14ac:dyDescent="0.3">
      <c r="A2181" s="14" t="s">
        <v>28</v>
      </c>
      <c r="B2181" s="2">
        <v>3.52</v>
      </c>
      <c r="C2181" s="2">
        <v>3</v>
      </c>
      <c r="D2181" s="2">
        <v>2770</v>
      </c>
      <c r="E2181" s="2">
        <v>1.4500000000000001E-2</v>
      </c>
    </row>
    <row r="2182" spans="1:6" ht="16.5" hidden="1" customHeight="1" thickBot="1" x14ac:dyDescent="0.35"/>
    <row r="2183" spans="1:6" ht="16.5" hidden="1" customHeight="1" x14ac:dyDescent="0.3">
      <c r="A2183" s="24" t="s">
        <v>487</v>
      </c>
      <c r="B2183" s="26"/>
      <c r="C2183" s="26"/>
      <c r="D2183" s="26"/>
      <c r="E2183" s="26"/>
      <c r="F2183" s="26"/>
    </row>
    <row r="2184" spans="1:6" ht="16.5" hidden="1" customHeight="1" x14ac:dyDescent="0.3">
      <c r="A2184" s="25" t="s">
        <v>488</v>
      </c>
      <c r="B2184" s="27"/>
      <c r="C2184" s="27" t="s">
        <v>489</v>
      </c>
      <c r="D2184" s="3" t="s">
        <v>490</v>
      </c>
      <c r="E2184" s="27" t="s">
        <v>492</v>
      </c>
      <c r="F2184" s="27" t="s">
        <v>493</v>
      </c>
    </row>
    <row r="2185" spans="1:6" ht="16.5" hidden="1" customHeight="1" x14ac:dyDescent="0.3">
      <c r="A2185" s="25"/>
      <c r="B2185" s="27"/>
      <c r="C2185" s="27"/>
      <c r="D2185" s="3" t="s">
        <v>491</v>
      </c>
      <c r="E2185" s="27"/>
      <c r="F2185" s="27"/>
    </row>
    <row r="2186" spans="1:6" ht="16.5" hidden="1" customHeight="1" x14ac:dyDescent="0.3">
      <c r="A2186" s="25" t="s">
        <v>593</v>
      </c>
      <c r="B2186" s="27"/>
      <c r="C2186" s="27"/>
      <c r="D2186" s="27"/>
      <c r="E2186" s="27"/>
      <c r="F2186" s="27"/>
    </row>
    <row r="2187" spans="1:6" ht="17.25" hidden="1" customHeight="1" thickBot="1" x14ac:dyDescent="0.35">
      <c r="A2187" s="13" t="s">
        <v>495</v>
      </c>
      <c r="B2187" s="12"/>
      <c r="C2187" s="16">
        <v>-5.1180000000000003</v>
      </c>
      <c r="D2187" s="2">
        <v>0.24479999999999999</v>
      </c>
      <c r="E2187" s="16">
        <v>-20.9</v>
      </c>
      <c r="F2187" s="2" t="s">
        <v>482</v>
      </c>
    </row>
    <row r="2188" spans="1:6" ht="17.25" hidden="1" customHeight="1" thickBot="1" x14ac:dyDescent="0.35">
      <c r="A2188" s="13" t="s">
        <v>28</v>
      </c>
      <c r="B2188" s="12">
        <v>2</v>
      </c>
      <c r="C2188" s="2">
        <v>0.6401</v>
      </c>
      <c r="D2188" s="2">
        <v>0.2893</v>
      </c>
      <c r="E2188" s="2">
        <v>2.21</v>
      </c>
      <c r="F2188" s="2">
        <v>2.7E-2</v>
      </c>
    </row>
    <row r="2189" spans="1:6" ht="17.25" hidden="1" customHeight="1" thickBot="1" x14ac:dyDescent="0.35">
      <c r="A2189" s="13" t="s">
        <v>28</v>
      </c>
      <c r="B2189" s="12">
        <v>3</v>
      </c>
      <c r="C2189" s="2">
        <v>0.85970000000000002</v>
      </c>
      <c r="D2189" s="2">
        <v>0.27600000000000002</v>
      </c>
      <c r="E2189" s="2">
        <v>3.12</v>
      </c>
      <c r="F2189" s="2">
        <v>1.9E-3</v>
      </c>
    </row>
    <row r="2190" spans="1:6" ht="16.5" hidden="1" customHeight="1" x14ac:dyDescent="0.3">
      <c r="A2190" s="14" t="s">
        <v>28</v>
      </c>
      <c r="B2190" s="15">
        <v>4</v>
      </c>
      <c r="C2190" s="2">
        <v>0.81340000000000001</v>
      </c>
      <c r="D2190" s="2">
        <v>0.27410000000000001</v>
      </c>
      <c r="E2190" s="2">
        <v>2.97</v>
      </c>
      <c r="F2190" s="2">
        <v>3.0000000000000001E-3</v>
      </c>
    </row>
    <row r="2191" spans="1:6" ht="16.5" hidden="1" customHeight="1" thickBot="1" x14ac:dyDescent="0.35"/>
    <row r="2192" spans="1:6" ht="16.5" hidden="1" customHeight="1" x14ac:dyDescent="0.3">
      <c r="A2192" s="24" t="s">
        <v>496</v>
      </c>
      <c r="B2192" s="26"/>
      <c r="C2192" s="26"/>
      <c r="D2192" s="26"/>
    </row>
    <row r="2193" spans="1:9" ht="33" hidden="1" customHeight="1" x14ac:dyDescent="0.3">
      <c r="A2193" s="6" t="s">
        <v>486</v>
      </c>
      <c r="B2193" s="3" t="s">
        <v>497</v>
      </c>
      <c r="C2193" s="27" t="s">
        <v>91</v>
      </c>
      <c r="D2193" s="27"/>
    </row>
    <row r="2194" spans="1:9" ht="49.5" hidden="1" customHeight="1" x14ac:dyDescent="0.3">
      <c r="A2194" s="25" t="s">
        <v>594</v>
      </c>
      <c r="B2194" s="27"/>
      <c r="C2194" s="27"/>
      <c r="D2194" s="27"/>
    </row>
    <row r="2195" spans="1:9" ht="26.25" thickBot="1" x14ac:dyDescent="0.35">
      <c r="A2195" s="13" t="s">
        <v>525</v>
      </c>
      <c r="B2195" s="2">
        <v>1.897</v>
      </c>
      <c r="C2195" s="2">
        <v>1.0760000000000001</v>
      </c>
      <c r="D2195" s="2">
        <v>3.3439999999999999</v>
      </c>
      <c r="H2195" s="8" t="str">
        <f t="shared" ref="H2195:H2197" si="50">TEXT(B2195,"0.00")&amp;" ("&amp;TEXT(C2195,"0.00")&amp;" to "&amp;TEXT(D2195,"0.00")&amp;")"</f>
        <v>1.90 (1.08 to 3.34)</v>
      </c>
      <c r="I2195">
        <f>F2188</f>
        <v>2.7E-2</v>
      </c>
    </row>
    <row r="2196" spans="1:9" ht="26.25" thickBot="1" x14ac:dyDescent="0.35">
      <c r="A2196" s="13" t="s">
        <v>526</v>
      </c>
      <c r="B2196" s="2">
        <v>2.3620000000000001</v>
      </c>
      <c r="C2196" s="2">
        <v>1.375</v>
      </c>
      <c r="D2196" s="2">
        <v>4.0590000000000002</v>
      </c>
      <c r="H2196" s="8" t="str">
        <f t="shared" si="50"/>
        <v>2.36 (1.38 to 4.06)</v>
      </c>
      <c r="I2196">
        <f t="shared" ref="I2196:I2197" si="51">F2189</f>
        <v>1.9E-3</v>
      </c>
    </row>
    <row r="2197" spans="1:9" ht="25.5" x14ac:dyDescent="0.3">
      <c r="A2197" s="14" t="s">
        <v>527</v>
      </c>
      <c r="B2197" s="2">
        <v>2.2559999999999998</v>
      </c>
      <c r="C2197" s="2">
        <v>1.3180000000000001</v>
      </c>
      <c r="D2197" s="2">
        <v>3.8610000000000002</v>
      </c>
      <c r="H2197" s="8" t="str">
        <f t="shared" si="50"/>
        <v>2.26 (1.32 to 3.86)</v>
      </c>
      <c r="I2197">
        <f t="shared" si="51"/>
        <v>3.0000000000000001E-3</v>
      </c>
    </row>
    <row r="2198" spans="1:9" ht="16.5" hidden="1" customHeight="1" thickBot="1" x14ac:dyDescent="0.35"/>
    <row r="2199" spans="1:9" ht="33" hidden="1" customHeight="1" x14ac:dyDescent="0.3">
      <c r="A2199" s="24" t="s">
        <v>502</v>
      </c>
      <c r="B2199" s="26"/>
      <c r="C2199" s="26"/>
      <c r="D2199" s="26"/>
    </row>
    <row r="2200" spans="1:9" ht="39" hidden="1" customHeight="1" thickBot="1" x14ac:dyDescent="0.35">
      <c r="A2200" s="13" t="s">
        <v>503</v>
      </c>
      <c r="B2200" s="2">
        <v>33.6</v>
      </c>
      <c r="C2200" s="12" t="s">
        <v>504</v>
      </c>
      <c r="D2200" s="2">
        <v>0.128</v>
      </c>
    </row>
    <row r="2201" spans="1:9" ht="26.25" hidden="1" customHeight="1" thickBot="1" x14ac:dyDescent="0.35">
      <c r="A2201" s="13" t="s">
        <v>505</v>
      </c>
      <c r="B2201" s="2">
        <v>20.8</v>
      </c>
      <c r="C2201" s="12" t="s">
        <v>506</v>
      </c>
      <c r="D2201" s="2">
        <v>0.23499999999999999</v>
      </c>
    </row>
    <row r="2202" spans="1:9" ht="26.25" hidden="1" customHeight="1" thickBot="1" x14ac:dyDescent="0.35">
      <c r="A2202" s="13" t="s">
        <v>507</v>
      </c>
      <c r="B2202" s="2">
        <v>45.7</v>
      </c>
      <c r="C2202" s="12" t="s">
        <v>508</v>
      </c>
      <c r="D2202" s="2">
        <v>4.0000000000000001E-3</v>
      </c>
    </row>
    <row r="2203" spans="1:9" ht="16.5" hidden="1" customHeight="1" x14ac:dyDescent="0.3">
      <c r="A2203" s="14" t="s">
        <v>509</v>
      </c>
      <c r="B2203" s="2">
        <v>4362695</v>
      </c>
      <c r="C2203" s="15" t="s">
        <v>510</v>
      </c>
      <c r="D2203" s="2">
        <v>0.56399999999999995</v>
      </c>
    </row>
    <row r="2204" spans="1:9" ht="16.5" hidden="1" customHeight="1" x14ac:dyDescent="0.3"/>
    <row r="2205" spans="1:9" ht="16.5" hidden="1" customHeight="1" x14ac:dyDescent="0.3"/>
    <row r="2206" spans="1:9" ht="16.5" hidden="1" customHeight="1" x14ac:dyDescent="0.3"/>
    <row r="2207" spans="1:9" ht="16.5" hidden="1" customHeight="1" x14ac:dyDescent="0.3">
      <c r="A2207" s="1" t="s">
        <v>436</v>
      </c>
    </row>
    <row r="2208" spans="1:9" ht="16.5" hidden="1" customHeight="1" x14ac:dyDescent="0.3"/>
    <row r="2209" spans="1:2" ht="16.5" hidden="1" customHeight="1" x14ac:dyDescent="0.3">
      <c r="A2209" s="1" t="s">
        <v>424</v>
      </c>
    </row>
    <row r="2210" spans="1:2" ht="16.5" hidden="1" customHeight="1" thickBot="1" x14ac:dyDescent="0.35"/>
    <row r="2211" spans="1:2" ht="16.5" hidden="1" customHeight="1" x14ac:dyDescent="0.3">
      <c r="A2211" s="24" t="s">
        <v>437</v>
      </c>
      <c r="B2211" s="26"/>
    </row>
    <row r="2212" spans="1:2" ht="26.25" hidden="1" customHeight="1" thickBot="1" x14ac:dyDescent="0.35">
      <c r="A2212" s="13" t="s">
        <v>438</v>
      </c>
      <c r="B2212" s="18" t="s">
        <v>439</v>
      </c>
    </row>
    <row r="2213" spans="1:2" ht="26.25" hidden="1" customHeight="1" thickBot="1" x14ac:dyDescent="0.35">
      <c r="A2213" s="13" t="s">
        <v>440</v>
      </c>
      <c r="B2213" s="18" t="s">
        <v>19</v>
      </c>
    </row>
    <row r="2214" spans="1:2" ht="39" hidden="1" customHeight="1" thickBot="1" x14ac:dyDescent="0.35">
      <c r="A2214" s="13" t="s">
        <v>441</v>
      </c>
      <c r="B2214" s="18">
        <v>2</v>
      </c>
    </row>
    <row r="2215" spans="1:2" ht="26.25" hidden="1" customHeight="1" thickBot="1" x14ac:dyDescent="0.35">
      <c r="A2215" s="13" t="s">
        <v>442</v>
      </c>
      <c r="B2215" s="18" t="s">
        <v>443</v>
      </c>
    </row>
    <row r="2216" spans="1:2" ht="26.25" hidden="1" customHeight="1" thickBot="1" x14ac:dyDescent="0.35">
      <c r="A2216" s="13" t="s">
        <v>76</v>
      </c>
      <c r="B2216" s="18">
        <v>183</v>
      </c>
    </row>
    <row r="2217" spans="1:2" ht="26.25" hidden="1" customHeight="1" thickBot="1" x14ac:dyDescent="0.35">
      <c r="A2217" s="13" t="s">
        <v>444</v>
      </c>
      <c r="B2217" s="18" t="s">
        <v>445</v>
      </c>
    </row>
    <row r="2218" spans="1:2" ht="26.25" hidden="1" customHeight="1" thickBot="1" x14ac:dyDescent="0.35">
      <c r="A2218" s="13" t="s">
        <v>77</v>
      </c>
      <c r="B2218" s="18">
        <v>2982</v>
      </c>
    </row>
    <row r="2219" spans="1:2" ht="26.25" hidden="1" customHeight="1" thickBot="1" x14ac:dyDescent="0.35">
      <c r="A2219" s="13" t="s">
        <v>446</v>
      </c>
      <c r="B2219" s="18" t="s">
        <v>447</v>
      </c>
    </row>
    <row r="2220" spans="1:2" ht="26.25" hidden="1" customHeight="1" thickBot="1" x14ac:dyDescent="0.35">
      <c r="A2220" s="13" t="s">
        <v>448</v>
      </c>
      <c r="B2220" s="18" t="s">
        <v>449</v>
      </c>
    </row>
    <row r="2221" spans="1:2" ht="39" hidden="1" customHeight="1" thickBot="1" x14ac:dyDescent="0.35">
      <c r="A2221" s="13" t="s">
        <v>450</v>
      </c>
      <c r="B2221" s="18" t="s">
        <v>451</v>
      </c>
    </row>
    <row r="2222" spans="1:2" ht="38.25" hidden="1" customHeight="1" x14ac:dyDescent="0.3">
      <c r="A2222" s="14" t="s">
        <v>452</v>
      </c>
      <c r="B2222" s="19" t="s">
        <v>453</v>
      </c>
    </row>
    <row r="2223" spans="1:2" ht="16.5" hidden="1" customHeight="1" thickBot="1" x14ac:dyDescent="0.35"/>
    <row r="2224" spans="1:2" ht="33" hidden="1" customHeight="1" x14ac:dyDescent="0.3">
      <c r="A2224" s="24" t="s">
        <v>80</v>
      </c>
      <c r="B2224" s="26"/>
    </row>
    <row r="2225" spans="1:4" ht="33.75" hidden="1" customHeight="1" thickBot="1" x14ac:dyDescent="0.35">
      <c r="A2225" s="13" t="s">
        <v>81</v>
      </c>
      <c r="B2225" s="2" t="s">
        <v>82</v>
      </c>
    </row>
    <row r="2226" spans="1:4" ht="66" hidden="1" customHeight="1" x14ac:dyDescent="0.3">
      <c r="A2226" s="14" t="s">
        <v>452</v>
      </c>
      <c r="B2226" s="2" t="s">
        <v>453</v>
      </c>
    </row>
    <row r="2227" spans="1:4" ht="16.5" hidden="1" customHeight="1" thickBot="1" x14ac:dyDescent="0.35"/>
    <row r="2228" spans="1:4" ht="39" hidden="1" customHeight="1" thickBot="1" x14ac:dyDescent="0.35">
      <c r="A2228" s="20" t="s">
        <v>454</v>
      </c>
      <c r="B2228" s="21">
        <v>52064</v>
      </c>
    </row>
    <row r="2229" spans="1:4" ht="39" hidden="1" customHeight="1" thickBot="1" x14ac:dyDescent="0.35">
      <c r="A2229" s="13" t="s">
        <v>455</v>
      </c>
      <c r="B2229" s="2">
        <v>52064</v>
      </c>
    </row>
    <row r="2230" spans="1:4" ht="39" hidden="1" customHeight="1" thickBot="1" x14ac:dyDescent="0.35">
      <c r="A2230" s="13" t="s">
        <v>456</v>
      </c>
      <c r="B2230" s="2">
        <v>22068163</v>
      </c>
    </row>
    <row r="2231" spans="1:4" ht="38.25" hidden="1" customHeight="1" x14ac:dyDescent="0.3">
      <c r="A2231" s="14" t="s">
        <v>457</v>
      </c>
      <c r="B2231" s="2">
        <v>22068163</v>
      </c>
    </row>
    <row r="2232" spans="1:4" ht="16.5" hidden="1" customHeight="1" thickBot="1" x14ac:dyDescent="0.35"/>
    <row r="2233" spans="1:4" ht="16.5" hidden="1" customHeight="1" x14ac:dyDescent="0.3">
      <c r="A2233" s="24" t="s">
        <v>458</v>
      </c>
      <c r="B2233" s="26"/>
      <c r="C2233" s="26"/>
      <c r="D2233" s="26"/>
    </row>
    <row r="2234" spans="1:4" ht="16.5" hidden="1" customHeight="1" x14ac:dyDescent="0.3">
      <c r="A2234" s="6" t="s">
        <v>459</v>
      </c>
      <c r="B2234" s="27" t="s">
        <v>19</v>
      </c>
      <c r="C2234" s="3" t="s">
        <v>93</v>
      </c>
      <c r="D2234" s="3" t="s">
        <v>93</v>
      </c>
    </row>
    <row r="2235" spans="1:4" ht="33" hidden="1" customHeight="1" x14ac:dyDescent="0.3">
      <c r="A2235" s="6" t="s">
        <v>460</v>
      </c>
      <c r="B2235" s="27"/>
      <c r="C2235" s="3" t="s">
        <v>86</v>
      </c>
      <c r="D2235" s="3" t="s">
        <v>461</v>
      </c>
    </row>
    <row r="2236" spans="1:4" ht="17.25" hidden="1" customHeight="1" thickBot="1" x14ac:dyDescent="0.35">
      <c r="A2236" s="6">
        <v>1</v>
      </c>
      <c r="B2236" s="17">
        <v>0</v>
      </c>
      <c r="C2236" s="2">
        <v>51102</v>
      </c>
      <c r="D2236" s="2">
        <v>21772651</v>
      </c>
    </row>
    <row r="2237" spans="1:4" ht="16.5" hidden="1" customHeight="1" x14ac:dyDescent="0.3">
      <c r="A2237" s="6">
        <v>2</v>
      </c>
      <c r="B2237" s="22">
        <v>1</v>
      </c>
      <c r="C2237" s="2">
        <v>962</v>
      </c>
      <c r="D2237" s="2">
        <v>295512</v>
      </c>
    </row>
    <row r="2238" spans="1:4" ht="16.5" hidden="1" customHeight="1" x14ac:dyDescent="0.3"/>
    <row r="2239" spans="1:4" ht="16.5" hidden="1" customHeight="1" x14ac:dyDescent="0.3">
      <c r="A2239" s="1" t="s">
        <v>513</v>
      </c>
    </row>
    <row r="2240" spans="1:4" ht="16.5" hidden="1" customHeight="1" thickBot="1" x14ac:dyDescent="0.35"/>
    <row r="2241" spans="1:5" ht="16.5" hidden="1" customHeight="1" x14ac:dyDescent="0.3">
      <c r="A2241" s="24" t="s">
        <v>462</v>
      </c>
      <c r="B2241" s="26"/>
      <c r="C2241" s="26"/>
      <c r="D2241" s="26"/>
      <c r="E2241" s="26"/>
    </row>
    <row r="2242" spans="1:5" ht="16.5" hidden="1" customHeight="1" x14ac:dyDescent="0.3">
      <c r="A2242" s="6" t="s">
        <v>463</v>
      </c>
      <c r="B2242" s="3" t="s">
        <v>460</v>
      </c>
      <c r="C2242" s="27" t="s">
        <v>464</v>
      </c>
      <c r="D2242" s="27"/>
      <c r="E2242" s="27"/>
    </row>
    <row r="2243" spans="1:5" ht="17.25" hidden="1" customHeight="1" thickBot="1" x14ac:dyDescent="0.35">
      <c r="A2243" s="13" t="s">
        <v>28</v>
      </c>
      <c r="B2243" s="12">
        <v>1</v>
      </c>
      <c r="C2243" s="2">
        <v>0</v>
      </c>
      <c r="D2243" s="2">
        <v>0</v>
      </c>
      <c r="E2243" s="2">
        <v>0</v>
      </c>
    </row>
    <row r="2244" spans="1:5" ht="17.25" hidden="1" customHeight="1" thickBot="1" x14ac:dyDescent="0.35">
      <c r="A2244" s="13"/>
      <c r="B2244" s="12">
        <v>2</v>
      </c>
      <c r="C2244" s="2">
        <v>1</v>
      </c>
      <c r="D2244" s="2">
        <v>0</v>
      </c>
      <c r="E2244" s="2">
        <v>0</v>
      </c>
    </row>
    <row r="2245" spans="1:5" ht="17.25" hidden="1" customHeight="1" thickBot="1" x14ac:dyDescent="0.35">
      <c r="A2245" s="13"/>
      <c r="B2245" s="12">
        <v>3</v>
      </c>
      <c r="C2245" s="2">
        <v>0</v>
      </c>
      <c r="D2245" s="2">
        <v>1</v>
      </c>
      <c r="E2245" s="2">
        <v>0</v>
      </c>
    </row>
    <row r="2246" spans="1:5" ht="16.5" hidden="1" customHeight="1" x14ac:dyDescent="0.3">
      <c r="A2246" s="14"/>
      <c r="B2246" s="15">
        <v>4</v>
      </c>
      <c r="C2246" s="2">
        <v>0</v>
      </c>
      <c r="D2246" s="2">
        <v>0</v>
      </c>
      <c r="E2246" s="2">
        <v>1</v>
      </c>
    </row>
    <row r="2247" spans="1:5" ht="16.5" hidden="1" customHeight="1" thickBot="1" x14ac:dyDescent="0.35"/>
    <row r="2248" spans="1:5" ht="66" hidden="1" customHeight="1" x14ac:dyDescent="0.3">
      <c r="A2248" s="4" t="s">
        <v>465</v>
      </c>
    </row>
    <row r="2249" spans="1:5" ht="99" hidden="1" customHeight="1" x14ac:dyDescent="0.3">
      <c r="A2249" s="23" t="s">
        <v>466</v>
      </c>
    </row>
    <row r="2250" spans="1:5" ht="16.5" hidden="1" customHeight="1" thickBot="1" x14ac:dyDescent="0.35"/>
    <row r="2251" spans="1:5" ht="16.5" hidden="1" customHeight="1" x14ac:dyDescent="0.3">
      <c r="A2251" s="24" t="s">
        <v>467</v>
      </c>
      <c r="B2251" s="26"/>
      <c r="C2251" s="26"/>
    </row>
    <row r="2252" spans="1:5" ht="66" hidden="1" customHeight="1" x14ac:dyDescent="0.3">
      <c r="A2252" s="6" t="s">
        <v>468</v>
      </c>
      <c r="B2252" s="3" t="s">
        <v>469</v>
      </c>
      <c r="C2252" s="3" t="s">
        <v>470</v>
      </c>
    </row>
    <row r="2253" spans="1:5" ht="17.25" hidden="1" customHeight="1" thickBot="1" x14ac:dyDescent="0.35">
      <c r="A2253" s="13" t="s">
        <v>471</v>
      </c>
      <c r="B2253" s="2">
        <v>3136242.8</v>
      </c>
      <c r="C2253" s="2">
        <v>3068007.2</v>
      </c>
    </row>
    <row r="2254" spans="1:5" ht="17.25" hidden="1" customHeight="1" thickBot="1" x14ac:dyDescent="0.35">
      <c r="A2254" s="13" t="s">
        <v>472</v>
      </c>
      <c r="B2254" s="2">
        <v>3136257.7</v>
      </c>
      <c r="C2254" s="2">
        <v>3068066.8</v>
      </c>
    </row>
    <row r="2255" spans="1:5" ht="16.5" hidden="1" customHeight="1" x14ac:dyDescent="0.3">
      <c r="A2255" s="14" t="s">
        <v>473</v>
      </c>
      <c r="B2255" s="2" t="s">
        <v>648</v>
      </c>
      <c r="C2255" s="2">
        <v>3067999.2</v>
      </c>
    </row>
    <row r="2256" spans="1:5" ht="16.5" hidden="1" customHeight="1" thickBot="1" x14ac:dyDescent="0.35"/>
    <row r="2257" spans="1:6" ht="16.5" hidden="1" customHeight="1" x14ac:dyDescent="0.3">
      <c r="A2257" s="24" t="s">
        <v>474</v>
      </c>
      <c r="B2257" s="26"/>
      <c r="C2257" s="26"/>
      <c r="D2257" s="26"/>
      <c r="E2257" s="26"/>
    </row>
    <row r="2258" spans="1:6" ht="16.5" hidden="1" customHeight="1" x14ac:dyDescent="0.3">
      <c r="A2258" s="6" t="s">
        <v>475</v>
      </c>
      <c r="B2258" s="3" t="s">
        <v>476</v>
      </c>
      <c r="C2258" s="3" t="s">
        <v>477</v>
      </c>
      <c r="D2258" s="3" t="s">
        <v>478</v>
      </c>
      <c r="E2258" s="3" t="s">
        <v>479</v>
      </c>
    </row>
    <row r="2259" spans="1:6" ht="33" hidden="1" customHeight="1" x14ac:dyDescent="0.3">
      <c r="A2259" s="25" t="s">
        <v>599</v>
      </c>
      <c r="B2259" s="27"/>
      <c r="C2259" s="27"/>
      <c r="D2259" s="27"/>
      <c r="E2259" s="27"/>
    </row>
    <row r="2260" spans="1:6" ht="26.25" hidden="1" customHeight="1" thickBot="1" x14ac:dyDescent="0.35">
      <c r="A2260" s="13" t="s">
        <v>481</v>
      </c>
      <c r="B2260" s="2">
        <v>53.7</v>
      </c>
      <c r="C2260" s="2">
        <v>2.9885000000000002</v>
      </c>
      <c r="D2260" s="2">
        <v>8364.7199999999993</v>
      </c>
      <c r="E2260" s="2" t="s">
        <v>482</v>
      </c>
    </row>
    <row r="2261" spans="1:6" ht="17.25" hidden="1" customHeight="1" thickBot="1" x14ac:dyDescent="0.35">
      <c r="A2261" s="13" t="s">
        <v>483</v>
      </c>
      <c r="B2261" s="2">
        <v>83.39</v>
      </c>
      <c r="C2261" s="2">
        <v>3</v>
      </c>
      <c r="D2261" s="2">
        <v>2797</v>
      </c>
      <c r="E2261" s="2" t="s">
        <v>482</v>
      </c>
    </row>
    <row r="2262" spans="1:6" ht="16.5" hidden="1" customHeight="1" x14ac:dyDescent="0.3">
      <c r="A2262" s="14" t="s">
        <v>484</v>
      </c>
      <c r="B2262" s="2">
        <v>40.31</v>
      </c>
      <c r="C2262" s="2">
        <v>3</v>
      </c>
      <c r="D2262" s="2">
        <v>2797</v>
      </c>
      <c r="E2262" s="2" t="s">
        <v>482</v>
      </c>
    </row>
    <row r="2263" spans="1:6" ht="16.5" hidden="1" customHeight="1" thickBot="1" x14ac:dyDescent="0.35"/>
    <row r="2264" spans="1:6" ht="16.5" hidden="1" customHeight="1" x14ac:dyDescent="0.3">
      <c r="A2264" s="24" t="s">
        <v>485</v>
      </c>
      <c r="B2264" s="26"/>
      <c r="C2264" s="26"/>
      <c r="D2264" s="26"/>
      <c r="E2264" s="26"/>
    </row>
    <row r="2265" spans="1:6" ht="16.5" hidden="1" customHeight="1" x14ac:dyDescent="0.3">
      <c r="A2265" s="6" t="s">
        <v>486</v>
      </c>
      <c r="B2265" s="3" t="s">
        <v>476</v>
      </c>
      <c r="C2265" s="3" t="s">
        <v>477</v>
      </c>
      <c r="D2265" s="3" t="s">
        <v>478</v>
      </c>
      <c r="E2265" s="3" t="s">
        <v>479</v>
      </c>
    </row>
    <row r="2266" spans="1:6" ht="16.5" hidden="1" customHeight="1" x14ac:dyDescent="0.3">
      <c r="A2266" s="14" t="s">
        <v>28</v>
      </c>
      <c r="B2266" s="2">
        <v>40.31</v>
      </c>
      <c r="C2266" s="2">
        <v>3</v>
      </c>
      <c r="D2266" s="2">
        <v>2797</v>
      </c>
      <c r="E2266" s="2" t="s">
        <v>482</v>
      </c>
    </row>
    <row r="2267" spans="1:6" ht="16.5" hidden="1" customHeight="1" thickBot="1" x14ac:dyDescent="0.35"/>
    <row r="2268" spans="1:6" ht="16.5" hidden="1" customHeight="1" x14ac:dyDescent="0.3">
      <c r="A2268" s="24" t="s">
        <v>487</v>
      </c>
      <c r="B2268" s="26"/>
      <c r="C2268" s="26"/>
      <c r="D2268" s="26"/>
      <c r="E2268" s="26"/>
      <c r="F2268" s="26"/>
    </row>
    <row r="2269" spans="1:6" ht="16.5" hidden="1" customHeight="1" x14ac:dyDescent="0.3">
      <c r="A2269" s="25" t="s">
        <v>488</v>
      </c>
      <c r="B2269" s="27"/>
      <c r="C2269" s="27" t="s">
        <v>489</v>
      </c>
      <c r="D2269" s="3" t="s">
        <v>490</v>
      </c>
      <c r="E2269" s="27" t="s">
        <v>492</v>
      </c>
      <c r="F2269" s="27" t="s">
        <v>493</v>
      </c>
    </row>
    <row r="2270" spans="1:6" ht="16.5" hidden="1" customHeight="1" x14ac:dyDescent="0.3">
      <c r="A2270" s="25"/>
      <c r="B2270" s="27"/>
      <c r="C2270" s="27"/>
      <c r="D2270" s="3" t="s">
        <v>491</v>
      </c>
      <c r="E2270" s="27"/>
      <c r="F2270" s="27"/>
    </row>
    <row r="2271" spans="1:6" ht="16.5" hidden="1" customHeight="1" x14ac:dyDescent="0.3">
      <c r="A2271" s="25" t="s">
        <v>494</v>
      </c>
      <c r="B2271" s="27"/>
      <c r="C2271" s="27"/>
      <c r="D2271" s="27"/>
      <c r="E2271" s="27"/>
      <c r="F2271" s="27"/>
    </row>
    <row r="2272" spans="1:6" ht="17.25" hidden="1" customHeight="1" thickBot="1" x14ac:dyDescent="0.35">
      <c r="A2272" s="13" t="s">
        <v>495</v>
      </c>
      <c r="B2272" s="12"/>
      <c r="C2272" s="16">
        <v>-5.3708999999999998</v>
      </c>
      <c r="D2272" s="2">
        <v>0.13</v>
      </c>
      <c r="E2272" s="16">
        <v>-41.3</v>
      </c>
      <c r="F2272" s="2" t="s">
        <v>482</v>
      </c>
    </row>
    <row r="2273" spans="1:9" ht="17.25" hidden="1" customHeight="1" thickBot="1" x14ac:dyDescent="0.35">
      <c r="A2273" s="13" t="s">
        <v>28</v>
      </c>
      <c r="B2273" s="12">
        <v>2</v>
      </c>
      <c r="C2273" s="2">
        <v>0.95879999999999999</v>
      </c>
      <c r="D2273" s="2">
        <v>0.1552</v>
      </c>
      <c r="E2273" s="2">
        <v>6.18</v>
      </c>
      <c r="F2273" s="2" t="s">
        <v>482</v>
      </c>
    </row>
    <row r="2274" spans="1:9" ht="17.25" hidden="1" customHeight="1" thickBot="1" x14ac:dyDescent="0.35">
      <c r="A2274" s="13" t="s">
        <v>28</v>
      </c>
      <c r="B2274" s="12">
        <v>3</v>
      </c>
      <c r="C2274" s="2">
        <v>1.3186</v>
      </c>
      <c r="D2274" s="2">
        <v>0.14449999999999999</v>
      </c>
      <c r="E2274" s="2">
        <v>9.1199999999999992</v>
      </c>
      <c r="F2274" s="2" t="s">
        <v>482</v>
      </c>
    </row>
    <row r="2275" spans="1:9" ht="16.5" hidden="1" customHeight="1" x14ac:dyDescent="0.3">
      <c r="A2275" s="14" t="s">
        <v>28</v>
      </c>
      <c r="B2275" s="15">
        <v>4</v>
      </c>
      <c r="C2275" s="2">
        <v>1.5121</v>
      </c>
      <c r="D2275" s="2">
        <v>0.1469</v>
      </c>
      <c r="E2275" s="2">
        <v>10.29</v>
      </c>
      <c r="F2275" s="2" t="s">
        <v>482</v>
      </c>
    </row>
    <row r="2276" spans="1:9" ht="16.5" hidden="1" customHeight="1" thickBot="1" x14ac:dyDescent="0.35"/>
    <row r="2277" spans="1:9" ht="16.5" hidden="1" customHeight="1" x14ac:dyDescent="0.3">
      <c r="A2277" s="24" t="s">
        <v>496</v>
      </c>
      <c r="B2277" s="26"/>
      <c r="C2277" s="26"/>
      <c r="D2277" s="26"/>
    </row>
    <row r="2278" spans="1:9" ht="33" hidden="1" customHeight="1" x14ac:dyDescent="0.3">
      <c r="A2278" s="6" t="s">
        <v>486</v>
      </c>
      <c r="B2278" s="3" t="s">
        <v>497</v>
      </c>
      <c r="C2278" s="27" t="s">
        <v>91</v>
      </c>
      <c r="D2278" s="27"/>
    </row>
    <row r="2279" spans="1:9" ht="49.5" hidden="1" customHeight="1" x14ac:dyDescent="0.3">
      <c r="A2279" s="25" t="s">
        <v>498</v>
      </c>
      <c r="B2279" s="27"/>
      <c r="C2279" s="27"/>
      <c r="D2279" s="27"/>
    </row>
    <row r="2280" spans="1:9" ht="26.25" thickBot="1" x14ac:dyDescent="0.35">
      <c r="A2280" s="13" t="s">
        <v>525</v>
      </c>
      <c r="B2280" s="2">
        <v>2.609</v>
      </c>
      <c r="C2280" s="2">
        <v>1.9239999999999999</v>
      </c>
      <c r="D2280" s="2">
        <v>3.5369999999999999</v>
      </c>
      <c r="H2280" s="8" t="str">
        <f t="shared" ref="H2280:H2282" si="52">TEXT(B2280,"0.00")&amp;" ("&amp;TEXT(C2280,"0.00")&amp;" to "&amp;TEXT(D2280,"0.00")&amp;")"</f>
        <v>2.61 (1.92 to 3.54)</v>
      </c>
      <c r="I2280" t="str">
        <f>F2273</f>
        <v>&lt;.0001</v>
      </c>
    </row>
    <row r="2281" spans="1:9" ht="26.25" thickBot="1" x14ac:dyDescent="0.35">
      <c r="A2281" s="13" t="s">
        <v>526</v>
      </c>
      <c r="B2281" s="2">
        <v>3.738</v>
      </c>
      <c r="C2281" s="2">
        <v>2.8159999999999998</v>
      </c>
      <c r="D2281" s="2">
        <v>4.9630000000000001</v>
      </c>
      <c r="H2281" s="8" t="str">
        <f t="shared" si="52"/>
        <v>3.74 (2.82 to 4.96)</v>
      </c>
      <c r="I2281" t="str">
        <f t="shared" ref="I2281:I2282" si="53">F2274</f>
        <v>&lt;.0001</v>
      </c>
    </row>
    <row r="2282" spans="1:9" ht="25.5" x14ac:dyDescent="0.3">
      <c r="A2282" s="14" t="s">
        <v>527</v>
      </c>
      <c r="B2282" s="2">
        <v>4.5359999999999996</v>
      </c>
      <c r="C2282" s="2">
        <v>3.4009999999999998</v>
      </c>
      <c r="D2282" s="2">
        <v>6.05</v>
      </c>
      <c r="H2282" s="8" t="str">
        <f t="shared" si="52"/>
        <v>4.54 (3.40 to 6.05)</v>
      </c>
      <c r="I2282" t="str">
        <f t="shared" si="53"/>
        <v>&lt;.0001</v>
      </c>
    </row>
    <row r="2283" spans="1:9" ht="16.5" hidden="1" customHeight="1" thickBot="1" x14ac:dyDescent="0.35"/>
    <row r="2284" spans="1:9" ht="33" hidden="1" customHeight="1" x14ac:dyDescent="0.3">
      <c r="A2284" s="24" t="s">
        <v>502</v>
      </c>
      <c r="B2284" s="26"/>
      <c r="C2284" s="26"/>
      <c r="D2284" s="26"/>
    </row>
    <row r="2285" spans="1:9" ht="39" hidden="1" customHeight="1" thickBot="1" x14ac:dyDescent="0.35">
      <c r="A2285" s="13" t="s">
        <v>503</v>
      </c>
      <c r="B2285" s="2">
        <v>49.7</v>
      </c>
      <c r="C2285" s="12" t="s">
        <v>504</v>
      </c>
      <c r="D2285" s="2">
        <v>0.24199999999999999</v>
      </c>
    </row>
    <row r="2286" spans="1:9" ht="26.25" hidden="1" customHeight="1" thickBot="1" x14ac:dyDescent="0.35">
      <c r="A2286" s="13" t="s">
        <v>505</v>
      </c>
      <c r="B2286" s="2">
        <v>25.5</v>
      </c>
      <c r="C2286" s="12" t="s">
        <v>506</v>
      </c>
      <c r="D2286" s="2">
        <v>0.32200000000000001</v>
      </c>
    </row>
    <row r="2287" spans="1:9" ht="26.25" hidden="1" customHeight="1" thickBot="1" x14ac:dyDescent="0.35">
      <c r="A2287" s="13" t="s">
        <v>507</v>
      </c>
      <c r="B2287" s="2">
        <v>24.9</v>
      </c>
      <c r="C2287" s="12" t="s">
        <v>508</v>
      </c>
      <c r="D2287" s="2">
        <v>8.9999999999999993E-3</v>
      </c>
    </row>
    <row r="2288" spans="1:9" ht="16.5" hidden="1" customHeight="1" x14ac:dyDescent="0.3">
      <c r="A2288" s="14" t="s">
        <v>509</v>
      </c>
      <c r="B2288" s="2">
        <v>49160124</v>
      </c>
      <c r="C2288" s="15" t="s">
        <v>510</v>
      </c>
      <c r="D2288" s="2">
        <v>0.621</v>
      </c>
    </row>
    <row r="2289" spans="1:2" ht="16.5" hidden="1" customHeight="1" x14ac:dyDescent="0.3"/>
    <row r="2290" spans="1:2" ht="16.5" hidden="1" customHeight="1" x14ac:dyDescent="0.3"/>
    <row r="2291" spans="1:2" ht="16.5" hidden="1" customHeight="1" x14ac:dyDescent="0.3"/>
    <row r="2292" spans="1:2" ht="16.5" hidden="1" customHeight="1" x14ac:dyDescent="0.3">
      <c r="A2292" s="1" t="s">
        <v>436</v>
      </c>
    </row>
    <row r="2293" spans="1:2" ht="16.5" hidden="1" customHeight="1" x14ac:dyDescent="0.3"/>
    <row r="2294" spans="1:2" ht="16.5" hidden="1" customHeight="1" x14ac:dyDescent="0.3">
      <c r="A2294" s="1" t="s">
        <v>425</v>
      </c>
    </row>
    <row r="2295" spans="1:2" ht="16.5" hidden="1" customHeight="1" thickBot="1" x14ac:dyDescent="0.35"/>
    <row r="2296" spans="1:2" ht="16.5" hidden="1" customHeight="1" x14ac:dyDescent="0.3">
      <c r="A2296" s="24" t="s">
        <v>437</v>
      </c>
      <c r="B2296" s="26"/>
    </row>
    <row r="2297" spans="1:2" ht="26.25" hidden="1" customHeight="1" thickBot="1" x14ac:dyDescent="0.35">
      <c r="A2297" s="13" t="s">
        <v>438</v>
      </c>
      <c r="B2297" s="18" t="s">
        <v>439</v>
      </c>
    </row>
    <row r="2298" spans="1:2" ht="26.25" hidden="1" customHeight="1" thickBot="1" x14ac:dyDescent="0.35">
      <c r="A2298" s="13" t="s">
        <v>440</v>
      </c>
      <c r="B2298" s="18" t="s">
        <v>19</v>
      </c>
    </row>
    <row r="2299" spans="1:2" ht="39" hidden="1" customHeight="1" thickBot="1" x14ac:dyDescent="0.35">
      <c r="A2299" s="13" t="s">
        <v>441</v>
      </c>
      <c r="B2299" s="18">
        <v>2</v>
      </c>
    </row>
    <row r="2300" spans="1:2" ht="26.25" hidden="1" customHeight="1" thickBot="1" x14ac:dyDescent="0.35">
      <c r="A2300" s="13" t="s">
        <v>442</v>
      </c>
      <c r="B2300" s="18" t="s">
        <v>443</v>
      </c>
    </row>
    <row r="2301" spans="1:2" ht="26.25" hidden="1" customHeight="1" thickBot="1" x14ac:dyDescent="0.35">
      <c r="A2301" s="13" t="s">
        <v>76</v>
      </c>
      <c r="B2301" s="18">
        <v>183</v>
      </c>
    </row>
    <row r="2302" spans="1:2" ht="26.25" hidden="1" customHeight="1" thickBot="1" x14ac:dyDescent="0.35">
      <c r="A2302" s="13" t="s">
        <v>444</v>
      </c>
      <c r="B2302" s="18" t="s">
        <v>445</v>
      </c>
    </row>
    <row r="2303" spans="1:2" ht="26.25" hidden="1" customHeight="1" thickBot="1" x14ac:dyDescent="0.35">
      <c r="A2303" s="13" t="s">
        <v>77</v>
      </c>
      <c r="B2303" s="18">
        <v>2929</v>
      </c>
    </row>
    <row r="2304" spans="1:2" ht="26.25" hidden="1" customHeight="1" thickBot="1" x14ac:dyDescent="0.35">
      <c r="A2304" s="13" t="s">
        <v>446</v>
      </c>
      <c r="B2304" s="18" t="s">
        <v>447</v>
      </c>
    </row>
    <row r="2305" spans="1:4" ht="26.25" hidden="1" customHeight="1" thickBot="1" x14ac:dyDescent="0.35">
      <c r="A2305" s="13" t="s">
        <v>448</v>
      </c>
      <c r="B2305" s="18" t="s">
        <v>449</v>
      </c>
    </row>
    <row r="2306" spans="1:4" ht="39" hidden="1" customHeight="1" thickBot="1" x14ac:dyDescent="0.35">
      <c r="A2306" s="13" t="s">
        <v>450</v>
      </c>
      <c r="B2306" s="18" t="s">
        <v>451</v>
      </c>
    </row>
    <row r="2307" spans="1:4" ht="38.25" hidden="1" customHeight="1" x14ac:dyDescent="0.3">
      <c r="A2307" s="14" t="s">
        <v>452</v>
      </c>
      <c r="B2307" s="19" t="s">
        <v>453</v>
      </c>
    </row>
    <row r="2308" spans="1:4" ht="16.5" hidden="1" customHeight="1" thickBot="1" x14ac:dyDescent="0.35"/>
    <row r="2309" spans="1:4" ht="33" hidden="1" customHeight="1" x14ac:dyDescent="0.3">
      <c r="A2309" s="24" t="s">
        <v>80</v>
      </c>
      <c r="B2309" s="26"/>
    </row>
    <row r="2310" spans="1:4" ht="33.75" hidden="1" customHeight="1" thickBot="1" x14ac:dyDescent="0.35">
      <c r="A2310" s="13" t="s">
        <v>81</v>
      </c>
      <c r="B2310" s="2" t="s">
        <v>82</v>
      </c>
    </row>
    <row r="2311" spans="1:4" ht="66" hidden="1" customHeight="1" x14ac:dyDescent="0.3">
      <c r="A2311" s="14" t="s">
        <v>452</v>
      </c>
      <c r="B2311" s="2" t="s">
        <v>453</v>
      </c>
    </row>
    <row r="2312" spans="1:4" ht="16.5" hidden="1" customHeight="1" thickBot="1" x14ac:dyDescent="0.35"/>
    <row r="2313" spans="1:4" ht="39" hidden="1" customHeight="1" thickBot="1" x14ac:dyDescent="0.35">
      <c r="A2313" s="20" t="s">
        <v>454</v>
      </c>
      <c r="B2313" s="21">
        <v>16571</v>
      </c>
    </row>
    <row r="2314" spans="1:4" ht="39" hidden="1" customHeight="1" thickBot="1" x14ac:dyDescent="0.35">
      <c r="A2314" s="13" t="s">
        <v>455</v>
      </c>
      <c r="B2314" s="2">
        <v>16571</v>
      </c>
    </row>
    <row r="2315" spans="1:4" ht="39" hidden="1" customHeight="1" thickBot="1" x14ac:dyDescent="0.35">
      <c r="A2315" s="13" t="s">
        <v>456</v>
      </c>
      <c r="B2315" s="2">
        <v>8183773</v>
      </c>
    </row>
    <row r="2316" spans="1:4" ht="38.25" hidden="1" customHeight="1" x14ac:dyDescent="0.3">
      <c r="A2316" s="14" t="s">
        <v>457</v>
      </c>
      <c r="B2316" s="2">
        <v>8183773</v>
      </c>
    </row>
    <row r="2317" spans="1:4" ht="16.5" hidden="1" customHeight="1" thickBot="1" x14ac:dyDescent="0.35"/>
    <row r="2318" spans="1:4" ht="16.5" hidden="1" customHeight="1" x14ac:dyDescent="0.3">
      <c r="A2318" s="24" t="s">
        <v>458</v>
      </c>
      <c r="B2318" s="26"/>
      <c r="C2318" s="26"/>
      <c r="D2318" s="26"/>
    </row>
    <row r="2319" spans="1:4" ht="16.5" hidden="1" customHeight="1" x14ac:dyDescent="0.3">
      <c r="A2319" s="6" t="s">
        <v>459</v>
      </c>
      <c r="B2319" s="27" t="s">
        <v>19</v>
      </c>
      <c r="C2319" s="3" t="s">
        <v>93</v>
      </c>
      <c r="D2319" s="3" t="s">
        <v>93</v>
      </c>
    </row>
    <row r="2320" spans="1:4" ht="33" hidden="1" customHeight="1" x14ac:dyDescent="0.3">
      <c r="A2320" s="6" t="s">
        <v>460</v>
      </c>
      <c r="B2320" s="27"/>
      <c r="C2320" s="3" t="s">
        <v>86</v>
      </c>
      <c r="D2320" s="3" t="s">
        <v>461</v>
      </c>
    </row>
    <row r="2321" spans="1:5" ht="17.25" hidden="1" customHeight="1" thickBot="1" x14ac:dyDescent="0.35">
      <c r="A2321" s="6">
        <v>1</v>
      </c>
      <c r="B2321" s="17">
        <v>0</v>
      </c>
      <c r="C2321" s="2">
        <v>16332</v>
      </c>
      <c r="D2321" s="2">
        <v>8101540</v>
      </c>
    </row>
    <row r="2322" spans="1:5" ht="16.5" hidden="1" customHeight="1" x14ac:dyDescent="0.3">
      <c r="A2322" s="6">
        <v>2</v>
      </c>
      <c r="B2322" s="22">
        <v>1</v>
      </c>
      <c r="C2322" s="2">
        <v>239</v>
      </c>
      <c r="D2322" s="2">
        <v>82233.100000000006</v>
      </c>
    </row>
    <row r="2323" spans="1:5" ht="16.5" hidden="1" customHeight="1" x14ac:dyDescent="0.3"/>
    <row r="2324" spans="1:5" ht="16.5" hidden="1" customHeight="1" x14ac:dyDescent="0.3">
      <c r="A2324" s="1" t="s">
        <v>513</v>
      </c>
    </row>
    <row r="2325" spans="1:5" ht="16.5" hidden="1" customHeight="1" thickBot="1" x14ac:dyDescent="0.35"/>
    <row r="2326" spans="1:5" ht="16.5" hidden="1" customHeight="1" x14ac:dyDescent="0.3">
      <c r="A2326" s="24" t="s">
        <v>462</v>
      </c>
      <c r="B2326" s="26"/>
      <c r="C2326" s="26"/>
      <c r="D2326" s="26"/>
      <c r="E2326" s="26"/>
    </row>
    <row r="2327" spans="1:5" ht="16.5" hidden="1" customHeight="1" x14ac:dyDescent="0.3">
      <c r="A2327" s="6" t="s">
        <v>463</v>
      </c>
      <c r="B2327" s="3" t="s">
        <v>460</v>
      </c>
      <c r="C2327" s="27" t="s">
        <v>464</v>
      </c>
      <c r="D2327" s="27"/>
      <c r="E2327" s="27"/>
    </row>
    <row r="2328" spans="1:5" ht="17.25" hidden="1" customHeight="1" thickBot="1" x14ac:dyDescent="0.35">
      <c r="A2328" s="13" t="s">
        <v>28</v>
      </c>
      <c r="B2328" s="12">
        <v>1</v>
      </c>
      <c r="C2328" s="2">
        <v>0</v>
      </c>
      <c r="D2328" s="2">
        <v>0</v>
      </c>
      <c r="E2328" s="2">
        <v>0</v>
      </c>
    </row>
    <row r="2329" spans="1:5" ht="17.25" hidden="1" customHeight="1" thickBot="1" x14ac:dyDescent="0.35">
      <c r="A2329" s="13"/>
      <c r="B2329" s="12">
        <v>2</v>
      </c>
      <c r="C2329" s="2">
        <v>1</v>
      </c>
      <c r="D2329" s="2">
        <v>0</v>
      </c>
      <c r="E2329" s="2">
        <v>0</v>
      </c>
    </row>
    <row r="2330" spans="1:5" ht="17.25" hidden="1" customHeight="1" thickBot="1" x14ac:dyDescent="0.35">
      <c r="A2330" s="13"/>
      <c r="B2330" s="12">
        <v>3</v>
      </c>
      <c r="C2330" s="2">
        <v>0</v>
      </c>
      <c r="D2330" s="2">
        <v>1</v>
      </c>
      <c r="E2330" s="2">
        <v>0</v>
      </c>
    </row>
    <row r="2331" spans="1:5" ht="16.5" hidden="1" customHeight="1" x14ac:dyDescent="0.3">
      <c r="A2331" s="14"/>
      <c r="B2331" s="15">
        <v>4</v>
      </c>
      <c r="C2331" s="2">
        <v>0</v>
      </c>
      <c r="D2331" s="2">
        <v>0</v>
      </c>
      <c r="E2331" s="2">
        <v>1</v>
      </c>
    </row>
    <row r="2332" spans="1:5" ht="16.5" hidden="1" customHeight="1" thickBot="1" x14ac:dyDescent="0.35"/>
    <row r="2333" spans="1:5" ht="66" hidden="1" customHeight="1" x14ac:dyDescent="0.3">
      <c r="A2333" s="4" t="s">
        <v>465</v>
      </c>
    </row>
    <row r="2334" spans="1:5" ht="99" hidden="1" customHeight="1" x14ac:dyDescent="0.3">
      <c r="A2334" s="23" t="s">
        <v>466</v>
      </c>
    </row>
    <row r="2335" spans="1:5" ht="16.5" hidden="1" customHeight="1" thickBot="1" x14ac:dyDescent="0.35"/>
    <row r="2336" spans="1:5" ht="16.5" hidden="1" customHeight="1" x14ac:dyDescent="0.3">
      <c r="A2336" s="24" t="s">
        <v>467</v>
      </c>
      <c r="B2336" s="26"/>
      <c r="C2336" s="26"/>
    </row>
    <row r="2337" spans="1:5" ht="66" hidden="1" customHeight="1" x14ac:dyDescent="0.3">
      <c r="A2337" s="6" t="s">
        <v>468</v>
      </c>
      <c r="B2337" s="3" t="s">
        <v>469</v>
      </c>
      <c r="C2337" s="3" t="s">
        <v>470</v>
      </c>
    </row>
    <row r="2338" spans="1:5" ht="17.25" hidden="1" customHeight="1" thickBot="1" x14ac:dyDescent="0.35">
      <c r="A2338" s="13" t="s">
        <v>471</v>
      </c>
      <c r="B2338" s="2">
        <v>920241.44</v>
      </c>
      <c r="C2338" s="2">
        <v>915840.82</v>
      </c>
    </row>
    <row r="2339" spans="1:5" ht="17.25" hidden="1" customHeight="1" thickBot="1" x14ac:dyDescent="0.35">
      <c r="A2339" s="13" t="s">
        <v>472</v>
      </c>
      <c r="B2339" s="2">
        <v>920255.35</v>
      </c>
      <c r="C2339" s="2">
        <v>915896.5</v>
      </c>
    </row>
    <row r="2340" spans="1:5" ht="16.5" hidden="1" customHeight="1" x14ac:dyDescent="0.3">
      <c r="A2340" s="14" t="s">
        <v>473</v>
      </c>
      <c r="B2340" s="2" t="s">
        <v>649</v>
      </c>
      <c r="C2340" s="2">
        <v>915832.82</v>
      </c>
    </row>
    <row r="2341" spans="1:5" ht="16.5" hidden="1" customHeight="1" thickBot="1" x14ac:dyDescent="0.35"/>
    <row r="2342" spans="1:5" ht="16.5" hidden="1" customHeight="1" x14ac:dyDescent="0.3">
      <c r="A2342" s="24" t="s">
        <v>474</v>
      </c>
      <c r="B2342" s="26"/>
      <c r="C2342" s="26"/>
      <c r="D2342" s="26"/>
      <c r="E2342" s="26"/>
    </row>
    <row r="2343" spans="1:5" ht="16.5" hidden="1" customHeight="1" x14ac:dyDescent="0.3">
      <c r="A2343" s="6" t="s">
        <v>475</v>
      </c>
      <c r="B2343" s="3" t="s">
        <v>476</v>
      </c>
      <c r="C2343" s="3" t="s">
        <v>477</v>
      </c>
      <c r="D2343" s="3" t="s">
        <v>478</v>
      </c>
      <c r="E2343" s="3" t="s">
        <v>479</v>
      </c>
    </row>
    <row r="2344" spans="1:5" ht="33" hidden="1" customHeight="1" x14ac:dyDescent="0.3">
      <c r="A2344" s="25" t="s">
        <v>575</v>
      </c>
      <c r="B2344" s="27"/>
      <c r="C2344" s="27"/>
      <c r="D2344" s="27"/>
      <c r="E2344" s="27"/>
    </row>
    <row r="2345" spans="1:5" ht="26.25" hidden="1" customHeight="1" thickBot="1" x14ac:dyDescent="0.35">
      <c r="A2345" s="13" t="s">
        <v>481</v>
      </c>
      <c r="B2345" s="2">
        <v>3.04</v>
      </c>
      <c r="C2345" s="2">
        <v>2.9889000000000001</v>
      </c>
      <c r="D2345" s="2">
        <v>8207.58</v>
      </c>
      <c r="E2345" s="2">
        <v>2.81E-2</v>
      </c>
    </row>
    <row r="2346" spans="1:5" ht="17.25" hidden="1" customHeight="1" thickBot="1" x14ac:dyDescent="0.35">
      <c r="A2346" s="13" t="s">
        <v>483</v>
      </c>
      <c r="B2346" s="2">
        <v>3.31</v>
      </c>
      <c r="C2346" s="2">
        <v>3</v>
      </c>
      <c r="D2346" s="2">
        <v>2744</v>
      </c>
      <c r="E2346" s="2">
        <v>1.9400000000000001E-2</v>
      </c>
    </row>
    <row r="2347" spans="1:5" ht="16.5" hidden="1" customHeight="1" x14ac:dyDescent="0.3">
      <c r="A2347" s="14" t="s">
        <v>484</v>
      </c>
      <c r="B2347" s="2">
        <v>2.66</v>
      </c>
      <c r="C2347" s="2">
        <v>3</v>
      </c>
      <c r="D2347" s="2">
        <v>2744</v>
      </c>
      <c r="E2347" s="2">
        <v>4.6699999999999998E-2</v>
      </c>
    </row>
    <row r="2348" spans="1:5" ht="16.5" hidden="1" customHeight="1" thickBot="1" x14ac:dyDescent="0.35"/>
    <row r="2349" spans="1:5" ht="16.5" hidden="1" customHeight="1" x14ac:dyDescent="0.3">
      <c r="A2349" s="24" t="s">
        <v>485</v>
      </c>
      <c r="B2349" s="26"/>
      <c r="C2349" s="26"/>
      <c r="D2349" s="26"/>
      <c r="E2349" s="26"/>
    </row>
    <row r="2350" spans="1:5" ht="16.5" hidden="1" customHeight="1" x14ac:dyDescent="0.3">
      <c r="A2350" s="6" t="s">
        <v>486</v>
      </c>
      <c r="B2350" s="3" t="s">
        <v>476</v>
      </c>
      <c r="C2350" s="3" t="s">
        <v>477</v>
      </c>
      <c r="D2350" s="3" t="s">
        <v>478</v>
      </c>
      <c r="E2350" s="3" t="s">
        <v>479</v>
      </c>
    </row>
    <row r="2351" spans="1:5" ht="16.5" hidden="1" customHeight="1" x14ac:dyDescent="0.3">
      <c r="A2351" s="14" t="s">
        <v>28</v>
      </c>
      <c r="B2351" s="2">
        <v>2.66</v>
      </c>
      <c r="C2351" s="2">
        <v>3</v>
      </c>
      <c r="D2351" s="2">
        <v>2744</v>
      </c>
      <c r="E2351" s="2">
        <v>4.6699999999999998E-2</v>
      </c>
    </row>
    <row r="2352" spans="1:5" ht="16.5" hidden="1" customHeight="1" thickBot="1" x14ac:dyDescent="0.35"/>
    <row r="2353" spans="1:9" ht="16.5" hidden="1" customHeight="1" x14ac:dyDescent="0.3">
      <c r="A2353" s="24" t="s">
        <v>487</v>
      </c>
      <c r="B2353" s="26"/>
      <c r="C2353" s="26"/>
      <c r="D2353" s="26"/>
      <c r="E2353" s="26"/>
      <c r="F2353" s="26"/>
    </row>
    <row r="2354" spans="1:9" ht="16.5" hidden="1" customHeight="1" x14ac:dyDescent="0.3">
      <c r="A2354" s="25" t="s">
        <v>488</v>
      </c>
      <c r="B2354" s="27"/>
      <c r="C2354" s="27" t="s">
        <v>489</v>
      </c>
      <c r="D2354" s="3" t="s">
        <v>490</v>
      </c>
      <c r="E2354" s="27" t="s">
        <v>492</v>
      </c>
      <c r="F2354" s="27" t="s">
        <v>493</v>
      </c>
    </row>
    <row r="2355" spans="1:9" ht="16.5" hidden="1" customHeight="1" x14ac:dyDescent="0.3">
      <c r="A2355" s="25"/>
      <c r="B2355" s="27"/>
      <c r="C2355" s="27"/>
      <c r="D2355" s="3" t="s">
        <v>491</v>
      </c>
      <c r="E2355" s="27"/>
      <c r="F2355" s="27"/>
    </row>
    <row r="2356" spans="1:9" ht="16.5" hidden="1" customHeight="1" x14ac:dyDescent="0.3">
      <c r="A2356" s="25" t="s">
        <v>595</v>
      </c>
      <c r="B2356" s="27"/>
      <c r="C2356" s="27"/>
      <c r="D2356" s="27"/>
      <c r="E2356" s="27"/>
      <c r="F2356" s="27"/>
    </row>
    <row r="2357" spans="1:9" ht="17.25" hidden="1" customHeight="1" thickBot="1" x14ac:dyDescent="0.35">
      <c r="A2357" s="13" t="s">
        <v>495</v>
      </c>
      <c r="B2357" s="12"/>
      <c r="C2357" s="16">
        <v>-5.0355999999999996</v>
      </c>
      <c r="D2357" s="2">
        <v>0.23960000000000001</v>
      </c>
      <c r="E2357" s="16">
        <v>-21.01</v>
      </c>
      <c r="F2357" s="2" t="s">
        <v>482</v>
      </c>
    </row>
    <row r="2358" spans="1:9" ht="17.25" hidden="1" customHeight="1" thickBot="1" x14ac:dyDescent="0.35">
      <c r="A2358" s="13" t="s">
        <v>28</v>
      </c>
      <c r="B2358" s="12">
        <v>2</v>
      </c>
      <c r="C2358" s="2">
        <v>0.20569999999999999</v>
      </c>
      <c r="D2358" s="2">
        <v>0.31240000000000001</v>
      </c>
      <c r="E2358" s="2">
        <v>0.66</v>
      </c>
      <c r="F2358" s="2">
        <v>0.51019999999999999</v>
      </c>
    </row>
    <row r="2359" spans="1:9" ht="17.25" hidden="1" customHeight="1" thickBot="1" x14ac:dyDescent="0.35">
      <c r="A2359" s="13" t="s">
        <v>28</v>
      </c>
      <c r="B2359" s="12">
        <v>3</v>
      </c>
      <c r="C2359" s="2">
        <v>0.65480000000000005</v>
      </c>
      <c r="D2359" s="2">
        <v>0.2742</v>
      </c>
      <c r="E2359" s="2">
        <v>2.39</v>
      </c>
      <c r="F2359" s="2">
        <v>1.7000000000000001E-2</v>
      </c>
    </row>
    <row r="2360" spans="1:9" ht="16.5" hidden="1" customHeight="1" x14ac:dyDescent="0.3">
      <c r="A2360" s="14" t="s">
        <v>28</v>
      </c>
      <c r="B2360" s="15">
        <v>4</v>
      </c>
      <c r="C2360" s="2">
        <v>0.5645</v>
      </c>
      <c r="D2360" s="2">
        <v>0.27210000000000001</v>
      </c>
      <c r="E2360" s="2">
        <v>2.0699999999999998</v>
      </c>
      <c r="F2360" s="2">
        <v>3.8100000000000002E-2</v>
      </c>
    </row>
    <row r="2361" spans="1:9" ht="16.5" hidden="1" customHeight="1" thickBot="1" x14ac:dyDescent="0.35"/>
    <row r="2362" spans="1:9" ht="16.5" hidden="1" customHeight="1" x14ac:dyDescent="0.3">
      <c r="A2362" s="24" t="s">
        <v>496</v>
      </c>
      <c r="B2362" s="26"/>
      <c r="C2362" s="26"/>
      <c r="D2362" s="26"/>
    </row>
    <row r="2363" spans="1:9" ht="33" hidden="1" customHeight="1" x14ac:dyDescent="0.3">
      <c r="A2363" s="6" t="s">
        <v>486</v>
      </c>
      <c r="B2363" s="3" t="s">
        <v>497</v>
      </c>
      <c r="C2363" s="27" t="s">
        <v>91</v>
      </c>
      <c r="D2363" s="27"/>
    </row>
    <row r="2364" spans="1:9" ht="49.5" hidden="1" customHeight="1" x14ac:dyDescent="0.3">
      <c r="A2364" s="25" t="s">
        <v>596</v>
      </c>
      <c r="B2364" s="27"/>
      <c r="C2364" s="27"/>
      <c r="D2364" s="27"/>
    </row>
    <row r="2365" spans="1:9" ht="26.25" thickBot="1" x14ac:dyDescent="0.35">
      <c r="A2365" s="13" t="s">
        <v>525</v>
      </c>
      <c r="B2365" s="2">
        <v>1.228</v>
      </c>
      <c r="C2365" s="2">
        <v>0.66600000000000004</v>
      </c>
      <c r="D2365" s="2">
        <v>2.266</v>
      </c>
      <c r="H2365" s="8" t="str">
        <f t="shared" ref="H2365:H2367" si="54">TEXT(B2365,"0.00")&amp;" ("&amp;TEXT(C2365,"0.00")&amp;" to "&amp;TEXT(D2365,"0.00")&amp;")"</f>
        <v>1.23 (0.67 to 2.27)</v>
      </c>
      <c r="I2365">
        <f>F2358</f>
        <v>0.51019999999999999</v>
      </c>
    </row>
    <row r="2366" spans="1:9" ht="26.25" thickBot="1" x14ac:dyDescent="0.35">
      <c r="A2366" s="13" t="s">
        <v>526</v>
      </c>
      <c r="B2366" s="2">
        <v>1.925</v>
      </c>
      <c r="C2366" s="2">
        <v>1.1240000000000001</v>
      </c>
      <c r="D2366" s="2">
        <v>3.2949999999999999</v>
      </c>
      <c r="H2366" s="8" t="str">
        <f t="shared" si="54"/>
        <v>1.93 (1.12 to 3.30)</v>
      </c>
      <c r="I2366">
        <f t="shared" ref="I2366:I2367" si="55">F2359</f>
        <v>1.7000000000000001E-2</v>
      </c>
    </row>
    <row r="2367" spans="1:9" ht="25.5" x14ac:dyDescent="0.3">
      <c r="A2367" s="14" t="s">
        <v>527</v>
      </c>
      <c r="B2367" s="2">
        <v>1.7589999999999999</v>
      </c>
      <c r="C2367" s="2">
        <v>1.0309999999999999</v>
      </c>
      <c r="D2367" s="2">
        <v>2.9980000000000002</v>
      </c>
      <c r="H2367" s="8" t="str">
        <f t="shared" si="54"/>
        <v>1.76 (1.03 to 3.00)</v>
      </c>
      <c r="I2367">
        <f t="shared" si="55"/>
        <v>3.8100000000000002E-2</v>
      </c>
    </row>
    <row r="2368" spans="1:9" ht="16.5" hidden="1" customHeight="1" thickBot="1" x14ac:dyDescent="0.35"/>
    <row r="2369" spans="1:4" ht="33" hidden="1" customHeight="1" x14ac:dyDescent="0.3">
      <c r="A2369" s="24" t="s">
        <v>502</v>
      </c>
      <c r="B2369" s="26"/>
      <c r="C2369" s="26"/>
      <c r="D2369" s="26"/>
    </row>
    <row r="2370" spans="1:4" ht="39" hidden="1" customHeight="1" thickBot="1" x14ac:dyDescent="0.35">
      <c r="A2370" s="13" t="s">
        <v>503</v>
      </c>
      <c r="B2370" s="2">
        <v>40</v>
      </c>
      <c r="C2370" s="12" t="s">
        <v>504</v>
      </c>
      <c r="D2370" s="2">
        <v>0.129</v>
      </c>
    </row>
    <row r="2371" spans="1:4" ht="26.25" hidden="1" customHeight="1" thickBot="1" x14ac:dyDescent="0.35">
      <c r="A2371" s="13" t="s">
        <v>505</v>
      </c>
      <c r="B2371" s="2">
        <v>27</v>
      </c>
      <c r="C2371" s="12" t="s">
        <v>506</v>
      </c>
      <c r="D2371" s="2">
        <v>0.193</v>
      </c>
    </row>
    <row r="2372" spans="1:4" ht="26.25" hidden="1" customHeight="1" thickBot="1" x14ac:dyDescent="0.35">
      <c r="A2372" s="13" t="s">
        <v>507</v>
      </c>
      <c r="B2372" s="2">
        <v>33</v>
      </c>
      <c r="C2372" s="12" t="s">
        <v>508</v>
      </c>
      <c r="D2372" s="2">
        <v>4.0000000000000001E-3</v>
      </c>
    </row>
    <row r="2373" spans="1:4" ht="16.5" hidden="1" customHeight="1" x14ac:dyDescent="0.3">
      <c r="A2373" s="14" t="s">
        <v>509</v>
      </c>
      <c r="B2373" s="2">
        <v>3903348</v>
      </c>
      <c r="C2373" s="15" t="s">
        <v>510</v>
      </c>
      <c r="D2373" s="2">
        <v>0.56499999999999995</v>
      </c>
    </row>
    <row r="2374" spans="1:4" ht="16.5" hidden="1" customHeight="1" x14ac:dyDescent="0.3"/>
    <row r="2375" spans="1:4" ht="16.5" hidden="1" customHeight="1" x14ac:dyDescent="0.3"/>
    <row r="2376" spans="1:4" ht="16.5" hidden="1" customHeight="1" x14ac:dyDescent="0.3"/>
    <row r="2377" spans="1:4" ht="16.5" hidden="1" customHeight="1" x14ac:dyDescent="0.3">
      <c r="A2377" s="1" t="s">
        <v>436</v>
      </c>
    </row>
    <row r="2378" spans="1:4" ht="16.5" hidden="1" customHeight="1" x14ac:dyDescent="0.3"/>
    <row r="2379" spans="1:4" ht="16.5" hidden="1" customHeight="1" x14ac:dyDescent="0.3">
      <c r="A2379" s="1" t="s">
        <v>422</v>
      </c>
    </row>
    <row r="2380" spans="1:4" ht="16.5" hidden="1" customHeight="1" thickBot="1" x14ac:dyDescent="0.35"/>
    <row r="2381" spans="1:4" ht="16.5" hidden="1" customHeight="1" x14ac:dyDescent="0.3">
      <c r="A2381" s="24" t="s">
        <v>437</v>
      </c>
      <c r="B2381" s="26"/>
    </row>
    <row r="2382" spans="1:4" ht="26.25" hidden="1" customHeight="1" thickBot="1" x14ac:dyDescent="0.35">
      <c r="A2382" s="13" t="s">
        <v>438</v>
      </c>
      <c r="B2382" s="18" t="s">
        <v>439</v>
      </c>
    </row>
    <row r="2383" spans="1:4" ht="26.25" hidden="1" customHeight="1" thickBot="1" x14ac:dyDescent="0.35">
      <c r="A2383" s="13" t="s">
        <v>440</v>
      </c>
      <c r="B2383" s="18" t="s">
        <v>19</v>
      </c>
    </row>
    <row r="2384" spans="1:4" ht="39" hidden="1" customHeight="1" thickBot="1" x14ac:dyDescent="0.35">
      <c r="A2384" s="13" t="s">
        <v>441</v>
      </c>
      <c r="B2384" s="18">
        <v>2</v>
      </c>
    </row>
    <row r="2385" spans="1:2" ht="26.25" hidden="1" customHeight="1" thickBot="1" x14ac:dyDescent="0.35">
      <c r="A2385" s="13" t="s">
        <v>442</v>
      </c>
      <c r="B2385" s="18" t="s">
        <v>443</v>
      </c>
    </row>
    <row r="2386" spans="1:2" ht="26.25" hidden="1" customHeight="1" thickBot="1" x14ac:dyDescent="0.35">
      <c r="A2386" s="13" t="s">
        <v>76</v>
      </c>
      <c r="B2386" s="18">
        <v>183</v>
      </c>
    </row>
    <row r="2387" spans="1:2" ht="26.25" hidden="1" customHeight="1" thickBot="1" x14ac:dyDescent="0.35">
      <c r="A2387" s="13" t="s">
        <v>444</v>
      </c>
      <c r="B2387" s="18" t="s">
        <v>445</v>
      </c>
    </row>
    <row r="2388" spans="1:2" ht="26.25" hidden="1" customHeight="1" thickBot="1" x14ac:dyDescent="0.35">
      <c r="A2388" s="13" t="s">
        <v>77</v>
      </c>
      <c r="B2388" s="18">
        <v>2969</v>
      </c>
    </row>
    <row r="2389" spans="1:2" ht="26.25" hidden="1" customHeight="1" thickBot="1" x14ac:dyDescent="0.35">
      <c r="A2389" s="13" t="s">
        <v>446</v>
      </c>
      <c r="B2389" s="18" t="s">
        <v>447</v>
      </c>
    </row>
    <row r="2390" spans="1:2" ht="26.25" hidden="1" customHeight="1" thickBot="1" x14ac:dyDescent="0.35">
      <c r="A2390" s="13" t="s">
        <v>448</v>
      </c>
      <c r="B2390" s="18" t="s">
        <v>449</v>
      </c>
    </row>
    <row r="2391" spans="1:2" ht="39" hidden="1" customHeight="1" thickBot="1" x14ac:dyDescent="0.35">
      <c r="A2391" s="13" t="s">
        <v>450</v>
      </c>
      <c r="B2391" s="18" t="s">
        <v>451</v>
      </c>
    </row>
    <row r="2392" spans="1:2" ht="38.25" hidden="1" customHeight="1" x14ac:dyDescent="0.3">
      <c r="A2392" s="14" t="s">
        <v>452</v>
      </c>
      <c r="B2392" s="19" t="s">
        <v>453</v>
      </c>
    </row>
    <row r="2393" spans="1:2" ht="16.5" hidden="1" customHeight="1" thickBot="1" x14ac:dyDescent="0.35"/>
    <row r="2394" spans="1:2" ht="33" hidden="1" customHeight="1" x14ac:dyDescent="0.3">
      <c r="A2394" s="24" t="s">
        <v>80</v>
      </c>
      <c r="B2394" s="26"/>
    </row>
    <row r="2395" spans="1:2" ht="33.75" hidden="1" customHeight="1" thickBot="1" x14ac:dyDescent="0.35">
      <c r="A2395" s="13" t="s">
        <v>81</v>
      </c>
      <c r="B2395" s="2" t="s">
        <v>82</v>
      </c>
    </row>
    <row r="2396" spans="1:2" ht="66" hidden="1" customHeight="1" x14ac:dyDescent="0.3">
      <c r="A2396" s="14" t="s">
        <v>452</v>
      </c>
      <c r="B2396" s="2" t="s">
        <v>453</v>
      </c>
    </row>
    <row r="2397" spans="1:2" ht="16.5" hidden="1" customHeight="1" thickBot="1" x14ac:dyDescent="0.35"/>
    <row r="2398" spans="1:2" ht="39" hidden="1" customHeight="1" thickBot="1" x14ac:dyDescent="0.35">
      <c r="A2398" s="20" t="s">
        <v>454</v>
      </c>
      <c r="B2398" s="21">
        <v>24999</v>
      </c>
    </row>
    <row r="2399" spans="1:2" ht="39" hidden="1" customHeight="1" thickBot="1" x14ac:dyDescent="0.35">
      <c r="A2399" s="13" t="s">
        <v>455</v>
      </c>
      <c r="B2399" s="2">
        <v>24999</v>
      </c>
    </row>
    <row r="2400" spans="1:2" ht="39" hidden="1" customHeight="1" thickBot="1" x14ac:dyDescent="0.35">
      <c r="A2400" s="13" t="s">
        <v>456</v>
      </c>
      <c r="B2400" s="2">
        <v>11740558</v>
      </c>
    </row>
    <row r="2401" spans="1:5" ht="38.25" hidden="1" customHeight="1" x14ac:dyDescent="0.3">
      <c r="A2401" s="14" t="s">
        <v>457</v>
      </c>
      <c r="B2401" s="2">
        <v>11740558</v>
      </c>
    </row>
    <row r="2402" spans="1:5" ht="16.5" hidden="1" customHeight="1" thickBot="1" x14ac:dyDescent="0.35"/>
    <row r="2403" spans="1:5" ht="16.5" hidden="1" customHeight="1" x14ac:dyDescent="0.3">
      <c r="A2403" s="24" t="s">
        <v>458</v>
      </c>
      <c r="B2403" s="26"/>
      <c r="C2403" s="26"/>
      <c r="D2403" s="26"/>
    </row>
    <row r="2404" spans="1:5" ht="16.5" hidden="1" customHeight="1" x14ac:dyDescent="0.3">
      <c r="A2404" s="6" t="s">
        <v>459</v>
      </c>
      <c r="B2404" s="27" t="s">
        <v>19</v>
      </c>
      <c r="C2404" s="3" t="s">
        <v>93</v>
      </c>
      <c r="D2404" s="3" t="s">
        <v>93</v>
      </c>
    </row>
    <row r="2405" spans="1:5" ht="33" hidden="1" customHeight="1" x14ac:dyDescent="0.3">
      <c r="A2405" s="6" t="s">
        <v>460</v>
      </c>
      <c r="B2405" s="27"/>
      <c r="C2405" s="3" t="s">
        <v>86</v>
      </c>
      <c r="D2405" s="3" t="s">
        <v>461</v>
      </c>
    </row>
    <row r="2406" spans="1:5" ht="17.25" hidden="1" customHeight="1" thickBot="1" x14ac:dyDescent="0.35">
      <c r="A2406" s="6">
        <v>1</v>
      </c>
      <c r="B2406" s="17">
        <v>0</v>
      </c>
      <c r="C2406" s="2">
        <v>24660</v>
      </c>
      <c r="D2406" s="2">
        <v>11632656</v>
      </c>
    </row>
    <row r="2407" spans="1:5" ht="16.5" hidden="1" customHeight="1" x14ac:dyDescent="0.3">
      <c r="A2407" s="6">
        <v>2</v>
      </c>
      <c r="B2407" s="22">
        <v>1</v>
      </c>
      <c r="C2407" s="2">
        <v>339</v>
      </c>
      <c r="D2407" s="2">
        <v>107902</v>
      </c>
    </row>
    <row r="2408" spans="1:5" ht="16.5" hidden="1" customHeight="1" x14ac:dyDescent="0.3"/>
    <row r="2409" spans="1:5" ht="16.5" hidden="1" customHeight="1" x14ac:dyDescent="0.3">
      <c r="A2409" s="1" t="s">
        <v>513</v>
      </c>
    </row>
    <row r="2410" spans="1:5" ht="16.5" hidden="1" customHeight="1" thickBot="1" x14ac:dyDescent="0.35"/>
    <row r="2411" spans="1:5" ht="16.5" hidden="1" customHeight="1" x14ac:dyDescent="0.3">
      <c r="A2411" s="24" t="s">
        <v>462</v>
      </c>
      <c r="B2411" s="26"/>
      <c r="C2411" s="26"/>
      <c r="D2411" s="26"/>
      <c r="E2411" s="26"/>
    </row>
    <row r="2412" spans="1:5" ht="16.5" hidden="1" customHeight="1" x14ac:dyDescent="0.3">
      <c r="A2412" s="6" t="s">
        <v>463</v>
      </c>
      <c r="B2412" s="3" t="s">
        <v>460</v>
      </c>
      <c r="C2412" s="27" t="s">
        <v>464</v>
      </c>
      <c r="D2412" s="27"/>
      <c r="E2412" s="27"/>
    </row>
    <row r="2413" spans="1:5" ht="17.25" hidden="1" customHeight="1" thickBot="1" x14ac:dyDescent="0.35">
      <c r="A2413" s="13" t="s">
        <v>26</v>
      </c>
      <c r="B2413" s="12">
        <v>1</v>
      </c>
      <c r="C2413" s="2">
        <v>0</v>
      </c>
      <c r="D2413" s="2">
        <v>0</v>
      </c>
      <c r="E2413" s="2">
        <v>0</v>
      </c>
    </row>
    <row r="2414" spans="1:5" ht="17.25" hidden="1" customHeight="1" thickBot="1" x14ac:dyDescent="0.35">
      <c r="A2414" s="13"/>
      <c r="B2414" s="12">
        <v>2</v>
      </c>
      <c r="C2414" s="2">
        <v>1</v>
      </c>
      <c r="D2414" s="2">
        <v>0</v>
      </c>
      <c r="E2414" s="2">
        <v>0</v>
      </c>
    </row>
    <row r="2415" spans="1:5" ht="17.25" hidden="1" customHeight="1" thickBot="1" x14ac:dyDescent="0.35">
      <c r="A2415" s="13"/>
      <c r="B2415" s="12">
        <v>3</v>
      </c>
      <c r="C2415" s="2">
        <v>0</v>
      </c>
      <c r="D2415" s="2">
        <v>1</v>
      </c>
      <c r="E2415" s="2">
        <v>0</v>
      </c>
    </row>
    <row r="2416" spans="1:5" ht="16.5" hidden="1" customHeight="1" x14ac:dyDescent="0.3">
      <c r="A2416" s="14"/>
      <c r="B2416" s="15">
        <v>4</v>
      </c>
      <c r="C2416" s="2">
        <v>0</v>
      </c>
      <c r="D2416" s="2">
        <v>0</v>
      </c>
      <c r="E2416" s="2">
        <v>1</v>
      </c>
    </row>
    <row r="2417" spans="1:5" ht="16.5" hidden="1" customHeight="1" thickBot="1" x14ac:dyDescent="0.35"/>
    <row r="2418" spans="1:5" ht="66" hidden="1" customHeight="1" x14ac:dyDescent="0.3">
      <c r="A2418" s="4" t="s">
        <v>465</v>
      </c>
    </row>
    <row r="2419" spans="1:5" ht="99" hidden="1" customHeight="1" x14ac:dyDescent="0.3">
      <c r="A2419" s="23" t="s">
        <v>466</v>
      </c>
    </row>
    <row r="2420" spans="1:5" ht="16.5" hidden="1" customHeight="1" thickBot="1" x14ac:dyDescent="0.35"/>
    <row r="2421" spans="1:5" ht="16.5" hidden="1" customHeight="1" x14ac:dyDescent="0.3">
      <c r="A2421" s="24" t="s">
        <v>467</v>
      </c>
      <c r="B2421" s="26"/>
      <c r="C2421" s="26"/>
    </row>
    <row r="2422" spans="1:5" ht="66" hidden="1" customHeight="1" x14ac:dyDescent="0.3">
      <c r="A2422" s="6" t="s">
        <v>468</v>
      </c>
      <c r="B2422" s="3" t="s">
        <v>469</v>
      </c>
      <c r="C2422" s="3" t="s">
        <v>470</v>
      </c>
    </row>
    <row r="2423" spans="1:5" ht="17.25" hidden="1" customHeight="1" thickBot="1" x14ac:dyDescent="0.35">
      <c r="A2423" s="13" t="s">
        <v>471</v>
      </c>
      <c r="B2423" s="2">
        <v>1226839.6000000001</v>
      </c>
      <c r="C2423" s="2">
        <v>1218654.8</v>
      </c>
    </row>
    <row r="2424" spans="1:5" ht="17.25" hidden="1" customHeight="1" thickBot="1" x14ac:dyDescent="0.35">
      <c r="A2424" s="13" t="s">
        <v>472</v>
      </c>
      <c r="B2424" s="2">
        <v>1226853.8999999999</v>
      </c>
      <c r="C2424" s="2">
        <v>1218712</v>
      </c>
    </row>
    <row r="2425" spans="1:5" ht="16.5" hidden="1" customHeight="1" x14ac:dyDescent="0.3">
      <c r="A2425" s="14" t="s">
        <v>473</v>
      </c>
      <c r="B2425" s="2" t="s">
        <v>646</v>
      </c>
      <c r="C2425" s="2">
        <v>1218646.8</v>
      </c>
    </row>
    <row r="2426" spans="1:5" ht="16.5" hidden="1" customHeight="1" thickBot="1" x14ac:dyDescent="0.35"/>
    <row r="2427" spans="1:5" ht="16.5" hidden="1" customHeight="1" x14ac:dyDescent="0.3">
      <c r="A2427" s="24" t="s">
        <v>474</v>
      </c>
      <c r="B2427" s="26"/>
      <c r="C2427" s="26"/>
      <c r="D2427" s="26"/>
      <c r="E2427" s="26"/>
    </row>
    <row r="2428" spans="1:5" ht="16.5" hidden="1" customHeight="1" x14ac:dyDescent="0.3">
      <c r="A2428" s="6" t="s">
        <v>475</v>
      </c>
      <c r="B2428" s="3" t="s">
        <v>476</v>
      </c>
      <c r="C2428" s="3" t="s">
        <v>477</v>
      </c>
      <c r="D2428" s="3" t="s">
        <v>478</v>
      </c>
      <c r="E2428" s="3" t="s">
        <v>479</v>
      </c>
    </row>
    <row r="2429" spans="1:5" ht="33" hidden="1" customHeight="1" x14ac:dyDescent="0.3">
      <c r="A2429" s="25" t="s">
        <v>560</v>
      </c>
      <c r="B2429" s="27"/>
      <c r="C2429" s="27"/>
      <c r="D2429" s="27"/>
      <c r="E2429" s="27"/>
    </row>
    <row r="2430" spans="1:5" ht="26.25" hidden="1" customHeight="1" thickBot="1" x14ac:dyDescent="0.35">
      <c r="A2430" s="13" t="s">
        <v>481</v>
      </c>
      <c r="B2430" s="2">
        <v>5.67</v>
      </c>
      <c r="C2430" s="2">
        <v>2.9956999999999998</v>
      </c>
      <c r="D2430" s="2">
        <v>8345.89</v>
      </c>
      <c r="E2430" s="2">
        <v>6.9999999999999999E-4</v>
      </c>
    </row>
    <row r="2431" spans="1:5" ht="17.25" hidden="1" customHeight="1" thickBot="1" x14ac:dyDescent="0.35">
      <c r="A2431" s="13" t="s">
        <v>483</v>
      </c>
      <c r="B2431" s="2">
        <v>7.07</v>
      </c>
      <c r="C2431" s="2">
        <v>3</v>
      </c>
      <c r="D2431" s="2">
        <v>2784</v>
      </c>
      <c r="E2431" s="2" t="s">
        <v>482</v>
      </c>
    </row>
    <row r="2432" spans="1:5" ht="16.5" hidden="1" customHeight="1" x14ac:dyDescent="0.3">
      <c r="A2432" s="14" t="s">
        <v>484</v>
      </c>
      <c r="B2432" s="2">
        <v>5.43</v>
      </c>
      <c r="C2432" s="2">
        <v>3</v>
      </c>
      <c r="D2432" s="2">
        <v>2784</v>
      </c>
      <c r="E2432" s="2">
        <v>1E-3</v>
      </c>
    </row>
    <row r="2433" spans="1:6" ht="16.5" hidden="1" customHeight="1" thickBot="1" x14ac:dyDescent="0.35"/>
    <row r="2434" spans="1:6" ht="16.5" hidden="1" customHeight="1" x14ac:dyDescent="0.3">
      <c r="A2434" s="24" t="s">
        <v>485</v>
      </c>
      <c r="B2434" s="26"/>
      <c r="C2434" s="26"/>
      <c r="D2434" s="26"/>
      <c r="E2434" s="26"/>
    </row>
    <row r="2435" spans="1:6" ht="16.5" hidden="1" customHeight="1" x14ac:dyDescent="0.3">
      <c r="A2435" s="6" t="s">
        <v>486</v>
      </c>
      <c r="B2435" s="3" t="s">
        <v>476</v>
      </c>
      <c r="C2435" s="3" t="s">
        <v>477</v>
      </c>
      <c r="D2435" s="3" t="s">
        <v>478</v>
      </c>
      <c r="E2435" s="3" t="s">
        <v>479</v>
      </c>
    </row>
    <row r="2436" spans="1:6" ht="16.5" hidden="1" customHeight="1" x14ac:dyDescent="0.3">
      <c r="A2436" s="14" t="s">
        <v>26</v>
      </c>
      <c r="B2436" s="2">
        <v>5.43</v>
      </c>
      <c r="C2436" s="2">
        <v>3</v>
      </c>
      <c r="D2436" s="2">
        <v>2784</v>
      </c>
      <c r="E2436" s="2">
        <v>1E-3</v>
      </c>
    </row>
    <row r="2437" spans="1:6" ht="16.5" hidden="1" customHeight="1" thickBot="1" x14ac:dyDescent="0.35"/>
    <row r="2438" spans="1:6" ht="16.5" hidden="1" customHeight="1" x14ac:dyDescent="0.3">
      <c r="A2438" s="24" t="s">
        <v>487</v>
      </c>
      <c r="B2438" s="26"/>
      <c r="C2438" s="26"/>
      <c r="D2438" s="26"/>
      <c r="E2438" s="26"/>
      <c r="F2438" s="26"/>
    </row>
    <row r="2439" spans="1:6" ht="16.5" hidden="1" customHeight="1" x14ac:dyDescent="0.3">
      <c r="A2439" s="25" t="s">
        <v>488</v>
      </c>
      <c r="B2439" s="27"/>
      <c r="C2439" s="27" t="s">
        <v>489</v>
      </c>
      <c r="D2439" s="3" t="s">
        <v>490</v>
      </c>
      <c r="E2439" s="27" t="s">
        <v>492</v>
      </c>
      <c r="F2439" s="27" t="s">
        <v>493</v>
      </c>
    </row>
    <row r="2440" spans="1:6" ht="16.5" hidden="1" customHeight="1" x14ac:dyDescent="0.3">
      <c r="A2440" s="25"/>
      <c r="B2440" s="27"/>
      <c r="C2440" s="27"/>
      <c r="D2440" s="3" t="s">
        <v>491</v>
      </c>
      <c r="E2440" s="27"/>
      <c r="F2440" s="27"/>
    </row>
    <row r="2441" spans="1:6" ht="16.5" hidden="1" customHeight="1" x14ac:dyDescent="0.3">
      <c r="A2441" s="25" t="s">
        <v>531</v>
      </c>
      <c r="B2441" s="27"/>
      <c r="C2441" s="27"/>
      <c r="D2441" s="27"/>
      <c r="E2441" s="27"/>
      <c r="F2441" s="27"/>
    </row>
    <row r="2442" spans="1:6" ht="17.25" hidden="1" customHeight="1" thickBot="1" x14ac:dyDescent="0.35">
      <c r="A2442" s="13" t="s">
        <v>495</v>
      </c>
      <c r="B2442" s="12"/>
      <c r="C2442" s="16">
        <v>-5.1707999999999998</v>
      </c>
      <c r="D2442" s="2">
        <v>0.1605</v>
      </c>
      <c r="E2442" s="16">
        <v>-32.22</v>
      </c>
      <c r="F2442" s="2" t="s">
        <v>482</v>
      </c>
    </row>
    <row r="2443" spans="1:6" ht="17.25" hidden="1" customHeight="1" thickBot="1" x14ac:dyDescent="0.35">
      <c r="A2443" s="13" t="s">
        <v>26</v>
      </c>
      <c r="B2443" s="12">
        <v>2</v>
      </c>
      <c r="C2443" s="2">
        <v>0.42309999999999998</v>
      </c>
      <c r="D2443" s="2">
        <v>0.2074</v>
      </c>
      <c r="E2443" s="2">
        <v>2.04</v>
      </c>
      <c r="F2443" s="2">
        <v>4.1399999999999999E-2</v>
      </c>
    </row>
    <row r="2444" spans="1:6" ht="17.25" hidden="1" customHeight="1" thickBot="1" x14ac:dyDescent="0.35">
      <c r="A2444" s="13" t="s">
        <v>26</v>
      </c>
      <c r="B2444" s="12">
        <v>3</v>
      </c>
      <c r="C2444" s="2">
        <v>0.69740000000000002</v>
      </c>
      <c r="D2444" s="2">
        <v>0.20530000000000001</v>
      </c>
      <c r="E2444" s="2">
        <v>3.4</v>
      </c>
      <c r="F2444" s="2">
        <v>6.9999999999999999E-4</v>
      </c>
    </row>
    <row r="2445" spans="1:6" ht="16.5" hidden="1" customHeight="1" x14ac:dyDescent="0.3">
      <c r="A2445" s="14" t="s">
        <v>26</v>
      </c>
      <c r="B2445" s="15">
        <v>4</v>
      </c>
      <c r="C2445" s="2">
        <v>0.73340000000000005</v>
      </c>
      <c r="D2445" s="2">
        <v>0.19850000000000001</v>
      </c>
      <c r="E2445" s="2">
        <v>3.69</v>
      </c>
      <c r="F2445" s="2">
        <v>2.0000000000000001E-4</v>
      </c>
    </row>
    <row r="2446" spans="1:6" ht="16.5" hidden="1" customHeight="1" thickBot="1" x14ac:dyDescent="0.35"/>
    <row r="2447" spans="1:6" ht="16.5" hidden="1" customHeight="1" x14ac:dyDescent="0.3">
      <c r="A2447" s="24" t="s">
        <v>496</v>
      </c>
      <c r="B2447" s="26"/>
      <c r="C2447" s="26"/>
      <c r="D2447" s="26"/>
    </row>
    <row r="2448" spans="1:6" ht="33" hidden="1" customHeight="1" x14ac:dyDescent="0.3">
      <c r="A2448" s="6" t="s">
        <v>486</v>
      </c>
      <c r="B2448" s="3" t="s">
        <v>497</v>
      </c>
      <c r="C2448" s="27" t="s">
        <v>91</v>
      </c>
      <c r="D2448" s="27"/>
    </row>
    <row r="2449" spans="1:9" ht="49.5" hidden="1" customHeight="1" x14ac:dyDescent="0.3">
      <c r="A2449" s="25" t="s">
        <v>532</v>
      </c>
      <c r="B2449" s="27"/>
      <c r="C2449" s="27"/>
      <c r="D2449" s="27"/>
    </row>
    <row r="2450" spans="1:9" ht="26.25" thickBot="1" x14ac:dyDescent="0.35">
      <c r="A2450" s="13" t="s">
        <v>521</v>
      </c>
      <c r="B2450" s="2">
        <v>1.5269999999999999</v>
      </c>
      <c r="C2450" s="2">
        <v>1.0169999999999999</v>
      </c>
      <c r="D2450" s="2">
        <v>2.2930000000000001</v>
      </c>
      <c r="H2450" s="8" t="str">
        <f t="shared" ref="H2450:H2452" si="56">TEXT(B2450,"0.00")&amp;" ("&amp;TEXT(C2450,"0.00")&amp;" to "&amp;TEXT(D2450,"0.00")&amp;")"</f>
        <v>1.53 (1.02 to 2.29)</v>
      </c>
      <c r="I2450">
        <f>F2443</f>
        <v>4.1399999999999999E-2</v>
      </c>
    </row>
    <row r="2451" spans="1:9" ht="26.25" thickBot="1" x14ac:dyDescent="0.35">
      <c r="A2451" s="13" t="s">
        <v>522</v>
      </c>
      <c r="B2451" s="2">
        <v>2.0089999999999999</v>
      </c>
      <c r="C2451" s="2">
        <v>1.343</v>
      </c>
      <c r="D2451" s="2">
        <v>3.004</v>
      </c>
      <c r="H2451" s="8" t="str">
        <f t="shared" si="56"/>
        <v>2.01 (1.34 to 3.00)</v>
      </c>
      <c r="I2451">
        <f t="shared" ref="I2451:I2452" si="57">F2444</f>
        <v>6.9999999999999999E-4</v>
      </c>
    </row>
    <row r="2452" spans="1:9" ht="25.5" x14ac:dyDescent="0.3">
      <c r="A2452" s="14" t="s">
        <v>523</v>
      </c>
      <c r="B2452" s="2">
        <v>2.0819999999999999</v>
      </c>
      <c r="C2452" s="2">
        <v>1.411</v>
      </c>
      <c r="D2452" s="2">
        <v>3.073</v>
      </c>
      <c r="H2452" s="8" t="str">
        <f t="shared" si="56"/>
        <v>2.08 (1.41 to 3.07)</v>
      </c>
      <c r="I2452">
        <f t="shared" si="57"/>
        <v>2.0000000000000001E-4</v>
      </c>
    </row>
    <row r="2453" spans="1:9" ht="16.5" hidden="1" customHeight="1" thickBot="1" x14ac:dyDescent="0.35"/>
    <row r="2454" spans="1:9" ht="33" hidden="1" customHeight="1" x14ac:dyDescent="0.3">
      <c r="A2454" s="24" t="s">
        <v>502</v>
      </c>
      <c r="B2454" s="26"/>
      <c r="C2454" s="26"/>
      <c r="D2454" s="26"/>
    </row>
    <row r="2455" spans="1:9" ht="39" hidden="1" customHeight="1" thickBot="1" x14ac:dyDescent="0.35">
      <c r="A2455" s="13" t="s">
        <v>503</v>
      </c>
      <c r="B2455" s="2">
        <v>37.5</v>
      </c>
      <c r="C2455" s="12" t="s">
        <v>504</v>
      </c>
      <c r="D2455" s="2">
        <v>0.14199999999999999</v>
      </c>
    </row>
    <row r="2456" spans="1:9" ht="26.25" hidden="1" customHeight="1" thickBot="1" x14ac:dyDescent="0.35">
      <c r="A2456" s="13" t="s">
        <v>505</v>
      </c>
      <c r="B2456" s="2">
        <v>23.3</v>
      </c>
      <c r="C2456" s="12" t="s">
        <v>506</v>
      </c>
      <c r="D2456" s="2">
        <v>0.23300000000000001</v>
      </c>
    </row>
    <row r="2457" spans="1:9" ht="26.25" hidden="1" customHeight="1" thickBot="1" x14ac:dyDescent="0.35">
      <c r="A2457" s="13" t="s">
        <v>507</v>
      </c>
      <c r="B2457" s="2">
        <v>39.200000000000003</v>
      </c>
      <c r="C2457" s="12" t="s">
        <v>508</v>
      </c>
      <c r="D2457" s="2">
        <v>4.0000000000000001E-3</v>
      </c>
    </row>
    <row r="2458" spans="1:9" ht="16.5" hidden="1" customHeight="1" x14ac:dyDescent="0.3">
      <c r="A2458" s="14" t="s">
        <v>509</v>
      </c>
      <c r="B2458" s="2">
        <v>8359740</v>
      </c>
      <c r="C2458" s="15" t="s">
        <v>510</v>
      </c>
      <c r="D2458" s="2">
        <v>0.57099999999999995</v>
      </c>
    </row>
    <row r="2459" spans="1:9" ht="16.5" hidden="1" customHeight="1" x14ac:dyDescent="0.3"/>
    <row r="2460" spans="1:9" ht="16.5" hidden="1" customHeight="1" x14ac:dyDescent="0.3"/>
    <row r="2461" spans="1:9" ht="16.5" hidden="1" customHeight="1" x14ac:dyDescent="0.3"/>
    <row r="2462" spans="1:9" ht="16.5" hidden="1" customHeight="1" x14ac:dyDescent="0.3">
      <c r="A2462" s="1" t="s">
        <v>436</v>
      </c>
    </row>
    <row r="2463" spans="1:9" ht="16.5" hidden="1" customHeight="1" x14ac:dyDescent="0.3"/>
    <row r="2464" spans="1:9" ht="16.5" hidden="1" customHeight="1" x14ac:dyDescent="0.3">
      <c r="A2464" s="1" t="s">
        <v>423</v>
      </c>
    </row>
    <row r="2465" spans="1:2" ht="16.5" hidden="1" customHeight="1" thickBot="1" x14ac:dyDescent="0.35"/>
    <row r="2466" spans="1:2" ht="16.5" hidden="1" customHeight="1" x14ac:dyDescent="0.3">
      <c r="A2466" s="24" t="s">
        <v>437</v>
      </c>
      <c r="B2466" s="26"/>
    </row>
    <row r="2467" spans="1:2" ht="26.25" hidden="1" customHeight="1" thickBot="1" x14ac:dyDescent="0.35">
      <c r="A2467" s="13" t="s">
        <v>438</v>
      </c>
      <c r="B2467" s="18" t="s">
        <v>439</v>
      </c>
    </row>
    <row r="2468" spans="1:2" ht="26.25" hidden="1" customHeight="1" thickBot="1" x14ac:dyDescent="0.35">
      <c r="A2468" s="13" t="s">
        <v>440</v>
      </c>
      <c r="B2468" s="18" t="s">
        <v>19</v>
      </c>
    </row>
    <row r="2469" spans="1:2" ht="39" hidden="1" customHeight="1" thickBot="1" x14ac:dyDescent="0.35">
      <c r="A2469" s="13" t="s">
        <v>441</v>
      </c>
      <c r="B2469" s="18">
        <v>2</v>
      </c>
    </row>
    <row r="2470" spans="1:2" ht="26.25" hidden="1" customHeight="1" thickBot="1" x14ac:dyDescent="0.35">
      <c r="A2470" s="13" t="s">
        <v>442</v>
      </c>
      <c r="B2470" s="18" t="s">
        <v>443</v>
      </c>
    </row>
    <row r="2471" spans="1:2" ht="26.25" hidden="1" customHeight="1" thickBot="1" x14ac:dyDescent="0.35">
      <c r="A2471" s="13" t="s">
        <v>76</v>
      </c>
      <c r="B2471" s="18">
        <v>183</v>
      </c>
    </row>
    <row r="2472" spans="1:2" ht="26.25" hidden="1" customHeight="1" thickBot="1" x14ac:dyDescent="0.35">
      <c r="A2472" s="13" t="s">
        <v>444</v>
      </c>
      <c r="B2472" s="18" t="s">
        <v>445</v>
      </c>
    </row>
    <row r="2473" spans="1:2" ht="26.25" hidden="1" customHeight="1" thickBot="1" x14ac:dyDescent="0.35">
      <c r="A2473" s="13" t="s">
        <v>77</v>
      </c>
      <c r="B2473" s="18">
        <v>2955</v>
      </c>
    </row>
    <row r="2474" spans="1:2" ht="26.25" hidden="1" customHeight="1" thickBot="1" x14ac:dyDescent="0.35">
      <c r="A2474" s="13" t="s">
        <v>446</v>
      </c>
      <c r="B2474" s="18" t="s">
        <v>447</v>
      </c>
    </row>
    <row r="2475" spans="1:2" ht="26.25" hidden="1" customHeight="1" thickBot="1" x14ac:dyDescent="0.35">
      <c r="A2475" s="13" t="s">
        <v>448</v>
      </c>
      <c r="B2475" s="18" t="s">
        <v>449</v>
      </c>
    </row>
    <row r="2476" spans="1:2" ht="39" hidden="1" customHeight="1" thickBot="1" x14ac:dyDescent="0.35">
      <c r="A2476" s="13" t="s">
        <v>450</v>
      </c>
      <c r="B2476" s="18" t="s">
        <v>451</v>
      </c>
    </row>
    <row r="2477" spans="1:2" ht="38.25" hidden="1" customHeight="1" x14ac:dyDescent="0.3">
      <c r="A2477" s="14" t="s">
        <v>452</v>
      </c>
      <c r="B2477" s="19" t="s">
        <v>453</v>
      </c>
    </row>
    <row r="2478" spans="1:2" ht="16.5" hidden="1" customHeight="1" thickBot="1" x14ac:dyDescent="0.35"/>
    <row r="2479" spans="1:2" ht="33" hidden="1" customHeight="1" x14ac:dyDescent="0.3">
      <c r="A2479" s="24" t="s">
        <v>80</v>
      </c>
      <c r="B2479" s="26"/>
    </row>
    <row r="2480" spans="1:2" ht="33.75" hidden="1" customHeight="1" thickBot="1" x14ac:dyDescent="0.35">
      <c r="A2480" s="13" t="s">
        <v>81</v>
      </c>
      <c r="B2480" s="2" t="s">
        <v>82</v>
      </c>
    </row>
    <row r="2481" spans="1:5" ht="66" hidden="1" customHeight="1" x14ac:dyDescent="0.3">
      <c r="A2481" s="14" t="s">
        <v>452</v>
      </c>
      <c r="B2481" s="2" t="s">
        <v>453</v>
      </c>
    </row>
    <row r="2482" spans="1:5" ht="16.5" hidden="1" customHeight="1" thickBot="1" x14ac:dyDescent="0.35"/>
    <row r="2483" spans="1:5" ht="39" hidden="1" customHeight="1" thickBot="1" x14ac:dyDescent="0.35">
      <c r="A2483" s="20" t="s">
        <v>454</v>
      </c>
      <c r="B2483" s="21">
        <v>16728</v>
      </c>
    </row>
    <row r="2484" spans="1:5" ht="39" hidden="1" customHeight="1" thickBot="1" x14ac:dyDescent="0.35">
      <c r="A2484" s="13" t="s">
        <v>455</v>
      </c>
      <c r="B2484" s="2">
        <v>16728</v>
      </c>
    </row>
    <row r="2485" spans="1:5" ht="39" hidden="1" customHeight="1" thickBot="1" x14ac:dyDescent="0.35">
      <c r="A2485" s="13" t="s">
        <v>456</v>
      </c>
      <c r="B2485" s="2">
        <v>7772308</v>
      </c>
    </row>
    <row r="2486" spans="1:5" ht="38.25" hidden="1" customHeight="1" x14ac:dyDescent="0.3">
      <c r="A2486" s="14" t="s">
        <v>457</v>
      </c>
      <c r="B2486" s="2">
        <v>7772308</v>
      </c>
    </row>
    <row r="2487" spans="1:5" ht="16.5" hidden="1" customHeight="1" thickBot="1" x14ac:dyDescent="0.35"/>
    <row r="2488" spans="1:5" ht="16.5" hidden="1" customHeight="1" x14ac:dyDescent="0.3">
      <c r="A2488" s="24" t="s">
        <v>458</v>
      </c>
      <c r="B2488" s="26"/>
      <c r="C2488" s="26"/>
      <c r="D2488" s="26"/>
    </row>
    <row r="2489" spans="1:5" ht="16.5" hidden="1" customHeight="1" x14ac:dyDescent="0.3">
      <c r="A2489" s="6" t="s">
        <v>459</v>
      </c>
      <c r="B2489" s="27" t="s">
        <v>19</v>
      </c>
      <c r="C2489" s="3" t="s">
        <v>93</v>
      </c>
      <c r="D2489" s="3" t="s">
        <v>93</v>
      </c>
    </row>
    <row r="2490" spans="1:5" ht="33" hidden="1" customHeight="1" x14ac:dyDescent="0.3">
      <c r="A2490" s="6" t="s">
        <v>460</v>
      </c>
      <c r="B2490" s="27"/>
      <c r="C2490" s="3" t="s">
        <v>86</v>
      </c>
      <c r="D2490" s="3" t="s">
        <v>461</v>
      </c>
    </row>
    <row r="2491" spans="1:5" ht="17.25" hidden="1" customHeight="1" thickBot="1" x14ac:dyDescent="0.35">
      <c r="A2491" s="6">
        <v>1</v>
      </c>
      <c r="B2491" s="17">
        <v>0</v>
      </c>
      <c r="C2491" s="2">
        <v>16463</v>
      </c>
      <c r="D2491" s="2">
        <v>7682112.7000000002</v>
      </c>
    </row>
    <row r="2492" spans="1:5" ht="16.5" hidden="1" customHeight="1" x14ac:dyDescent="0.3">
      <c r="A2492" s="6">
        <v>2</v>
      </c>
      <c r="B2492" s="22">
        <v>1</v>
      </c>
      <c r="C2492" s="2">
        <v>265</v>
      </c>
      <c r="D2492" s="2">
        <v>90195.199999999997</v>
      </c>
    </row>
    <row r="2493" spans="1:5" ht="16.5" hidden="1" customHeight="1" x14ac:dyDescent="0.3"/>
    <row r="2494" spans="1:5" ht="16.5" hidden="1" customHeight="1" x14ac:dyDescent="0.3">
      <c r="A2494" s="1" t="s">
        <v>513</v>
      </c>
    </row>
    <row r="2495" spans="1:5" ht="16.5" hidden="1" customHeight="1" thickBot="1" x14ac:dyDescent="0.35"/>
    <row r="2496" spans="1:5" ht="16.5" hidden="1" customHeight="1" x14ac:dyDescent="0.3">
      <c r="A2496" s="24" t="s">
        <v>462</v>
      </c>
      <c r="B2496" s="26"/>
      <c r="C2496" s="26"/>
      <c r="D2496" s="26"/>
      <c r="E2496" s="26"/>
    </row>
    <row r="2497" spans="1:5" ht="16.5" hidden="1" customHeight="1" x14ac:dyDescent="0.3">
      <c r="A2497" s="6" t="s">
        <v>463</v>
      </c>
      <c r="B2497" s="3" t="s">
        <v>460</v>
      </c>
      <c r="C2497" s="27" t="s">
        <v>464</v>
      </c>
      <c r="D2497" s="27"/>
      <c r="E2497" s="27"/>
    </row>
    <row r="2498" spans="1:5" ht="17.25" hidden="1" customHeight="1" thickBot="1" x14ac:dyDescent="0.35">
      <c r="A2498" s="13" t="s">
        <v>26</v>
      </c>
      <c r="B2498" s="12">
        <v>1</v>
      </c>
      <c r="C2498" s="2">
        <v>0</v>
      </c>
      <c r="D2498" s="2">
        <v>0</v>
      </c>
      <c r="E2498" s="2">
        <v>0</v>
      </c>
    </row>
    <row r="2499" spans="1:5" ht="17.25" hidden="1" customHeight="1" thickBot="1" x14ac:dyDescent="0.35">
      <c r="A2499" s="13"/>
      <c r="B2499" s="12">
        <v>2</v>
      </c>
      <c r="C2499" s="2">
        <v>1</v>
      </c>
      <c r="D2499" s="2">
        <v>0</v>
      </c>
      <c r="E2499" s="2">
        <v>0</v>
      </c>
    </row>
    <row r="2500" spans="1:5" ht="17.25" hidden="1" customHeight="1" thickBot="1" x14ac:dyDescent="0.35">
      <c r="A2500" s="13"/>
      <c r="B2500" s="12">
        <v>3</v>
      </c>
      <c r="C2500" s="2">
        <v>0</v>
      </c>
      <c r="D2500" s="2">
        <v>1</v>
      </c>
      <c r="E2500" s="2">
        <v>0</v>
      </c>
    </row>
    <row r="2501" spans="1:5" ht="16.5" hidden="1" customHeight="1" x14ac:dyDescent="0.3">
      <c r="A2501" s="14"/>
      <c r="B2501" s="15">
        <v>4</v>
      </c>
      <c r="C2501" s="2">
        <v>0</v>
      </c>
      <c r="D2501" s="2">
        <v>0</v>
      </c>
      <c r="E2501" s="2">
        <v>1</v>
      </c>
    </row>
    <row r="2502" spans="1:5" ht="16.5" hidden="1" customHeight="1" thickBot="1" x14ac:dyDescent="0.35"/>
    <row r="2503" spans="1:5" ht="66" hidden="1" customHeight="1" x14ac:dyDescent="0.3">
      <c r="A2503" s="4" t="s">
        <v>465</v>
      </c>
    </row>
    <row r="2504" spans="1:5" ht="99" hidden="1" customHeight="1" x14ac:dyDescent="0.3">
      <c r="A2504" s="23" t="s">
        <v>466</v>
      </c>
    </row>
    <row r="2505" spans="1:5" ht="16.5" hidden="1" customHeight="1" thickBot="1" x14ac:dyDescent="0.35"/>
    <row r="2506" spans="1:5" ht="16.5" hidden="1" customHeight="1" x14ac:dyDescent="0.3">
      <c r="A2506" s="24" t="s">
        <v>467</v>
      </c>
      <c r="B2506" s="26"/>
      <c r="C2506" s="26"/>
    </row>
    <row r="2507" spans="1:5" ht="66" hidden="1" customHeight="1" x14ac:dyDescent="0.3">
      <c r="A2507" s="6" t="s">
        <v>468</v>
      </c>
      <c r="B2507" s="3" t="s">
        <v>469</v>
      </c>
      <c r="C2507" s="3" t="s">
        <v>470</v>
      </c>
    </row>
    <row r="2508" spans="1:5" ht="17.25" hidden="1" customHeight="1" thickBot="1" x14ac:dyDescent="0.35">
      <c r="A2508" s="13" t="s">
        <v>471</v>
      </c>
      <c r="B2508" s="2">
        <v>983224.16</v>
      </c>
      <c r="C2508" s="2">
        <v>976498.14</v>
      </c>
    </row>
    <row r="2509" spans="1:5" ht="17.25" hidden="1" customHeight="1" thickBot="1" x14ac:dyDescent="0.35">
      <c r="A2509" s="13" t="s">
        <v>472</v>
      </c>
      <c r="B2509" s="2">
        <v>983238.03</v>
      </c>
      <c r="C2509" s="2">
        <v>976553.6</v>
      </c>
    </row>
    <row r="2510" spans="1:5" ht="16.5" hidden="1" customHeight="1" x14ac:dyDescent="0.3">
      <c r="A2510" s="14" t="s">
        <v>473</v>
      </c>
      <c r="B2510" s="2" t="s">
        <v>647</v>
      </c>
      <c r="C2510" s="2">
        <v>976490.14</v>
      </c>
    </row>
    <row r="2511" spans="1:5" ht="16.5" hidden="1" customHeight="1" thickBot="1" x14ac:dyDescent="0.35"/>
    <row r="2512" spans="1:5" ht="16.5" hidden="1" customHeight="1" x14ac:dyDescent="0.3">
      <c r="A2512" s="24" t="s">
        <v>474</v>
      </c>
      <c r="B2512" s="26"/>
      <c r="C2512" s="26"/>
      <c r="D2512" s="26"/>
      <c r="E2512" s="26"/>
    </row>
    <row r="2513" spans="1:6" ht="16.5" hidden="1" customHeight="1" x14ac:dyDescent="0.3">
      <c r="A2513" s="6" t="s">
        <v>475</v>
      </c>
      <c r="B2513" s="3" t="s">
        <v>476</v>
      </c>
      <c r="C2513" s="3" t="s">
        <v>477</v>
      </c>
      <c r="D2513" s="3" t="s">
        <v>478</v>
      </c>
      <c r="E2513" s="3" t="s">
        <v>479</v>
      </c>
    </row>
    <row r="2514" spans="1:6" ht="33" hidden="1" customHeight="1" x14ac:dyDescent="0.3">
      <c r="A2514" s="25" t="s">
        <v>599</v>
      </c>
      <c r="B2514" s="27"/>
      <c r="C2514" s="27"/>
      <c r="D2514" s="27"/>
      <c r="E2514" s="27"/>
    </row>
    <row r="2515" spans="1:6" ht="26.25" hidden="1" customHeight="1" thickBot="1" x14ac:dyDescent="0.35">
      <c r="A2515" s="13" t="s">
        <v>481</v>
      </c>
      <c r="B2515" s="2">
        <v>4.8</v>
      </c>
      <c r="C2515" s="2">
        <v>2.9883999999999999</v>
      </c>
      <c r="D2515" s="2">
        <v>8283.7900000000009</v>
      </c>
      <c r="E2515" s="2">
        <v>2.5000000000000001E-3</v>
      </c>
    </row>
    <row r="2516" spans="1:6" ht="17.25" hidden="1" customHeight="1" thickBot="1" x14ac:dyDescent="0.35">
      <c r="A2516" s="13" t="s">
        <v>483</v>
      </c>
      <c r="B2516" s="2">
        <v>6.4</v>
      </c>
      <c r="C2516" s="2">
        <v>3</v>
      </c>
      <c r="D2516" s="2">
        <v>2770</v>
      </c>
      <c r="E2516" s="2">
        <v>2.9999999999999997E-4</v>
      </c>
    </row>
    <row r="2517" spans="1:6" ht="16.5" hidden="1" customHeight="1" x14ac:dyDescent="0.3">
      <c r="A2517" s="14" t="s">
        <v>484</v>
      </c>
      <c r="B2517" s="2">
        <v>3.77</v>
      </c>
      <c r="C2517" s="2">
        <v>3</v>
      </c>
      <c r="D2517" s="2">
        <v>2770</v>
      </c>
      <c r="E2517" s="2">
        <v>1.0200000000000001E-2</v>
      </c>
    </row>
    <row r="2518" spans="1:6" ht="16.5" hidden="1" customHeight="1" thickBot="1" x14ac:dyDescent="0.35"/>
    <row r="2519" spans="1:6" ht="16.5" hidden="1" customHeight="1" x14ac:dyDescent="0.3">
      <c r="A2519" s="24" t="s">
        <v>485</v>
      </c>
      <c r="B2519" s="26"/>
      <c r="C2519" s="26"/>
      <c r="D2519" s="26"/>
      <c r="E2519" s="26"/>
    </row>
    <row r="2520" spans="1:6" ht="16.5" hidden="1" customHeight="1" x14ac:dyDescent="0.3">
      <c r="A2520" s="6" t="s">
        <v>486</v>
      </c>
      <c r="B2520" s="3" t="s">
        <v>476</v>
      </c>
      <c r="C2520" s="3" t="s">
        <v>477</v>
      </c>
      <c r="D2520" s="3" t="s">
        <v>478</v>
      </c>
      <c r="E2520" s="3" t="s">
        <v>479</v>
      </c>
    </row>
    <row r="2521" spans="1:6" ht="16.5" hidden="1" customHeight="1" x14ac:dyDescent="0.3">
      <c r="A2521" s="14" t="s">
        <v>26</v>
      </c>
      <c r="B2521" s="2">
        <v>3.77</v>
      </c>
      <c r="C2521" s="2">
        <v>3</v>
      </c>
      <c r="D2521" s="2">
        <v>2770</v>
      </c>
      <c r="E2521" s="2">
        <v>1.0200000000000001E-2</v>
      </c>
    </row>
    <row r="2522" spans="1:6" ht="16.5" hidden="1" customHeight="1" thickBot="1" x14ac:dyDescent="0.35"/>
    <row r="2523" spans="1:6" ht="16.5" hidden="1" customHeight="1" x14ac:dyDescent="0.3">
      <c r="A2523" s="24" t="s">
        <v>487</v>
      </c>
      <c r="B2523" s="26"/>
      <c r="C2523" s="26"/>
      <c r="D2523" s="26"/>
      <c r="E2523" s="26"/>
      <c r="F2523" s="26"/>
    </row>
    <row r="2524" spans="1:6" ht="16.5" hidden="1" customHeight="1" x14ac:dyDescent="0.3">
      <c r="A2524" s="25" t="s">
        <v>488</v>
      </c>
      <c r="B2524" s="27"/>
      <c r="C2524" s="27" t="s">
        <v>489</v>
      </c>
      <c r="D2524" s="3" t="s">
        <v>490</v>
      </c>
      <c r="E2524" s="27" t="s">
        <v>492</v>
      </c>
      <c r="F2524" s="27" t="s">
        <v>493</v>
      </c>
    </row>
    <row r="2525" spans="1:6" ht="16.5" hidden="1" customHeight="1" x14ac:dyDescent="0.3">
      <c r="A2525" s="25"/>
      <c r="B2525" s="27"/>
      <c r="C2525" s="27"/>
      <c r="D2525" s="3" t="s">
        <v>491</v>
      </c>
      <c r="E2525" s="27"/>
      <c r="F2525" s="27"/>
    </row>
    <row r="2526" spans="1:6" ht="16.5" hidden="1" customHeight="1" x14ac:dyDescent="0.3">
      <c r="A2526" s="25" t="s">
        <v>593</v>
      </c>
      <c r="B2526" s="27"/>
      <c r="C2526" s="27"/>
      <c r="D2526" s="27"/>
      <c r="E2526" s="27"/>
      <c r="F2526" s="27"/>
    </row>
    <row r="2527" spans="1:6" ht="17.25" hidden="1" customHeight="1" thickBot="1" x14ac:dyDescent="0.35">
      <c r="A2527" s="13" t="s">
        <v>495</v>
      </c>
      <c r="B2527" s="12"/>
      <c r="C2527" s="16">
        <v>-5.1219999999999999</v>
      </c>
      <c r="D2527" s="2">
        <v>0.2387</v>
      </c>
      <c r="E2527" s="16">
        <v>-21.46</v>
      </c>
      <c r="F2527" s="2" t="s">
        <v>482</v>
      </c>
    </row>
    <row r="2528" spans="1:6" ht="17.25" hidden="1" customHeight="1" thickBot="1" x14ac:dyDescent="0.35">
      <c r="A2528" s="13" t="s">
        <v>26</v>
      </c>
      <c r="B2528" s="12">
        <v>2</v>
      </c>
      <c r="C2528" s="2">
        <v>0.76949999999999996</v>
      </c>
      <c r="D2528" s="2">
        <v>0.2802</v>
      </c>
      <c r="E2528" s="2">
        <v>2.75</v>
      </c>
      <c r="F2528" s="2">
        <v>6.1000000000000004E-3</v>
      </c>
    </row>
    <row r="2529" spans="1:9" ht="17.25" hidden="1" customHeight="1" thickBot="1" x14ac:dyDescent="0.35">
      <c r="A2529" s="13" t="s">
        <v>26</v>
      </c>
      <c r="B2529" s="12">
        <v>3</v>
      </c>
      <c r="C2529" s="2">
        <v>0.9022</v>
      </c>
      <c r="D2529" s="2">
        <v>0.27</v>
      </c>
      <c r="E2529" s="2">
        <v>3.34</v>
      </c>
      <c r="F2529" s="2">
        <v>8.0000000000000004E-4</v>
      </c>
    </row>
    <row r="2530" spans="1:9" ht="16.5" hidden="1" customHeight="1" x14ac:dyDescent="0.3">
      <c r="A2530" s="14" t="s">
        <v>26</v>
      </c>
      <c r="B2530" s="15">
        <v>4</v>
      </c>
      <c r="C2530" s="2">
        <v>0.71530000000000005</v>
      </c>
      <c r="D2530" s="2">
        <v>0.27100000000000002</v>
      </c>
      <c r="E2530" s="2">
        <v>2.64</v>
      </c>
      <c r="F2530" s="2">
        <v>8.3000000000000001E-3</v>
      </c>
    </row>
    <row r="2531" spans="1:9" ht="16.5" hidden="1" customHeight="1" thickBot="1" x14ac:dyDescent="0.35"/>
    <row r="2532" spans="1:9" ht="16.5" hidden="1" customHeight="1" x14ac:dyDescent="0.3">
      <c r="A2532" s="24" t="s">
        <v>496</v>
      </c>
      <c r="B2532" s="26"/>
      <c r="C2532" s="26"/>
      <c r="D2532" s="26"/>
    </row>
    <row r="2533" spans="1:9" ht="33" hidden="1" customHeight="1" x14ac:dyDescent="0.3">
      <c r="A2533" s="6" t="s">
        <v>486</v>
      </c>
      <c r="B2533" s="3" t="s">
        <v>497</v>
      </c>
      <c r="C2533" s="27" t="s">
        <v>91</v>
      </c>
      <c r="D2533" s="27"/>
    </row>
    <row r="2534" spans="1:9" ht="49.5" hidden="1" customHeight="1" x14ac:dyDescent="0.3">
      <c r="A2534" s="25" t="s">
        <v>594</v>
      </c>
      <c r="B2534" s="27"/>
      <c r="C2534" s="27"/>
      <c r="D2534" s="27"/>
    </row>
    <row r="2535" spans="1:9" ht="26.25" thickBot="1" x14ac:dyDescent="0.35">
      <c r="A2535" s="13" t="s">
        <v>521</v>
      </c>
      <c r="B2535" s="2">
        <v>2.1589999999999998</v>
      </c>
      <c r="C2535" s="2">
        <v>1.246</v>
      </c>
      <c r="D2535" s="2">
        <v>3.7389999999999999</v>
      </c>
      <c r="H2535" s="8" t="str">
        <f t="shared" ref="H2535:H2537" si="58">TEXT(B2535,"0.00")&amp;" ("&amp;TEXT(C2535,"0.00")&amp;" to "&amp;TEXT(D2535,"0.00")&amp;")"</f>
        <v>2.16 (1.25 to 3.74)</v>
      </c>
      <c r="I2535">
        <f>F2528</f>
        <v>6.1000000000000004E-3</v>
      </c>
    </row>
    <row r="2536" spans="1:9" ht="26.25" thickBot="1" x14ac:dyDescent="0.35">
      <c r="A2536" s="13" t="s">
        <v>522</v>
      </c>
      <c r="B2536" s="2">
        <v>2.4649999999999999</v>
      </c>
      <c r="C2536" s="2">
        <v>1.452</v>
      </c>
      <c r="D2536" s="2">
        <v>4.1849999999999996</v>
      </c>
      <c r="H2536" s="8" t="str">
        <f t="shared" si="58"/>
        <v>2.47 (1.45 to 4.19)</v>
      </c>
      <c r="I2536">
        <f t="shared" ref="I2536:I2537" si="59">F2529</f>
        <v>8.0000000000000004E-4</v>
      </c>
    </row>
    <row r="2537" spans="1:9" ht="25.5" x14ac:dyDescent="0.3">
      <c r="A2537" s="14" t="s">
        <v>523</v>
      </c>
      <c r="B2537" s="2">
        <v>2.0449999999999999</v>
      </c>
      <c r="C2537" s="2">
        <v>1.202</v>
      </c>
      <c r="D2537" s="2">
        <v>3.4780000000000002</v>
      </c>
      <c r="H2537" s="8" t="str">
        <f t="shared" si="58"/>
        <v>2.05 (1.20 to 3.48)</v>
      </c>
      <c r="I2537">
        <f t="shared" si="59"/>
        <v>8.3000000000000001E-3</v>
      </c>
    </row>
    <row r="2538" spans="1:9" ht="16.5" hidden="1" customHeight="1" thickBot="1" x14ac:dyDescent="0.35"/>
    <row r="2539" spans="1:9" ht="33" hidden="1" customHeight="1" x14ac:dyDescent="0.3">
      <c r="A2539" s="24" t="s">
        <v>502</v>
      </c>
      <c r="B2539" s="26"/>
      <c r="C2539" s="26"/>
      <c r="D2539" s="26"/>
    </row>
    <row r="2540" spans="1:9" ht="39" hidden="1" customHeight="1" thickBot="1" x14ac:dyDescent="0.35">
      <c r="A2540" s="13" t="s">
        <v>503</v>
      </c>
      <c r="B2540" s="2">
        <v>35.1</v>
      </c>
      <c r="C2540" s="12" t="s">
        <v>504</v>
      </c>
      <c r="D2540" s="2">
        <v>0.12</v>
      </c>
    </row>
    <row r="2541" spans="1:9" ht="26.25" hidden="1" customHeight="1" thickBot="1" x14ac:dyDescent="0.35">
      <c r="A2541" s="13" t="s">
        <v>505</v>
      </c>
      <c r="B2541" s="2">
        <v>23.2</v>
      </c>
      <c r="C2541" s="12" t="s">
        <v>506</v>
      </c>
      <c r="D2541" s="2">
        <v>0.20499999999999999</v>
      </c>
    </row>
    <row r="2542" spans="1:9" ht="26.25" hidden="1" customHeight="1" thickBot="1" x14ac:dyDescent="0.35">
      <c r="A2542" s="13" t="s">
        <v>507</v>
      </c>
      <c r="B2542" s="2">
        <v>41.7</v>
      </c>
      <c r="C2542" s="12" t="s">
        <v>508</v>
      </c>
      <c r="D2542" s="2">
        <v>4.0000000000000001E-3</v>
      </c>
    </row>
    <row r="2543" spans="1:9" ht="16.5" hidden="1" customHeight="1" x14ac:dyDescent="0.3">
      <c r="A2543" s="14" t="s">
        <v>509</v>
      </c>
      <c r="B2543" s="2">
        <v>4362695</v>
      </c>
      <c r="C2543" s="15" t="s">
        <v>510</v>
      </c>
      <c r="D2543" s="2">
        <v>0.56000000000000005</v>
      </c>
    </row>
    <row r="2544" spans="1:9" ht="16.5" hidden="1" customHeight="1" x14ac:dyDescent="0.3"/>
    <row r="2545" spans="1:2" ht="16.5" hidden="1" customHeight="1" x14ac:dyDescent="0.3"/>
    <row r="2546" spans="1:2" ht="16.5" hidden="1" customHeight="1" x14ac:dyDescent="0.3"/>
    <row r="2547" spans="1:2" ht="16.5" hidden="1" customHeight="1" x14ac:dyDescent="0.3">
      <c r="A2547" s="1" t="s">
        <v>436</v>
      </c>
    </row>
    <row r="2548" spans="1:2" ht="16.5" hidden="1" customHeight="1" x14ac:dyDescent="0.3"/>
    <row r="2549" spans="1:2" ht="16.5" hidden="1" customHeight="1" x14ac:dyDescent="0.3">
      <c r="A2549" s="1" t="s">
        <v>424</v>
      </c>
    </row>
    <row r="2550" spans="1:2" ht="16.5" hidden="1" customHeight="1" thickBot="1" x14ac:dyDescent="0.35"/>
    <row r="2551" spans="1:2" ht="16.5" hidden="1" customHeight="1" x14ac:dyDescent="0.3">
      <c r="A2551" s="24" t="s">
        <v>437</v>
      </c>
      <c r="B2551" s="26"/>
    </row>
    <row r="2552" spans="1:2" ht="26.25" hidden="1" customHeight="1" thickBot="1" x14ac:dyDescent="0.35">
      <c r="A2552" s="13" t="s">
        <v>438</v>
      </c>
      <c r="B2552" s="18" t="s">
        <v>439</v>
      </c>
    </row>
    <row r="2553" spans="1:2" ht="26.25" hidden="1" customHeight="1" thickBot="1" x14ac:dyDescent="0.35">
      <c r="A2553" s="13" t="s">
        <v>440</v>
      </c>
      <c r="B2553" s="18" t="s">
        <v>19</v>
      </c>
    </row>
    <row r="2554" spans="1:2" ht="39" hidden="1" customHeight="1" thickBot="1" x14ac:dyDescent="0.35">
      <c r="A2554" s="13" t="s">
        <v>441</v>
      </c>
      <c r="B2554" s="18">
        <v>2</v>
      </c>
    </row>
    <row r="2555" spans="1:2" ht="26.25" hidden="1" customHeight="1" thickBot="1" x14ac:dyDescent="0.35">
      <c r="A2555" s="13" t="s">
        <v>442</v>
      </c>
      <c r="B2555" s="18" t="s">
        <v>443</v>
      </c>
    </row>
    <row r="2556" spans="1:2" ht="26.25" hidden="1" customHeight="1" thickBot="1" x14ac:dyDescent="0.35">
      <c r="A2556" s="13" t="s">
        <v>76</v>
      </c>
      <c r="B2556" s="18">
        <v>183</v>
      </c>
    </row>
    <row r="2557" spans="1:2" ht="26.25" hidden="1" customHeight="1" thickBot="1" x14ac:dyDescent="0.35">
      <c r="A2557" s="13" t="s">
        <v>444</v>
      </c>
      <c r="B2557" s="18" t="s">
        <v>445</v>
      </c>
    </row>
    <row r="2558" spans="1:2" ht="26.25" hidden="1" customHeight="1" thickBot="1" x14ac:dyDescent="0.35">
      <c r="A2558" s="13" t="s">
        <v>77</v>
      </c>
      <c r="B2558" s="18">
        <v>2982</v>
      </c>
    </row>
    <row r="2559" spans="1:2" ht="26.25" hidden="1" customHeight="1" thickBot="1" x14ac:dyDescent="0.35">
      <c r="A2559" s="13" t="s">
        <v>446</v>
      </c>
      <c r="B2559" s="18" t="s">
        <v>447</v>
      </c>
    </row>
    <row r="2560" spans="1:2" ht="26.25" hidden="1" customHeight="1" thickBot="1" x14ac:dyDescent="0.35">
      <c r="A2560" s="13" t="s">
        <v>448</v>
      </c>
      <c r="B2560" s="18" t="s">
        <v>449</v>
      </c>
    </row>
    <row r="2561" spans="1:4" ht="39" hidden="1" customHeight="1" thickBot="1" x14ac:dyDescent="0.35">
      <c r="A2561" s="13" t="s">
        <v>450</v>
      </c>
      <c r="B2561" s="18" t="s">
        <v>451</v>
      </c>
    </row>
    <row r="2562" spans="1:4" ht="38.25" hidden="1" customHeight="1" x14ac:dyDescent="0.3">
      <c r="A2562" s="14" t="s">
        <v>452</v>
      </c>
      <c r="B2562" s="19" t="s">
        <v>453</v>
      </c>
    </row>
    <row r="2563" spans="1:4" ht="16.5" hidden="1" customHeight="1" thickBot="1" x14ac:dyDescent="0.35"/>
    <row r="2564" spans="1:4" ht="33" hidden="1" customHeight="1" x14ac:dyDescent="0.3">
      <c r="A2564" s="24" t="s">
        <v>80</v>
      </c>
      <c r="B2564" s="26"/>
    </row>
    <row r="2565" spans="1:4" ht="33.75" hidden="1" customHeight="1" thickBot="1" x14ac:dyDescent="0.35">
      <c r="A2565" s="13" t="s">
        <v>81</v>
      </c>
      <c r="B2565" s="2" t="s">
        <v>82</v>
      </c>
    </row>
    <row r="2566" spans="1:4" ht="66" hidden="1" customHeight="1" x14ac:dyDescent="0.3">
      <c r="A2566" s="14" t="s">
        <v>452</v>
      </c>
      <c r="B2566" s="2" t="s">
        <v>453</v>
      </c>
    </row>
    <row r="2567" spans="1:4" ht="16.5" hidden="1" customHeight="1" thickBot="1" x14ac:dyDescent="0.35"/>
    <row r="2568" spans="1:4" ht="39" hidden="1" customHeight="1" thickBot="1" x14ac:dyDescent="0.35">
      <c r="A2568" s="20" t="s">
        <v>454</v>
      </c>
      <c r="B2568" s="21">
        <v>52064</v>
      </c>
    </row>
    <row r="2569" spans="1:4" ht="39" hidden="1" customHeight="1" thickBot="1" x14ac:dyDescent="0.35">
      <c r="A2569" s="13" t="s">
        <v>455</v>
      </c>
      <c r="B2569" s="2">
        <v>52064</v>
      </c>
    </row>
    <row r="2570" spans="1:4" ht="39" hidden="1" customHeight="1" thickBot="1" x14ac:dyDescent="0.35">
      <c r="A2570" s="13" t="s">
        <v>456</v>
      </c>
      <c r="B2570" s="2">
        <v>22068163</v>
      </c>
    </row>
    <row r="2571" spans="1:4" ht="38.25" hidden="1" customHeight="1" x14ac:dyDescent="0.3">
      <c r="A2571" s="14" t="s">
        <v>457</v>
      </c>
      <c r="B2571" s="2">
        <v>22068163</v>
      </c>
    </row>
    <row r="2572" spans="1:4" ht="16.5" hidden="1" customHeight="1" thickBot="1" x14ac:dyDescent="0.35"/>
    <row r="2573" spans="1:4" ht="16.5" hidden="1" customHeight="1" x14ac:dyDescent="0.3">
      <c r="A2573" s="24" t="s">
        <v>458</v>
      </c>
      <c r="B2573" s="26"/>
      <c r="C2573" s="26"/>
      <c r="D2573" s="26"/>
    </row>
    <row r="2574" spans="1:4" ht="16.5" hidden="1" customHeight="1" x14ac:dyDescent="0.3">
      <c r="A2574" s="6" t="s">
        <v>459</v>
      </c>
      <c r="B2574" s="27" t="s">
        <v>19</v>
      </c>
      <c r="C2574" s="3" t="s">
        <v>93</v>
      </c>
      <c r="D2574" s="3" t="s">
        <v>93</v>
      </c>
    </row>
    <row r="2575" spans="1:4" ht="33" hidden="1" customHeight="1" x14ac:dyDescent="0.3">
      <c r="A2575" s="6" t="s">
        <v>460</v>
      </c>
      <c r="B2575" s="27"/>
      <c r="C2575" s="3" t="s">
        <v>86</v>
      </c>
      <c r="D2575" s="3" t="s">
        <v>461</v>
      </c>
    </row>
    <row r="2576" spans="1:4" ht="17.25" hidden="1" customHeight="1" thickBot="1" x14ac:dyDescent="0.35">
      <c r="A2576" s="6">
        <v>1</v>
      </c>
      <c r="B2576" s="17">
        <v>0</v>
      </c>
      <c r="C2576" s="2">
        <v>51102</v>
      </c>
      <c r="D2576" s="2">
        <v>21772651</v>
      </c>
    </row>
    <row r="2577" spans="1:5" ht="16.5" hidden="1" customHeight="1" x14ac:dyDescent="0.3">
      <c r="A2577" s="6">
        <v>2</v>
      </c>
      <c r="B2577" s="22">
        <v>1</v>
      </c>
      <c r="C2577" s="2">
        <v>962</v>
      </c>
      <c r="D2577" s="2">
        <v>295512</v>
      </c>
    </row>
    <row r="2578" spans="1:5" ht="16.5" hidden="1" customHeight="1" x14ac:dyDescent="0.3"/>
    <row r="2579" spans="1:5" ht="16.5" hidden="1" customHeight="1" x14ac:dyDescent="0.3">
      <c r="A2579" s="1" t="s">
        <v>513</v>
      </c>
    </row>
    <row r="2580" spans="1:5" ht="16.5" hidden="1" customHeight="1" thickBot="1" x14ac:dyDescent="0.35"/>
    <row r="2581" spans="1:5" ht="16.5" hidden="1" customHeight="1" x14ac:dyDescent="0.3">
      <c r="A2581" s="24" t="s">
        <v>462</v>
      </c>
      <c r="B2581" s="26"/>
      <c r="C2581" s="26"/>
      <c r="D2581" s="26"/>
      <c r="E2581" s="26"/>
    </row>
    <row r="2582" spans="1:5" ht="16.5" hidden="1" customHeight="1" x14ac:dyDescent="0.3">
      <c r="A2582" s="6" t="s">
        <v>463</v>
      </c>
      <c r="B2582" s="3" t="s">
        <v>460</v>
      </c>
      <c r="C2582" s="27" t="s">
        <v>464</v>
      </c>
      <c r="D2582" s="27"/>
      <c r="E2582" s="27"/>
    </row>
    <row r="2583" spans="1:5" ht="17.25" hidden="1" customHeight="1" thickBot="1" x14ac:dyDescent="0.35">
      <c r="A2583" s="13" t="s">
        <v>26</v>
      </c>
      <c r="B2583" s="12">
        <v>1</v>
      </c>
      <c r="C2583" s="2">
        <v>0</v>
      </c>
      <c r="D2583" s="2">
        <v>0</v>
      </c>
      <c r="E2583" s="2">
        <v>0</v>
      </c>
    </row>
    <row r="2584" spans="1:5" ht="17.25" hidden="1" customHeight="1" thickBot="1" x14ac:dyDescent="0.35">
      <c r="A2584" s="13"/>
      <c r="B2584" s="12">
        <v>2</v>
      </c>
      <c r="C2584" s="2">
        <v>1</v>
      </c>
      <c r="D2584" s="2">
        <v>0</v>
      </c>
      <c r="E2584" s="2">
        <v>0</v>
      </c>
    </row>
    <row r="2585" spans="1:5" ht="17.25" hidden="1" customHeight="1" thickBot="1" x14ac:dyDescent="0.35">
      <c r="A2585" s="13"/>
      <c r="B2585" s="12">
        <v>3</v>
      </c>
      <c r="C2585" s="2">
        <v>0</v>
      </c>
      <c r="D2585" s="2">
        <v>1</v>
      </c>
      <c r="E2585" s="2">
        <v>0</v>
      </c>
    </row>
    <row r="2586" spans="1:5" ht="16.5" hidden="1" customHeight="1" x14ac:dyDescent="0.3">
      <c r="A2586" s="14"/>
      <c r="B2586" s="15">
        <v>4</v>
      </c>
      <c r="C2586" s="2">
        <v>0</v>
      </c>
      <c r="D2586" s="2">
        <v>0</v>
      </c>
      <c r="E2586" s="2">
        <v>1</v>
      </c>
    </row>
    <row r="2587" spans="1:5" ht="16.5" hidden="1" customHeight="1" thickBot="1" x14ac:dyDescent="0.35"/>
    <row r="2588" spans="1:5" ht="66" hidden="1" customHeight="1" x14ac:dyDescent="0.3">
      <c r="A2588" s="4" t="s">
        <v>465</v>
      </c>
    </row>
    <row r="2589" spans="1:5" ht="99" hidden="1" customHeight="1" x14ac:dyDescent="0.3">
      <c r="A2589" s="23" t="s">
        <v>466</v>
      </c>
    </row>
    <row r="2590" spans="1:5" ht="16.5" hidden="1" customHeight="1" thickBot="1" x14ac:dyDescent="0.35"/>
    <row r="2591" spans="1:5" ht="16.5" hidden="1" customHeight="1" x14ac:dyDescent="0.3">
      <c r="A2591" s="24" t="s">
        <v>467</v>
      </c>
      <c r="B2591" s="26"/>
      <c r="C2591" s="26"/>
    </row>
    <row r="2592" spans="1:5" ht="66" hidden="1" customHeight="1" x14ac:dyDescent="0.3">
      <c r="A2592" s="6" t="s">
        <v>468</v>
      </c>
      <c r="B2592" s="3" t="s">
        <v>469</v>
      </c>
      <c r="C2592" s="3" t="s">
        <v>470</v>
      </c>
    </row>
    <row r="2593" spans="1:6" ht="17.25" hidden="1" customHeight="1" thickBot="1" x14ac:dyDescent="0.35">
      <c r="A2593" s="13" t="s">
        <v>471</v>
      </c>
      <c r="B2593" s="2">
        <v>3136242.8</v>
      </c>
      <c r="C2593" s="2">
        <v>3106742.8</v>
      </c>
    </row>
    <row r="2594" spans="1:6" ht="17.25" hidden="1" customHeight="1" thickBot="1" x14ac:dyDescent="0.35">
      <c r="A2594" s="13" t="s">
        <v>472</v>
      </c>
      <c r="B2594" s="2">
        <v>3136257.7</v>
      </c>
      <c r="C2594" s="2">
        <v>3106802.5</v>
      </c>
    </row>
    <row r="2595" spans="1:6" ht="16.5" hidden="1" customHeight="1" x14ac:dyDescent="0.3">
      <c r="A2595" s="14" t="s">
        <v>473</v>
      </c>
      <c r="B2595" s="2" t="s">
        <v>648</v>
      </c>
      <c r="C2595" s="2">
        <v>3106734.8</v>
      </c>
    </row>
    <row r="2596" spans="1:6" ht="16.5" hidden="1" customHeight="1" thickBot="1" x14ac:dyDescent="0.35"/>
    <row r="2597" spans="1:6" ht="16.5" hidden="1" customHeight="1" x14ac:dyDescent="0.3">
      <c r="A2597" s="24" t="s">
        <v>474</v>
      </c>
      <c r="B2597" s="26"/>
      <c r="C2597" s="26"/>
      <c r="D2597" s="26"/>
      <c r="E2597" s="26"/>
    </row>
    <row r="2598" spans="1:6" ht="16.5" hidden="1" customHeight="1" x14ac:dyDescent="0.3">
      <c r="A2598" s="6" t="s">
        <v>475</v>
      </c>
      <c r="B2598" s="3" t="s">
        <v>476</v>
      </c>
      <c r="C2598" s="3" t="s">
        <v>477</v>
      </c>
      <c r="D2598" s="3" t="s">
        <v>478</v>
      </c>
      <c r="E2598" s="3" t="s">
        <v>479</v>
      </c>
    </row>
    <row r="2599" spans="1:6" ht="33" hidden="1" customHeight="1" x14ac:dyDescent="0.3">
      <c r="A2599" s="25" t="s">
        <v>600</v>
      </c>
      <c r="B2599" s="27"/>
      <c r="C2599" s="27"/>
      <c r="D2599" s="27"/>
      <c r="E2599" s="27"/>
    </row>
    <row r="2600" spans="1:6" ht="26.25" hidden="1" customHeight="1" thickBot="1" x14ac:dyDescent="0.35">
      <c r="A2600" s="13" t="s">
        <v>481</v>
      </c>
      <c r="B2600" s="2">
        <v>23.32</v>
      </c>
      <c r="C2600" s="2">
        <v>2.9878999999999998</v>
      </c>
      <c r="D2600" s="2">
        <v>8363.06</v>
      </c>
      <c r="E2600" s="2" t="s">
        <v>482</v>
      </c>
    </row>
    <row r="2601" spans="1:6" ht="17.25" hidden="1" customHeight="1" thickBot="1" x14ac:dyDescent="0.35">
      <c r="A2601" s="13" t="s">
        <v>483</v>
      </c>
      <c r="B2601" s="2">
        <v>29.22</v>
      </c>
      <c r="C2601" s="2">
        <v>3</v>
      </c>
      <c r="D2601" s="2">
        <v>2797</v>
      </c>
      <c r="E2601" s="2" t="s">
        <v>482</v>
      </c>
    </row>
    <row r="2602" spans="1:6" ht="16.5" hidden="1" customHeight="1" x14ac:dyDescent="0.3">
      <c r="A2602" s="14" t="s">
        <v>484</v>
      </c>
      <c r="B2602" s="2">
        <v>20.25</v>
      </c>
      <c r="C2602" s="2">
        <v>3</v>
      </c>
      <c r="D2602" s="2">
        <v>2797</v>
      </c>
      <c r="E2602" s="2" t="s">
        <v>482</v>
      </c>
    </row>
    <row r="2603" spans="1:6" ht="16.5" hidden="1" customHeight="1" thickBot="1" x14ac:dyDescent="0.35"/>
    <row r="2604" spans="1:6" ht="16.5" hidden="1" customHeight="1" x14ac:dyDescent="0.3">
      <c r="A2604" s="24" t="s">
        <v>485</v>
      </c>
      <c r="B2604" s="26"/>
      <c r="C2604" s="26"/>
      <c r="D2604" s="26"/>
      <c r="E2604" s="26"/>
    </row>
    <row r="2605" spans="1:6" ht="16.5" hidden="1" customHeight="1" x14ac:dyDescent="0.3">
      <c r="A2605" s="6" t="s">
        <v>486</v>
      </c>
      <c r="B2605" s="3" t="s">
        <v>476</v>
      </c>
      <c r="C2605" s="3" t="s">
        <v>477</v>
      </c>
      <c r="D2605" s="3" t="s">
        <v>478</v>
      </c>
      <c r="E2605" s="3" t="s">
        <v>479</v>
      </c>
    </row>
    <row r="2606" spans="1:6" ht="16.5" hidden="1" customHeight="1" x14ac:dyDescent="0.3">
      <c r="A2606" s="14" t="s">
        <v>26</v>
      </c>
      <c r="B2606" s="2">
        <v>20.25</v>
      </c>
      <c r="C2606" s="2">
        <v>3</v>
      </c>
      <c r="D2606" s="2">
        <v>2797</v>
      </c>
      <c r="E2606" s="2" t="s">
        <v>482</v>
      </c>
    </row>
    <row r="2607" spans="1:6" ht="16.5" hidden="1" customHeight="1" thickBot="1" x14ac:dyDescent="0.35"/>
    <row r="2608" spans="1:6" ht="16.5" hidden="1" customHeight="1" x14ac:dyDescent="0.3">
      <c r="A2608" s="24" t="s">
        <v>487</v>
      </c>
      <c r="B2608" s="26"/>
      <c r="C2608" s="26"/>
      <c r="D2608" s="26"/>
      <c r="E2608" s="26"/>
      <c r="F2608" s="26"/>
    </row>
    <row r="2609" spans="1:9" ht="16.5" hidden="1" customHeight="1" x14ac:dyDescent="0.3">
      <c r="A2609" s="25" t="s">
        <v>488</v>
      </c>
      <c r="B2609" s="27"/>
      <c r="C2609" s="27" t="s">
        <v>489</v>
      </c>
      <c r="D2609" s="3" t="s">
        <v>490</v>
      </c>
      <c r="E2609" s="27" t="s">
        <v>492</v>
      </c>
      <c r="F2609" s="27" t="s">
        <v>493</v>
      </c>
    </row>
    <row r="2610" spans="1:9" ht="16.5" hidden="1" customHeight="1" x14ac:dyDescent="0.3">
      <c r="A2610" s="25"/>
      <c r="B2610" s="27"/>
      <c r="C2610" s="27"/>
      <c r="D2610" s="3" t="s">
        <v>491</v>
      </c>
      <c r="E2610" s="27"/>
      <c r="F2610" s="27"/>
    </row>
    <row r="2611" spans="1:9" ht="16.5" hidden="1" customHeight="1" x14ac:dyDescent="0.3">
      <c r="A2611" s="25" t="s">
        <v>494</v>
      </c>
      <c r="B2611" s="27"/>
      <c r="C2611" s="27"/>
      <c r="D2611" s="27"/>
      <c r="E2611" s="27"/>
      <c r="F2611" s="27"/>
    </row>
    <row r="2612" spans="1:9" ht="17.25" hidden="1" customHeight="1" thickBot="1" x14ac:dyDescent="0.35">
      <c r="A2612" s="13" t="s">
        <v>495</v>
      </c>
      <c r="B2612" s="12"/>
      <c r="C2612" s="16">
        <v>-4.8849</v>
      </c>
      <c r="D2612" s="2">
        <v>9.3399999999999997E-2</v>
      </c>
      <c r="E2612" s="16">
        <v>-52.28</v>
      </c>
      <c r="F2612" s="2" t="s">
        <v>482</v>
      </c>
    </row>
    <row r="2613" spans="1:9" ht="17.25" hidden="1" customHeight="1" thickBot="1" x14ac:dyDescent="0.35">
      <c r="A2613" s="13" t="s">
        <v>26</v>
      </c>
      <c r="B2613" s="12">
        <v>2</v>
      </c>
      <c r="C2613" s="2">
        <v>0.58930000000000005</v>
      </c>
      <c r="D2613" s="2">
        <v>0.1208</v>
      </c>
      <c r="E2613" s="2">
        <v>4.88</v>
      </c>
      <c r="F2613" s="2" t="s">
        <v>482</v>
      </c>
    </row>
    <row r="2614" spans="1:9" ht="17.25" hidden="1" customHeight="1" thickBot="1" x14ac:dyDescent="0.35">
      <c r="A2614" s="13" t="s">
        <v>26</v>
      </c>
      <c r="B2614" s="12">
        <v>3</v>
      </c>
      <c r="C2614" s="2">
        <v>0.80510000000000004</v>
      </c>
      <c r="D2614" s="2">
        <v>0.1157</v>
      </c>
      <c r="E2614" s="2">
        <v>6.96</v>
      </c>
      <c r="F2614" s="2" t="s">
        <v>482</v>
      </c>
    </row>
    <row r="2615" spans="1:9" ht="16.5" hidden="1" customHeight="1" x14ac:dyDescent="0.3">
      <c r="A2615" s="14" t="s">
        <v>26</v>
      </c>
      <c r="B2615" s="15">
        <v>4</v>
      </c>
      <c r="C2615" s="2">
        <v>0.86250000000000004</v>
      </c>
      <c r="D2615" s="2">
        <v>0.1202</v>
      </c>
      <c r="E2615" s="2">
        <v>7.18</v>
      </c>
      <c r="F2615" s="2" t="s">
        <v>482</v>
      </c>
    </row>
    <row r="2616" spans="1:9" ht="16.5" hidden="1" customHeight="1" thickBot="1" x14ac:dyDescent="0.35"/>
    <row r="2617" spans="1:9" ht="16.5" hidden="1" customHeight="1" x14ac:dyDescent="0.3">
      <c r="A2617" s="24" t="s">
        <v>496</v>
      </c>
      <c r="B2617" s="26"/>
      <c r="C2617" s="26"/>
      <c r="D2617" s="26"/>
    </row>
    <row r="2618" spans="1:9" ht="33" hidden="1" customHeight="1" x14ac:dyDescent="0.3">
      <c r="A2618" s="6" t="s">
        <v>486</v>
      </c>
      <c r="B2618" s="3" t="s">
        <v>497</v>
      </c>
      <c r="C2618" s="27" t="s">
        <v>91</v>
      </c>
      <c r="D2618" s="27"/>
    </row>
    <row r="2619" spans="1:9" ht="49.5" hidden="1" customHeight="1" x14ac:dyDescent="0.3">
      <c r="A2619" s="25" t="s">
        <v>498</v>
      </c>
      <c r="B2619" s="27"/>
      <c r="C2619" s="27"/>
      <c r="D2619" s="27"/>
    </row>
    <row r="2620" spans="1:9" ht="26.25" thickBot="1" x14ac:dyDescent="0.35">
      <c r="A2620" s="13" t="s">
        <v>521</v>
      </c>
      <c r="B2620" s="2">
        <v>1.8029999999999999</v>
      </c>
      <c r="C2620" s="2">
        <v>1.423</v>
      </c>
      <c r="D2620" s="2">
        <v>2.2850000000000001</v>
      </c>
      <c r="H2620" s="8" t="str">
        <f t="shared" ref="H2620:H2622" si="60">TEXT(B2620,"0.00")&amp;" ("&amp;TEXT(C2620,"0.00")&amp;" to "&amp;TEXT(D2620,"0.00")&amp;")"</f>
        <v>1.80 (1.42 to 2.29)</v>
      </c>
      <c r="I2620" t="str">
        <f>F2613</f>
        <v>&lt;.0001</v>
      </c>
    </row>
    <row r="2621" spans="1:9" ht="26.25" thickBot="1" x14ac:dyDescent="0.35">
      <c r="A2621" s="13" t="s">
        <v>522</v>
      </c>
      <c r="B2621" s="2">
        <v>2.2370000000000001</v>
      </c>
      <c r="C2621" s="2">
        <v>1.7829999999999999</v>
      </c>
      <c r="D2621" s="2">
        <v>2.8069999999999999</v>
      </c>
      <c r="H2621" s="8" t="str">
        <f t="shared" si="60"/>
        <v>2.24 (1.78 to 2.81)</v>
      </c>
      <c r="I2621" t="str">
        <f t="shared" ref="I2621:I2622" si="61">F2614</f>
        <v>&lt;.0001</v>
      </c>
    </row>
    <row r="2622" spans="1:9" ht="25.5" x14ac:dyDescent="0.3">
      <c r="A2622" s="14" t="s">
        <v>523</v>
      </c>
      <c r="B2622" s="2">
        <v>2.3690000000000002</v>
      </c>
      <c r="C2622" s="2">
        <v>1.8720000000000001</v>
      </c>
      <c r="D2622" s="2">
        <v>2.9990000000000001</v>
      </c>
      <c r="H2622" s="8" t="str">
        <f t="shared" si="60"/>
        <v>2.37 (1.87 to 3.00)</v>
      </c>
      <c r="I2622" t="str">
        <f t="shared" si="61"/>
        <v>&lt;.0001</v>
      </c>
    </row>
    <row r="2623" spans="1:9" ht="16.5" hidden="1" customHeight="1" thickBot="1" x14ac:dyDescent="0.35"/>
    <row r="2624" spans="1:9" ht="33" hidden="1" customHeight="1" x14ac:dyDescent="0.3">
      <c r="A2624" s="24" t="s">
        <v>502</v>
      </c>
      <c r="B2624" s="26"/>
      <c r="C2624" s="26"/>
      <c r="D2624" s="26"/>
    </row>
    <row r="2625" spans="1:4" ht="39" hidden="1" customHeight="1" thickBot="1" x14ac:dyDescent="0.35">
      <c r="A2625" s="13" t="s">
        <v>503</v>
      </c>
      <c r="B2625" s="2">
        <v>38.1</v>
      </c>
      <c r="C2625" s="12" t="s">
        <v>504</v>
      </c>
      <c r="D2625" s="2">
        <v>0.14199999999999999</v>
      </c>
    </row>
    <row r="2626" spans="1:4" ht="26.25" hidden="1" customHeight="1" thickBot="1" x14ac:dyDescent="0.35">
      <c r="A2626" s="13" t="s">
        <v>505</v>
      </c>
      <c r="B2626" s="2">
        <v>23.9</v>
      </c>
      <c r="C2626" s="12" t="s">
        <v>506</v>
      </c>
      <c r="D2626" s="2">
        <v>0.22800000000000001</v>
      </c>
    </row>
    <row r="2627" spans="1:4" ht="26.25" hidden="1" customHeight="1" thickBot="1" x14ac:dyDescent="0.35">
      <c r="A2627" s="13" t="s">
        <v>507</v>
      </c>
      <c r="B2627" s="2">
        <v>37.9</v>
      </c>
      <c r="C2627" s="12" t="s">
        <v>508</v>
      </c>
      <c r="D2627" s="2">
        <v>5.0000000000000001E-3</v>
      </c>
    </row>
    <row r="2628" spans="1:4" ht="16.5" hidden="1" customHeight="1" x14ac:dyDescent="0.3">
      <c r="A2628" s="14" t="s">
        <v>509</v>
      </c>
      <c r="B2628" s="2">
        <v>49160124</v>
      </c>
      <c r="C2628" s="15" t="s">
        <v>510</v>
      </c>
      <c r="D2628" s="2">
        <v>0.57099999999999995</v>
      </c>
    </row>
    <row r="2629" spans="1:4" ht="16.5" hidden="1" customHeight="1" x14ac:dyDescent="0.3"/>
    <row r="2630" spans="1:4" ht="16.5" hidden="1" customHeight="1" x14ac:dyDescent="0.3"/>
    <row r="2631" spans="1:4" ht="16.5" hidden="1" customHeight="1" x14ac:dyDescent="0.3"/>
    <row r="2632" spans="1:4" ht="16.5" hidden="1" customHeight="1" x14ac:dyDescent="0.3">
      <c r="A2632" s="1" t="s">
        <v>436</v>
      </c>
    </row>
    <row r="2633" spans="1:4" ht="16.5" hidden="1" customHeight="1" x14ac:dyDescent="0.3"/>
    <row r="2634" spans="1:4" ht="16.5" hidden="1" customHeight="1" x14ac:dyDescent="0.3">
      <c r="A2634" s="1" t="s">
        <v>425</v>
      </c>
    </row>
    <row r="2635" spans="1:4" ht="16.5" hidden="1" customHeight="1" thickBot="1" x14ac:dyDescent="0.35"/>
    <row r="2636" spans="1:4" ht="16.5" hidden="1" customHeight="1" x14ac:dyDescent="0.3">
      <c r="A2636" s="24" t="s">
        <v>437</v>
      </c>
      <c r="B2636" s="26"/>
    </row>
    <row r="2637" spans="1:4" ht="26.25" hidden="1" customHeight="1" thickBot="1" x14ac:dyDescent="0.35">
      <c r="A2637" s="13" t="s">
        <v>438</v>
      </c>
      <c r="B2637" s="18" t="s">
        <v>439</v>
      </c>
    </row>
    <row r="2638" spans="1:4" ht="26.25" hidden="1" customHeight="1" thickBot="1" x14ac:dyDescent="0.35">
      <c r="A2638" s="13" t="s">
        <v>440</v>
      </c>
      <c r="B2638" s="18" t="s">
        <v>19</v>
      </c>
    </row>
    <row r="2639" spans="1:4" ht="39" hidden="1" customHeight="1" thickBot="1" x14ac:dyDescent="0.35">
      <c r="A2639" s="13" t="s">
        <v>441</v>
      </c>
      <c r="B2639" s="18">
        <v>2</v>
      </c>
    </row>
    <row r="2640" spans="1:4" ht="26.25" hidden="1" customHeight="1" thickBot="1" x14ac:dyDescent="0.35">
      <c r="A2640" s="13" t="s">
        <v>442</v>
      </c>
      <c r="B2640" s="18" t="s">
        <v>443</v>
      </c>
    </row>
    <row r="2641" spans="1:2" ht="26.25" hidden="1" customHeight="1" thickBot="1" x14ac:dyDescent="0.35">
      <c r="A2641" s="13" t="s">
        <v>76</v>
      </c>
      <c r="B2641" s="18">
        <v>183</v>
      </c>
    </row>
    <row r="2642" spans="1:2" ht="26.25" hidden="1" customHeight="1" thickBot="1" x14ac:dyDescent="0.35">
      <c r="A2642" s="13" t="s">
        <v>444</v>
      </c>
      <c r="B2642" s="18" t="s">
        <v>445</v>
      </c>
    </row>
    <row r="2643" spans="1:2" ht="26.25" hidden="1" customHeight="1" thickBot="1" x14ac:dyDescent="0.35">
      <c r="A2643" s="13" t="s">
        <v>77</v>
      </c>
      <c r="B2643" s="18">
        <v>2929</v>
      </c>
    </row>
    <row r="2644" spans="1:2" ht="26.25" hidden="1" customHeight="1" thickBot="1" x14ac:dyDescent="0.35">
      <c r="A2644" s="13" t="s">
        <v>446</v>
      </c>
      <c r="B2644" s="18" t="s">
        <v>447</v>
      </c>
    </row>
    <row r="2645" spans="1:2" ht="26.25" hidden="1" customHeight="1" thickBot="1" x14ac:dyDescent="0.35">
      <c r="A2645" s="13" t="s">
        <v>448</v>
      </c>
      <c r="B2645" s="18" t="s">
        <v>449</v>
      </c>
    </row>
    <row r="2646" spans="1:2" ht="39" hidden="1" customHeight="1" thickBot="1" x14ac:dyDescent="0.35">
      <c r="A2646" s="13" t="s">
        <v>450</v>
      </c>
      <c r="B2646" s="18" t="s">
        <v>451</v>
      </c>
    </row>
    <row r="2647" spans="1:2" ht="38.25" hidden="1" customHeight="1" x14ac:dyDescent="0.3">
      <c r="A2647" s="14" t="s">
        <v>452</v>
      </c>
      <c r="B2647" s="19" t="s">
        <v>453</v>
      </c>
    </row>
    <row r="2648" spans="1:2" ht="16.5" hidden="1" customHeight="1" thickBot="1" x14ac:dyDescent="0.35"/>
    <row r="2649" spans="1:2" ht="33" hidden="1" customHeight="1" x14ac:dyDescent="0.3">
      <c r="A2649" s="24" t="s">
        <v>80</v>
      </c>
      <c r="B2649" s="26"/>
    </row>
    <row r="2650" spans="1:2" ht="33.75" hidden="1" customHeight="1" thickBot="1" x14ac:dyDescent="0.35">
      <c r="A2650" s="13" t="s">
        <v>81</v>
      </c>
      <c r="B2650" s="2" t="s">
        <v>82</v>
      </c>
    </row>
    <row r="2651" spans="1:2" ht="66" hidden="1" customHeight="1" x14ac:dyDescent="0.3">
      <c r="A2651" s="14" t="s">
        <v>452</v>
      </c>
      <c r="B2651" s="2" t="s">
        <v>453</v>
      </c>
    </row>
    <row r="2652" spans="1:2" ht="16.5" hidden="1" customHeight="1" thickBot="1" x14ac:dyDescent="0.35"/>
    <row r="2653" spans="1:2" ht="39" hidden="1" customHeight="1" thickBot="1" x14ac:dyDescent="0.35">
      <c r="A2653" s="20" t="s">
        <v>454</v>
      </c>
      <c r="B2653" s="21">
        <v>16571</v>
      </c>
    </row>
    <row r="2654" spans="1:2" ht="39" hidden="1" customHeight="1" thickBot="1" x14ac:dyDescent="0.35">
      <c r="A2654" s="13" t="s">
        <v>455</v>
      </c>
      <c r="B2654" s="2">
        <v>16571</v>
      </c>
    </row>
    <row r="2655" spans="1:2" ht="39" hidden="1" customHeight="1" thickBot="1" x14ac:dyDescent="0.35">
      <c r="A2655" s="13" t="s">
        <v>456</v>
      </c>
      <c r="B2655" s="2">
        <v>8183773</v>
      </c>
    </row>
    <row r="2656" spans="1:2" ht="38.25" hidden="1" customHeight="1" x14ac:dyDescent="0.3">
      <c r="A2656" s="14" t="s">
        <v>457</v>
      </c>
      <c r="B2656" s="2">
        <v>8183773</v>
      </c>
    </row>
    <row r="2657" spans="1:5" ht="16.5" hidden="1" customHeight="1" thickBot="1" x14ac:dyDescent="0.35"/>
    <row r="2658" spans="1:5" ht="16.5" hidden="1" customHeight="1" x14ac:dyDescent="0.3">
      <c r="A2658" s="24" t="s">
        <v>458</v>
      </c>
      <c r="B2658" s="26"/>
      <c r="C2658" s="26"/>
      <c r="D2658" s="26"/>
    </row>
    <row r="2659" spans="1:5" ht="16.5" hidden="1" customHeight="1" x14ac:dyDescent="0.3">
      <c r="A2659" s="6" t="s">
        <v>459</v>
      </c>
      <c r="B2659" s="27" t="s">
        <v>19</v>
      </c>
      <c r="C2659" s="3" t="s">
        <v>93</v>
      </c>
      <c r="D2659" s="3" t="s">
        <v>93</v>
      </c>
    </row>
    <row r="2660" spans="1:5" ht="33" hidden="1" customHeight="1" x14ac:dyDescent="0.3">
      <c r="A2660" s="6" t="s">
        <v>460</v>
      </c>
      <c r="B2660" s="27"/>
      <c r="C2660" s="3" t="s">
        <v>86</v>
      </c>
      <c r="D2660" s="3" t="s">
        <v>461</v>
      </c>
    </row>
    <row r="2661" spans="1:5" ht="17.25" hidden="1" customHeight="1" thickBot="1" x14ac:dyDescent="0.35">
      <c r="A2661" s="6">
        <v>1</v>
      </c>
      <c r="B2661" s="17">
        <v>0</v>
      </c>
      <c r="C2661" s="2">
        <v>16332</v>
      </c>
      <c r="D2661" s="2">
        <v>8101540</v>
      </c>
    </row>
    <row r="2662" spans="1:5" ht="16.5" hidden="1" customHeight="1" x14ac:dyDescent="0.3">
      <c r="A2662" s="6">
        <v>2</v>
      </c>
      <c r="B2662" s="22">
        <v>1</v>
      </c>
      <c r="C2662" s="2">
        <v>239</v>
      </c>
      <c r="D2662" s="2">
        <v>82233.100000000006</v>
      </c>
    </row>
    <row r="2663" spans="1:5" ht="16.5" hidden="1" customHeight="1" x14ac:dyDescent="0.3"/>
    <row r="2664" spans="1:5" ht="16.5" hidden="1" customHeight="1" x14ac:dyDescent="0.3">
      <c r="A2664" s="1" t="s">
        <v>513</v>
      </c>
    </row>
    <row r="2665" spans="1:5" ht="16.5" hidden="1" customHeight="1" thickBot="1" x14ac:dyDescent="0.35"/>
    <row r="2666" spans="1:5" ht="16.5" hidden="1" customHeight="1" x14ac:dyDescent="0.3">
      <c r="A2666" s="24" t="s">
        <v>462</v>
      </c>
      <c r="B2666" s="26"/>
      <c r="C2666" s="26"/>
      <c r="D2666" s="26"/>
      <c r="E2666" s="26"/>
    </row>
    <row r="2667" spans="1:5" ht="16.5" hidden="1" customHeight="1" x14ac:dyDescent="0.3">
      <c r="A2667" s="6" t="s">
        <v>463</v>
      </c>
      <c r="B2667" s="3" t="s">
        <v>460</v>
      </c>
      <c r="C2667" s="27" t="s">
        <v>464</v>
      </c>
      <c r="D2667" s="27"/>
      <c r="E2667" s="27"/>
    </row>
    <row r="2668" spans="1:5" ht="17.25" hidden="1" customHeight="1" thickBot="1" x14ac:dyDescent="0.35">
      <c r="A2668" s="13" t="s">
        <v>26</v>
      </c>
      <c r="B2668" s="12">
        <v>1</v>
      </c>
      <c r="C2668" s="2">
        <v>0</v>
      </c>
      <c r="D2668" s="2">
        <v>0</v>
      </c>
      <c r="E2668" s="2">
        <v>0</v>
      </c>
    </row>
    <row r="2669" spans="1:5" ht="17.25" hidden="1" customHeight="1" thickBot="1" x14ac:dyDescent="0.35">
      <c r="A2669" s="13"/>
      <c r="B2669" s="12">
        <v>2</v>
      </c>
      <c r="C2669" s="2">
        <v>1</v>
      </c>
      <c r="D2669" s="2">
        <v>0</v>
      </c>
      <c r="E2669" s="2">
        <v>0</v>
      </c>
    </row>
    <row r="2670" spans="1:5" ht="17.25" hidden="1" customHeight="1" thickBot="1" x14ac:dyDescent="0.35">
      <c r="A2670" s="13"/>
      <c r="B2670" s="12">
        <v>3</v>
      </c>
      <c r="C2670" s="2">
        <v>0</v>
      </c>
      <c r="D2670" s="2">
        <v>1</v>
      </c>
      <c r="E2670" s="2">
        <v>0</v>
      </c>
    </row>
    <row r="2671" spans="1:5" ht="16.5" hidden="1" customHeight="1" x14ac:dyDescent="0.3">
      <c r="A2671" s="14"/>
      <c r="B2671" s="15">
        <v>4</v>
      </c>
      <c r="C2671" s="2">
        <v>0</v>
      </c>
      <c r="D2671" s="2">
        <v>0</v>
      </c>
      <c r="E2671" s="2">
        <v>1</v>
      </c>
    </row>
    <row r="2672" spans="1:5" ht="16.5" hidden="1" customHeight="1" thickBot="1" x14ac:dyDescent="0.35"/>
    <row r="2673" spans="1:5" ht="66" hidden="1" customHeight="1" x14ac:dyDescent="0.3">
      <c r="A2673" s="4" t="s">
        <v>465</v>
      </c>
    </row>
    <row r="2674" spans="1:5" ht="99" hidden="1" customHeight="1" x14ac:dyDescent="0.3">
      <c r="A2674" s="23" t="s">
        <v>466</v>
      </c>
    </row>
    <row r="2675" spans="1:5" ht="16.5" hidden="1" customHeight="1" thickBot="1" x14ac:dyDescent="0.35"/>
    <row r="2676" spans="1:5" ht="16.5" hidden="1" customHeight="1" x14ac:dyDescent="0.3">
      <c r="A2676" s="24" t="s">
        <v>467</v>
      </c>
      <c r="B2676" s="26"/>
      <c r="C2676" s="26"/>
    </row>
    <row r="2677" spans="1:5" ht="66" hidden="1" customHeight="1" x14ac:dyDescent="0.3">
      <c r="A2677" s="6" t="s">
        <v>468</v>
      </c>
      <c r="B2677" s="3" t="s">
        <v>469</v>
      </c>
      <c r="C2677" s="3" t="s">
        <v>470</v>
      </c>
    </row>
    <row r="2678" spans="1:5" ht="17.25" hidden="1" customHeight="1" thickBot="1" x14ac:dyDescent="0.35">
      <c r="A2678" s="13" t="s">
        <v>471</v>
      </c>
      <c r="B2678" s="2">
        <v>920241.44</v>
      </c>
      <c r="C2678" s="2">
        <v>917464.9</v>
      </c>
    </row>
    <row r="2679" spans="1:5" ht="17.25" hidden="1" customHeight="1" thickBot="1" x14ac:dyDescent="0.35">
      <c r="A2679" s="13" t="s">
        <v>472</v>
      </c>
      <c r="B2679" s="2">
        <v>920255.35</v>
      </c>
      <c r="C2679" s="2">
        <v>917520.58</v>
      </c>
    </row>
    <row r="2680" spans="1:5" ht="16.5" hidden="1" customHeight="1" x14ac:dyDescent="0.3">
      <c r="A2680" s="14" t="s">
        <v>473</v>
      </c>
      <c r="B2680" s="2" t="s">
        <v>649</v>
      </c>
      <c r="C2680" s="2">
        <v>917456.9</v>
      </c>
    </row>
    <row r="2681" spans="1:5" ht="16.5" hidden="1" customHeight="1" thickBot="1" x14ac:dyDescent="0.35"/>
    <row r="2682" spans="1:5" ht="16.5" hidden="1" customHeight="1" x14ac:dyDescent="0.3">
      <c r="A2682" s="24" t="s">
        <v>474</v>
      </c>
      <c r="B2682" s="26"/>
      <c r="C2682" s="26"/>
      <c r="D2682" s="26"/>
      <c r="E2682" s="26"/>
    </row>
    <row r="2683" spans="1:5" ht="16.5" hidden="1" customHeight="1" x14ac:dyDescent="0.3">
      <c r="A2683" s="6" t="s">
        <v>475</v>
      </c>
      <c r="B2683" s="3" t="s">
        <v>476</v>
      </c>
      <c r="C2683" s="3" t="s">
        <v>477</v>
      </c>
      <c r="D2683" s="3" t="s">
        <v>478</v>
      </c>
      <c r="E2683" s="3" t="s">
        <v>479</v>
      </c>
    </row>
    <row r="2684" spans="1:5" ht="33" hidden="1" customHeight="1" x14ac:dyDescent="0.3">
      <c r="A2684" s="25" t="s">
        <v>530</v>
      </c>
      <c r="B2684" s="27"/>
      <c r="C2684" s="27"/>
      <c r="D2684" s="27"/>
      <c r="E2684" s="27"/>
    </row>
    <row r="2685" spans="1:5" ht="26.25" hidden="1" customHeight="1" thickBot="1" x14ac:dyDescent="0.35">
      <c r="A2685" s="13" t="s">
        <v>481</v>
      </c>
      <c r="B2685" s="2">
        <v>1.85</v>
      </c>
      <c r="C2685" s="2">
        <v>2.9946000000000002</v>
      </c>
      <c r="D2685" s="2">
        <v>8223.1299999999992</v>
      </c>
      <c r="E2685" s="2">
        <v>0.1353</v>
      </c>
    </row>
    <row r="2686" spans="1:5" ht="17.25" hidden="1" customHeight="1" thickBot="1" x14ac:dyDescent="0.35">
      <c r="A2686" s="13" t="s">
        <v>483</v>
      </c>
      <c r="B2686" s="2">
        <v>2.0299999999999998</v>
      </c>
      <c r="C2686" s="2">
        <v>3</v>
      </c>
      <c r="D2686" s="2">
        <v>2744</v>
      </c>
      <c r="E2686" s="2">
        <v>0.1069</v>
      </c>
    </row>
    <row r="2687" spans="1:5" ht="16.5" hidden="1" customHeight="1" x14ac:dyDescent="0.3">
      <c r="A2687" s="14" t="s">
        <v>484</v>
      </c>
      <c r="B2687" s="2">
        <v>1.75</v>
      </c>
      <c r="C2687" s="2">
        <v>3</v>
      </c>
      <c r="D2687" s="2">
        <v>2744</v>
      </c>
      <c r="E2687" s="2">
        <v>0.15509999999999999</v>
      </c>
    </row>
    <row r="2688" spans="1:5" ht="16.5" hidden="1" customHeight="1" thickBot="1" x14ac:dyDescent="0.35"/>
    <row r="2689" spans="1:6" ht="16.5" hidden="1" customHeight="1" x14ac:dyDescent="0.3">
      <c r="A2689" s="24" t="s">
        <v>485</v>
      </c>
      <c r="B2689" s="26"/>
      <c r="C2689" s="26"/>
      <c r="D2689" s="26"/>
      <c r="E2689" s="26"/>
    </row>
    <row r="2690" spans="1:6" ht="16.5" hidden="1" customHeight="1" x14ac:dyDescent="0.3">
      <c r="A2690" s="6" t="s">
        <v>486</v>
      </c>
      <c r="B2690" s="3" t="s">
        <v>476</v>
      </c>
      <c r="C2690" s="3" t="s">
        <v>477</v>
      </c>
      <c r="D2690" s="3" t="s">
        <v>478</v>
      </c>
      <c r="E2690" s="3" t="s">
        <v>479</v>
      </c>
    </row>
    <row r="2691" spans="1:6" ht="16.5" hidden="1" customHeight="1" x14ac:dyDescent="0.3">
      <c r="A2691" s="14" t="s">
        <v>26</v>
      </c>
      <c r="B2691" s="2">
        <v>1.75</v>
      </c>
      <c r="C2691" s="2">
        <v>3</v>
      </c>
      <c r="D2691" s="2">
        <v>2744</v>
      </c>
      <c r="E2691" s="2">
        <v>0.15509999999999999</v>
      </c>
    </row>
    <row r="2692" spans="1:6" ht="16.5" hidden="1" customHeight="1" thickBot="1" x14ac:dyDescent="0.35"/>
    <row r="2693" spans="1:6" ht="16.5" hidden="1" customHeight="1" x14ac:dyDescent="0.3">
      <c r="A2693" s="24" t="s">
        <v>487</v>
      </c>
      <c r="B2693" s="26"/>
      <c r="C2693" s="26"/>
      <c r="D2693" s="26"/>
      <c r="E2693" s="26"/>
      <c r="F2693" s="26"/>
    </row>
    <row r="2694" spans="1:6" ht="16.5" hidden="1" customHeight="1" x14ac:dyDescent="0.3">
      <c r="A2694" s="25" t="s">
        <v>488</v>
      </c>
      <c r="B2694" s="27"/>
      <c r="C2694" s="27" t="s">
        <v>489</v>
      </c>
      <c r="D2694" s="3" t="s">
        <v>490</v>
      </c>
      <c r="E2694" s="27" t="s">
        <v>492</v>
      </c>
      <c r="F2694" s="27" t="s">
        <v>493</v>
      </c>
    </row>
    <row r="2695" spans="1:6" ht="16.5" hidden="1" customHeight="1" x14ac:dyDescent="0.3">
      <c r="A2695" s="25"/>
      <c r="B2695" s="27"/>
      <c r="C2695" s="27"/>
      <c r="D2695" s="3" t="s">
        <v>491</v>
      </c>
      <c r="E2695" s="27"/>
      <c r="F2695" s="27"/>
    </row>
    <row r="2696" spans="1:6" ht="16.5" hidden="1" customHeight="1" x14ac:dyDescent="0.3">
      <c r="A2696" s="25" t="s">
        <v>595</v>
      </c>
      <c r="B2696" s="27"/>
      <c r="C2696" s="27"/>
      <c r="D2696" s="27"/>
      <c r="E2696" s="27"/>
      <c r="F2696" s="27"/>
    </row>
    <row r="2697" spans="1:6" ht="17.25" hidden="1" customHeight="1" thickBot="1" x14ac:dyDescent="0.35">
      <c r="A2697" s="13" t="s">
        <v>495</v>
      </c>
      <c r="B2697" s="12"/>
      <c r="C2697" s="16">
        <v>-4.8446999999999996</v>
      </c>
      <c r="D2697" s="2">
        <v>0.26019999999999999</v>
      </c>
      <c r="E2697" s="16">
        <v>-18.62</v>
      </c>
      <c r="F2697" s="2" t="s">
        <v>482</v>
      </c>
    </row>
    <row r="2698" spans="1:6" ht="17.25" hidden="1" customHeight="1" thickBot="1" x14ac:dyDescent="0.35">
      <c r="A2698" s="13" t="s">
        <v>26</v>
      </c>
      <c r="B2698" s="12">
        <v>2</v>
      </c>
      <c r="C2698" s="16">
        <v>-3.9300000000000002E-2</v>
      </c>
      <c r="D2698" s="2">
        <v>0.31830000000000003</v>
      </c>
      <c r="E2698" s="16">
        <v>-0.12</v>
      </c>
      <c r="F2698" s="2">
        <v>0.90169999999999995</v>
      </c>
    </row>
    <row r="2699" spans="1:6" ht="17.25" hidden="1" customHeight="1" thickBot="1" x14ac:dyDescent="0.35">
      <c r="A2699" s="13" t="s">
        <v>26</v>
      </c>
      <c r="B2699" s="12">
        <v>3</v>
      </c>
      <c r="C2699" s="2">
        <v>0.434</v>
      </c>
      <c r="D2699" s="2">
        <v>0.2994</v>
      </c>
      <c r="E2699" s="2">
        <v>1.45</v>
      </c>
      <c r="F2699" s="2">
        <v>0.14729999999999999</v>
      </c>
    </row>
    <row r="2700" spans="1:6" ht="16.5" hidden="1" customHeight="1" x14ac:dyDescent="0.3">
      <c r="A2700" s="14" t="s">
        <v>26</v>
      </c>
      <c r="B2700" s="15">
        <v>4</v>
      </c>
      <c r="C2700" s="2">
        <v>0.33329999999999999</v>
      </c>
      <c r="D2700" s="2">
        <v>0.2883</v>
      </c>
      <c r="E2700" s="2">
        <v>1.1599999999999999</v>
      </c>
      <c r="F2700" s="2">
        <v>0.24759999999999999</v>
      </c>
    </row>
    <row r="2701" spans="1:6" ht="16.5" hidden="1" customHeight="1" thickBot="1" x14ac:dyDescent="0.35"/>
    <row r="2702" spans="1:6" ht="16.5" hidden="1" customHeight="1" x14ac:dyDescent="0.3">
      <c r="A2702" s="24" t="s">
        <v>496</v>
      </c>
      <c r="B2702" s="26"/>
      <c r="C2702" s="26"/>
      <c r="D2702" s="26"/>
    </row>
    <row r="2703" spans="1:6" ht="33" hidden="1" customHeight="1" x14ac:dyDescent="0.3">
      <c r="A2703" s="6" t="s">
        <v>486</v>
      </c>
      <c r="B2703" s="3" t="s">
        <v>497</v>
      </c>
      <c r="C2703" s="27" t="s">
        <v>91</v>
      </c>
      <c r="D2703" s="27"/>
    </row>
    <row r="2704" spans="1:6" ht="49.5" hidden="1" customHeight="1" x14ac:dyDescent="0.3">
      <c r="A2704" s="25" t="s">
        <v>596</v>
      </c>
      <c r="B2704" s="27"/>
      <c r="C2704" s="27"/>
      <c r="D2704" s="27"/>
    </row>
    <row r="2705" spans="1:9" ht="26.25" thickBot="1" x14ac:dyDescent="0.35">
      <c r="A2705" s="13" t="s">
        <v>521</v>
      </c>
      <c r="B2705" s="2">
        <v>0.96099999999999997</v>
      </c>
      <c r="C2705" s="2">
        <v>0.51500000000000001</v>
      </c>
      <c r="D2705" s="2">
        <v>1.7949999999999999</v>
      </c>
      <c r="H2705" s="8" t="str">
        <f t="shared" ref="H2705:H2707" si="62">TEXT(B2705,"0.00")&amp;" ("&amp;TEXT(C2705,"0.00")&amp;" to "&amp;TEXT(D2705,"0.00")&amp;")"</f>
        <v>0.96 (0.52 to 1.80)</v>
      </c>
      <c r="I2705">
        <f>F2698</f>
        <v>0.90169999999999995</v>
      </c>
    </row>
    <row r="2706" spans="1:9" ht="26.25" thickBot="1" x14ac:dyDescent="0.35">
      <c r="A2706" s="13" t="s">
        <v>522</v>
      </c>
      <c r="B2706" s="2">
        <v>1.5429999999999999</v>
      </c>
      <c r="C2706" s="2">
        <v>0.85799999999999998</v>
      </c>
      <c r="D2706" s="2">
        <v>2.7759999999999998</v>
      </c>
      <c r="H2706" s="8" t="str">
        <f t="shared" si="62"/>
        <v>1.54 (0.86 to 2.78)</v>
      </c>
      <c r="I2706">
        <f t="shared" ref="I2706:I2707" si="63">F2699</f>
        <v>0.14729999999999999</v>
      </c>
    </row>
    <row r="2707" spans="1:9" ht="25.5" x14ac:dyDescent="0.3">
      <c r="A2707" s="14" t="s">
        <v>523</v>
      </c>
      <c r="B2707" s="2">
        <v>1.3959999999999999</v>
      </c>
      <c r="C2707" s="2">
        <v>0.79300000000000004</v>
      </c>
      <c r="D2707" s="2">
        <v>2.456</v>
      </c>
      <c r="H2707" s="8" t="str">
        <f t="shared" si="62"/>
        <v>1.40 (0.79 to 2.46)</v>
      </c>
      <c r="I2707">
        <f t="shared" si="63"/>
        <v>0.24759999999999999</v>
      </c>
    </row>
    <row r="2708" spans="1:9" ht="16.5" hidden="1" customHeight="1" thickBot="1" x14ac:dyDescent="0.35"/>
    <row r="2709" spans="1:9" ht="33" hidden="1" customHeight="1" x14ac:dyDescent="0.3">
      <c r="A2709" s="24" t="s">
        <v>502</v>
      </c>
      <c r="B2709" s="26"/>
      <c r="C2709" s="26"/>
      <c r="D2709" s="26"/>
    </row>
    <row r="2710" spans="1:9" ht="39" hidden="1" customHeight="1" thickBot="1" x14ac:dyDescent="0.35">
      <c r="A2710" s="13" t="s">
        <v>503</v>
      </c>
      <c r="B2710" s="2">
        <v>35.5</v>
      </c>
      <c r="C2710" s="12" t="s">
        <v>504</v>
      </c>
      <c r="D2710" s="2">
        <v>5.2999999999999999E-2</v>
      </c>
    </row>
    <row r="2711" spans="1:9" ht="26.25" hidden="1" customHeight="1" thickBot="1" x14ac:dyDescent="0.35">
      <c r="A2711" s="13" t="s">
        <v>505</v>
      </c>
      <c r="B2711" s="2">
        <v>30.2</v>
      </c>
      <c r="C2711" s="12" t="s">
        <v>506</v>
      </c>
      <c r="D2711" s="2">
        <v>8.1000000000000003E-2</v>
      </c>
    </row>
    <row r="2712" spans="1:9" ht="26.25" hidden="1" customHeight="1" thickBot="1" x14ac:dyDescent="0.35">
      <c r="A2712" s="13" t="s">
        <v>507</v>
      </c>
      <c r="B2712" s="2">
        <v>34.4</v>
      </c>
      <c r="C2712" s="12" t="s">
        <v>508</v>
      </c>
      <c r="D2712" s="2">
        <v>2E-3</v>
      </c>
    </row>
    <row r="2713" spans="1:9" ht="16.5" hidden="1" customHeight="1" x14ac:dyDescent="0.3">
      <c r="A2713" s="14" t="s">
        <v>509</v>
      </c>
      <c r="B2713" s="2">
        <v>3903348</v>
      </c>
      <c r="C2713" s="15" t="s">
        <v>510</v>
      </c>
      <c r="D2713" s="2">
        <v>0.52700000000000002</v>
      </c>
    </row>
  </sheetData>
  <autoFilter ref="A1:A2713" xr:uid="{CA817B83-D9F5-4E88-9000-5F8666B4415E}">
    <filterColumn colId="0">
      <filters>
        <filter val="aip_g 2 vs 1"/>
        <filter val="aip_g 3 vs 1"/>
        <filter val="aip_g 4 vs 1"/>
      </filters>
    </filterColumn>
  </autoFilter>
  <mergeCells count="671">
    <mergeCell ref="A5:B5"/>
    <mergeCell ref="A18:B18"/>
    <mergeCell ref="A27:D27"/>
    <mergeCell ref="B28:B29"/>
    <mergeCell ref="A35:E35"/>
    <mergeCell ref="C36:E36"/>
    <mergeCell ref="A65:F65"/>
    <mergeCell ref="A71:D71"/>
    <mergeCell ref="C72:D72"/>
    <mergeCell ref="A73:D73"/>
    <mergeCell ref="A86:B86"/>
    <mergeCell ref="A99:B99"/>
    <mergeCell ref="A45:C45"/>
    <mergeCell ref="A51:E51"/>
    <mergeCell ref="A53:E53"/>
    <mergeCell ref="A58:E58"/>
    <mergeCell ref="A62:F62"/>
    <mergeCell ref="A63:A64"/>
    <mergeCell ref="B63:B64"/>
    <mergeCell ref="C63:C64"/>
    <mergeCell ref="E63:E64"/>
    <mergeCell ref="F63:F64"/>
    <mergeCell ref="A134:E134"/>
    <mergeCell ref="A139:E139"/>
    <mergeCell ref="A143:F143"/>
    <mergeCell ref="A144:A145"/>
    <mergeCell ref="B144:B145"/>
    <mergeCell ref="C144:C145"/>
    <mergeCell ref="E144:E145"/>
    <mergeCell ref="F144:F145"/>
    <mergeCell ref="A108:D108"/>
    <mergeCell ref="B109:B110"/>
    <mergeCell ref="A116:E116"/>
    <mergeCell ref="C117:E117"/>
    <mergeCell ref="A126:C126"/>
    <mergeCell ref="A132:E132"/>
    <mergeCell ref="A184:B184"/>
    <mergeCell ref="A193:D193"/>
    <mergeCell ref="B194:B195"/>
    <mergeCell ref="A201:E201"/>
    <mergeCell ref="C202:E202"/>
    <mergeCell ref="A211:C211"/>
    <mergeCell ref="A146:F146"/>
    <mergeCell ref="A152:D152"/>
    <mergeCell ref="C153:D153"/>
    <mergeCell ref="A154:D154"/>
    <mergeCell ref="A159:D159"/>
    <mergeCell ref="A171:B171"/>
    <mergeCell ref="A217:E217"/>
    <mergeCell ref="A219:E219"/>
    <mergeCell ref="A224:E224"/>
    <mergeCell ref="A228:F228"/>
    <mergeCell ref="A229:A230"/>
    <mergeCell ref="B229:B230"/>
    <mergeCell ref="C229:C230"/>
    <mergeCell ref="E229:E230"/>
    <mergeCell ref="F229:F230"/>
    <mergeCell ref="A269:B269"/>
    <mergeCell ref="A278:D278"/>
    <mergeCell ref="B279:B280"/>
    <mergeCell ref="A286:E286"/>
    <mergeCell ref="C287:E287"/>
    <mergeCell ref="A296:C296"/>
    <mergeCell ref="A231:F231"/>
    <mergeCell ref="A237:D237"/>
    <mergeCell ref="C238:D238"/>
    <mergeCell ref="A239:D239"/>
    <mergeCell ref="A244:D244"/>
    <mergeCell ref="A256:B256"/>
    <mergeCell ref="A302:E302"/>
    <mergeCell ref="A304:E304"/>
    <mergeCell ref="A309:E309"/>
    <mergeCell ref="A313:F313"/>
    <mergeCell ref="A314:A315"/>
    <mergeCell ref="B314:B315"/>
    <mergeCell ref="C314:C315"/>
    <mergeCell ref="E314:E315"/>
    <mergeCell ref="F314:F315"/>
    <mergeCell ref="A354:B354"/>
    <mergeCell ref="A363:D363"/>
    <mergeCell ref="B364:B365"/>
    <mergeCell ref="A371:E371"/>
    <mergeCell ref="C372:E372"/>
    <mergeCell ref="A381:C381"/>
    <mergeCell ref="A316:F316"/>
    <mergeCell ref="A322:D322"/>
    <mergeCell ref="C323:D323"/>
    <mergeCell ref="A324:D324"/>
    <mergeCell ref="A329:D329"/>
    <mergeCell ref="A341:B341"/>
    <mergeCell ref="A387:E387"/>
    <mergeCell ref="A389:E389"/>
    <mergeCell ref="A394:E394"/>
    <mergeCell ref="A398:F398"/>
    <mergeCell ref="A399:A400"/>
    <mergeCell ref="B399:B400"/>
    <mergeCell ref="C399:C400"/>
    <mergeCell ref="E399:E400"/>
    <mergeCell ref="F399:F400"/>
    <mergeCell ref="A439:B439"/>
    <mergeCell ref="A448:D448"/>
    <mergeCell ref="B449:B450"/>
    <mergeCell ref="A456:E456"/>
    <mergeCell ref="C457:E457"/>
    <mergeCell ref="A466:C466"/>
    <mergeCell ref="A401:F401"/>
    <mergeCell ref="A407:D407"/>
    <mergeCell ref="C408:D408"/>
    <mergeCell ref="A409:D409"/>
    <mergeCell ref="A414:D414"/>
    <mergeCell ref="A426:B426"/>
    <mergeCell ref="A472:E472"/>
    <mergeCell ref="A474:E474"/>
    <mergeCell ref="A479:E479"/>
    <mergeCell ref="A483:F483"/>
    <mergeCell ref="A484:A485"/>
    <mergeCell ref="B484:B485"/>
    <mergeCell ref="C484:C485"/>
    <mergeCell ref="E484:E485"/>
    <mergeCell ref="F484:F485"/>
    <mergeCell ref="A524:B524"/>
    <mergeCell ref="A533:D533"/>
    <mergeCell ref="B534:B535"/>
    <mergeCell ref="A541:E541"/>
    <mergeCell ref="C542:E542"/>
    <mergeCell ref="A551:C551"/>
    <mergeCell ref="A486:F486"/>
    <mergeCell ref="A492:D492"/>
    <mergeCell ref="C493:D493"/>
    <mergeCell ref="A494:D494"/>
    <mergeCell ref="A499:D499"/>
    <mergeCell ref="A511:B511"/>
    <mergeCell ref="A557:E557"/>
    <mergeCell ref="A559:E559"/>
    <mergeCell ref="A564:E564"/>
    <mergeCell ref="A568:F568"/>
    <mergeCell ref="A569:A570"/>
    <mergeCell ref="B569:B570"/>
    <mergeCell ref="C569:C570"/>
    <mergeCell ref="E569:E570"/>
    <mergeCell ref="F569:F570"/>
    <mergeCell ref="A609:B609"/>
    <mergeCell ref="A618:D618"/>
    <mergeCell ref="B619:B620"/>
    <mergeCell ref="A626:E626"/>
    <mergeCell ref="C627:E627"/>
    <mergeCell ref="A636:C636"/>
    <mergeCell ref="A571:F571"/>
    <mergeCell ref="A577:D577"/>
    <mergeCell ref="C578:D578"/>
    <mergeCell ref="A579:D579"/>
    <mergeCell ref="A584:D584"/>
    <mergeCell ref="A596:B596"/>
    <mergeCell ref="A642:E642"/>
    <mergeCell ref="A644:E644"/>
    <mergeCell ref="A649:E649"/>
    <mergeCell ref="A653:F653"/>
    <mergeCell ref="A654:A655"/>
    <mergeCell ref="B654:B655"/>
    <mergeCell ref="C654:C655"/>
    <mergeCell ref="E654:E655"/>
    <mergeCell ref="F654:F655"/>
    <mergeCell ref="A694:B694"/>
    <mergeCell ref="A703:D703"/>
    <mergeCell ref="B704:B705"/>
    <mergeCell ref="A711:E711"/>
    <mergeCell ref="C712:E712"/>
    <mergeCell ref="A721:C721"/>
    <mergeCell ref="A656:F656"/>
    <mergeCell ref="A662:D662"/>
    <mergeCell ref="C663:D663"/>
    <mergeCell ref="A664:D664"/>
    <mergeCell ref="A669:D669"/>
    <mergeCell ref="A681:B681"/>
    <mergeCell ref="A727:E727"/>
    <mergeCell ref="A729:E729"/>
    <mergeCell ref="A734:E734"/>
    <mergeCell ref="A738:F738"/>
    <mergeCell ref="A739:A740"/>
    <mergeCell ref="B739:B740"/>
    <mergeCell ref="C739:C740"/>
    <mergeCell ref="E739:E740"/>
    <mergeCell ref="F739:F740"/>
    <mergeCell ref="A779:B779"/>
    <mergeCell ref="A788:D788"/>
    <mergeCell ref="B789:B790"/>
    <mergeCell ref="A796:E796"/>
    <mergeCell ref="C797:E797"/>
    <mergeCell ref="A806:C806"/>
    <mergeCell ref="A741:F741"/>
    <mergeCell ref="A747:D747"/>
    <mergeCell ref="C748:D748"/>
    <mergeCell ref="A749:D749"/>
    <mergeCell ref="A754:D754"/>
    <mergeCell ref="A766:B766"/>
    <mergeCell ref="A812:E812"/>
    <mergeCell ref="A814:E814"/>
    <mergeCell ref="A819:E819"/>
    <mergeCell ref="A823:F823"/>
    <mergeCell ref="A824:A825"/>
    <mergeCell ref="B824:B825"/>
    <mergeCell ref="C824:C825"/>
    <mergeCell ref="E824:E825"/>
    <mergeCell ref="F824:F825"/>
    <mergeCell ref="A864:B864"/>
    <mergeCell ref="A873:D873"/>
    <mergeCell ref="B874:B875"/>
    <mergeCell ref="A881:E881"/>
    <mergeCell ref="C882:E882"/>
    <mergeCell ref="A891:C891"/>
    <mergeCell ref="A826:F826"/>
    <mergeCell ref="A832:D832"/>
    <mergeCell ref="C833:D833"/>
    <mergeCell ref="A834:D834"/>
    <mergeCell ref="A839:D839"/>
    <mergeCell ref="A851:B851"/>
    <mergeCell ref="A897:E897"/>
    <mergeCell ref="A899:E899"/>
    <mergeCell ref="A904:E904"/>
    <mergeCell ref="A908:F908"/>
    <mergeCell ref="A909:A910"/>
    <mergeCell ref="B909:B910"/>
    <mergeCell ref="C909:C910"/>
    <mergeCell ref="E909:E910"/>
    <mergeCell ref="F909:F910"/>
    <mergeCell ref="A949:B949"/>
    <mergeCell ref="A958:D958"/>
    <mergeCell ref="B959:B960"/>
    <mergeCell ref="A966:E966"/>
    <mergeCell ref="C967:E967"/>
    <mergeCell ref="A976:C976"/>
    <mergeCell ref="A911:F911"/>
    <mergeCell ref="A917:D917"/>
    <mergeCell ref="C918:D918"/>
    <mergeCell ref="A919:D919"/>
    <mergeCell ref="A924:D924"/>
    <mergeCell ref="A936:B936"/>
    <mergeCell ref="A982:E982"/>
    <mergeCell ref="A984:E984"/>
    <mergeCell ref="A989:E989"/>
    <mergeCell ref="A993:F993"/>
    <mergeCell ref="A994:A995"/>
    <mergeCell ref="B994:B995"/>
    <mergeCell ref="C994:C995"/>
    <mergeCell ref="E994:E995"/>
    <mergeCell ref="F994:F995"/>
    <mergeCell ref="A1034:B1034"/>
    <mergeCell ref="A1043:D1043"/>
    <mergeCell ref="B1044:B1045"/>
    <mergeCell ref="A1051:E1051"/>
    <mergeCell ref="C1052:E1052"/>
    <mergeCell ref="A1061:C1061"/>
    <mergeCell ref="A996:F996"/>
    <mergeCell ref="A1002:D1002"/>
    <mergeCell ref="C1003:D1003"/>
    <mergeCell ref="A1004:D1004"/>
    <mergeCell ref="A1009:D1009"/>
    <mergeCell ref="A1021:B1021"/>
    <mergeCell ref="A1067:E1067"/>
    <mergeCell ref="A1069:E1069"/>
    <mergeCell ref="A1074:E1074"/>
    <mergeCell ref="A1078:F1078"/>
    <mergeCell ref="A1079:A1080"/>
    <mergeCell ref="B1079:B1080"/>
    <mergeCell ref="C1079:C1080"/>
    <mergeCell ref="E1079:E1080"/>
    <mergeCell ref="F1079:F1080"/>
    <mergeCell ref="A1119:B1119"/>
    <mergeCell ref="A1128:D1128"/>
    <mergeCell ref="B1129:B1130"/>
    <mergeCell ref="A1136:E1136"/>
    <mergeCell ref="C1137:E1137"/>
    <mergeCell ref="A1146:C1146"/>
    <mergeCell ref="A1081:F1081"/>
    <mergeCell ref="A1087:D1087"/>
    <mergeCell ref="C1088:D1088"/>
    <mergeCell ref="A1089:D1089"/>
    <mergeCell ref="A1094:D1094"/>
    <mergeCell ref="A1106:B1106"/>
    <mergeCell ref="A1152:E1152"/>
    <mergeCell ref="A1154:E1154"/>
    <mergeCell ref="A1159:E1159"/>
    <mergeCell ref="A1163:F1163"/>
    <mergeCell ref="A1164:A1165"/>
    <mergeCell ref="B1164:B1165"/>
    <mergeCell ref="C1164:C1165"/>
    <mergeCell ref="E1164:E1165"/>
    <mergeCell ref="F1164:F1165"/>
    <mergeCell ref="A1204:B1204"/>
    <mergeCell ref="A1213:D1213"/>
    <mergeCell ref="B1214:B1215"/>
    <mergeCell ref="A1221:E1221"/>
    <mergeCell ref="C1222:E1222"/>
    <mergeCell ref="A1231:C1231"/>
    <mergeCell ref="A1166:F1166"/>
    <mergeCell ref="A1172:D1172"/>
    <mergeCell ref="C1173:D1173"/>
    <mergeCell ref="A1174:D1174"/>
    <mergeCell ref="A1179:D1179"/>
    <mergeCell ref="A1191:B1191"/>
    <mergeCell ref="A1237:E1237"/>
    <mergeCell ref="A1239:E1239"/>
    <mergeCell ref="A1244:E1244"/>
    <mergeCell ref="A1248:F1248"/>
    <mergeCell ref="A1249:A1250"/>
    <mergeCell ref="B1249:B1250"/>
    <mergeCell ref="C1249:C1250"/>
    <mergeCell ref="E1249:E1250"/>
    <mergeCell ref="F1249:F1250"/>
    <mergeCell ref="A1289:B1289"/>
    <mergeCell ref="A1298:D1298"/>
    <mergeCell ref="B1299:B1300"/>
    <mergeCell ref="A1306:E1306"/>
    <mergeCell ref="C1307:E1307"/>
    <mergeCell ref="A1316:C1316"/>
    <mergeCell ref="A1251:F1251"/>
    <mergeCell ref="A1257:D1257"/>
    <mergeCell ref="C1258:D1258"/>
    <mergeCell ref="A1259:D1259"/>
    <mergeCell ref="A1264:D1264"/>
    <mergeCell ref="A1276:B1276"/>
    <mergeCell ref="A1322:E1322"/>
    <mergeCell ref="A1324:E1324"/>
    <mergeCell ref="A1329:E1329"/>
    <mergeCell ref="A1333:F1333"/>
    <mergeCell ref="A1334:A1335"/>
    <mergeCell ref="B1334:B1335"/>
    <mergeCell ref="C1334:C1335"/>
    <mergeCell ref="E1334:E1335"/>
    <mergeCell ref="F1334:F1335"/>
    <mergeCell ref="A1374:B1374"/>
    <mergeCell ref="A1383:D1383"/>
    <mergeCell ref="B1384:B1385"/>
    <mergeCell ref="A1391:E1391"/>
    <mergeCell ref="C1392:E1392"/>
    <mergeCell ref="A1401:C1401"/>
    <mergeCell ref="A1336:F1336"/>
    <mergeCell ref="A1342:D1342"/>
    <mergeCell ref="C1343:D1343"/>
    <mergeCell ref="A1344:D1344"/>
    <mergeCell ref="A1349:D1349"/>
    <mergeCell ref="A1361:B1361"/>
    <mergeCell ref="A1407:E1407"/>
    <mergeCell ref="A1409:E1409"/>
    <mergeCell ref="A1414:E1414"/>
    <mergeCell ref="A1418:F1418"/>
    <mergeCell ref="A1419:A1420"/>
    <mergeCell ref="B1419:B1420"/>
    <mergeCell ref="C1419:C1420"/>
    <mergeCell ref="E1419:E1420"/>
    <mergeCell ref="F1419:F1420"/>
    <mergeCell ref="A1459:B1459"/>
    <mergeCell ref="A1468:D1468"/>
    <mergeCell ref="B1469:B1470"/>
    <mergeCell ref="A1476:E1476"/>
    <mergeCell ref="C1477:E1477"/>
    <mergeCell ref="A1486:C1486"/>
    <mergeCell ref="A1421:F1421"/>
    <mergeCell ref="A1427:D1427"/>
    <mergeCell ref="C1428:D1428"/>
    <mergeCell ref="A1429:D1429"/>
    <mergeCell ref="A1434:D1434"/>
    <mergeCell ref="A1446:B1446"/>
    <mergeCell ref="A1492:E1492"/>
    <mergeCell ref="A1494:E1494"/>
    <mergeCell ref="A1499:E1499"/>
    <mergeCell ref="A1503:F1503"/>
    <mergeCell ref="A1504:A1505"/>
    <mergeCell ref="B1504:B1505"/>
    <mergeCell ref="C1504:C1505"/>
    <mergeCell ref="E1504:E1505"/>
    <mergeCell ref="F1504:F1505"/>
    <mergeCell ref="A1544:B1544"/>
    <mergeCell ref="A1553:D1553"/>
    <mergeCell ref="B1554:B1555"/>
    <mergeCell ref="A1561:E1561"/>
    <mergeCell ref="C1562:E1562"/>
    <mergeCell ref="A1571:C1571"/>
    <mergeCell ref="A1506:F1506"/>
    <mergeCell ref="A1512:D1512"/>
    <mergeCell ref="C1513:D1513"/>
    <mergeCell ref="A1514:D1514"/>
    <mergeCell ref="A1519:D1519"/>
    <mergeCell ref="A1531:B1531"/>
    <mergeCell ref="A1577:E1577"/>
    <mergeCell ref="A1579:E1579"/>
    <mergeCell ref="A1584:E1584"/>
    <mergeCell ref="A1588:F1588"/>
    <mergeCell ref="A1589:A1590"/>
    <mergeCell ref="B1589:B1590"/>
    <mergeCell ref="C1589:C1590"/>
    <mergeCell ref="E1589:E1590"/>
    <mergeCell ref="F1589:F1590"/>
    <mergeCell ref="A1629:B1629"/>
    <mergeCell ref="A1638:D1638"/>
    <mergeCell ref="B1639:B1640"/>
    <mergeCell ref="A1646:E1646"/>
    <mergeCell ref="C1647:E1647"/>
    <mergeCell ref="A1656:C1656"/>
    <mergeCell ref="A1591:F1591"/>
    <mergeCell ref="A1597:D1597"/>
    <mergeCell ref="C1598:D1598"/>
    <mergeCell ref="A1599:D1599"/>
    <mergeCell ref="A1604:D1604"/>
    <mergeCell ref="A1616:B1616"/>
    <mergeCell ref="A1662:E1662"/>
    <mergeCell ref="A1664:E1664"/>
    <mergeCell ref="A1669:E1669"/>
    <mergeCell ref="A1673:F1673"/>
    <mergeCell ref="A1674:A1675"/>
    <mergeCell ref="B1674:B1675"/>
    <mergeCell ref="C1674:C1675"/>
    <mergeCell ref="E1674:E1675"/>
    <mergeCell ref="F1674:F1675"/>
    <mergeCell ref="A1714:B1714"/>
    <mergeCell ref="A1723:D1723"/>
    <mergeCell ref="B1724:B1725"/>
    <mergeCell ref="A1731:E1731"/>
    <mergeCell ref="C1732:E1732"/>
    <mergeCell ref="A1741:C1741"/>
    <mergeCell ref="A1676:F1676"/>
    <mergeCell ref="A1682:D1682"/>
    <mergeCell ref="C1683:D1683"/>
    <mergeCell ref="A1684:D1684"/>
    <mergeCell ref="A1689:D1689"/>
    <mergeCell ref="A1701:B1701"/>
    <mergeCell ref="A1747:E1747"/>
    <mergeCell ref="A1749:E1749"/>
    <mergeCell ref="A1754:E1754"/>
    <mergeCell ref="A1758:F1758"/>
    <mergeCell ref="A1759:A1760"/>
    <mergeCell ref="B1759:B1760"/>
    <mergeCell ref="C1759:C1760"/>
    <mergeCell ref="E1759:E1760"/>
    <mergeCell ref="F1759:F1760"/>
    <mergeCell ref="A1799:B1799"/>
    <mergeCell ref="A1808:D1808"/>
    <mergeCell ref="B1809:B1810"/>
    <mergeCell ref="A1816:E1816"/>
    <mergeCell ref="C1817:E1817"/>
    <mergeCell ref="A1826:C1826"/>
    <mergeCell ref="A1761:F1761"/>
    <mergeCell ref="A1767:D1767"/>
    <mergeCell ref="C1768:D1768"/>
    <mergeCell ref="A1769:D1769"/>
    <mergeCell ref="A1774:D1774"/>
    <mergeCell ref="A1786:B1786"/>
    <mergeCell ref="A1832:E1832"/>
    <mergeCell ref="A1834:E1834"/>
    <mergeCell ref="A1839:E1839"/>
    <mergeCell ref="A1843:F1843"/>
    <mergeCell ref="A1844:A1845"/>
    <mergeCell ref="B1844:B1845"/>
    <mergeCell ref="C1844:C1845"/>
    <mergeCell ref="E1844:E1845"/>
    <mergeCell ref="F1844:F1845"/>
    <mergeCell ref="A1884:B1884"/>
    <mergeCell ref="A1893:D1893"/>
    <mergeCell ref="B1894:B1895"/>
    <mergeCell ref="A1901:E1901"/>
    <mergeCell ref="C1902:E1902"/>
    <mergeCell ref="A1911:C1911"/>
    <mergeCell ref="A1846:F1846"/>
    <mergeCell ref="A1852:D1852"/>
    <mergeCell ref="C1853:D1853"/>
    <mergeCell ref="A1854:D1854"/>
    <mergeCell ref="A1859:D1859"/>
    <mergeCell ref="A1871:B1871"/>
    <mergeCell ref="A1917:E1917"/>
    <mergeCell ref="A1919:E1919"/>
    <mergeCell ref="A1924:E1924"/>
    <mergeCell ref="A1928:F1928"/>
    <mergeCell ref="A1929:A1930"/>
    <mergeCell ref="B1929:B1930"/>
    <mergeCell ref="C1929:C1930"/>
    <mergeCell ref="E1929:E1930"/>
    <mergeCell ref="F1929:F1930"/>
    <mergeCell ref="A1969:B1969"/>
    <mergeCell ref="A1978:D1978"/>
    <mergeCell ref="B1979:B1980"/>
    <mergeCell ref="A1986:E1986"/>
    <mergeCell ref="C1987:E1987"/>
    <mergeCell ref="A1996:C1996"/>
    <mergeCell ref="A1931:F1931"/>
    <mergeCell ref="A1937:D1937"/>
    <mergeCell ref="C1938:D1938"/>
    <mergeCell ref="A1939:D1939"/>
    <mergeCell ref="A1944:D1944"/>
    <mergeCell ref="A1956:B1956"/>
    <mergeCell ref="A2002:E2002"/>
    <mergeCell ref="A2004:E2004"/>
    <mergeCell ref="A2009:E2009"/>
    <mergeCell ref="A2013:F2013"/>
    <mergeCell ref="A2014:A2015"/>
    <mergeCell ref="B2014:B2015"/>
    <mergeCell ref="C2014:C2015"/>
    <mergeCell ref="E2014:E2015"/>
    <mergeCell ref="F2014:F2015"/>
    <mergeCell ref="A2054:B2054"/>
    <mergeCell ref="A2063:D2063"/>
    <mergeCell ref="B2064:B2065"/>
    <mergeCell ref="A2071:E2071"/>
    <mergeCell ref="C2072:E2072"/>
    <mergeCell ref="A2081:C2081"/>
    <mergeCell ref="A2016:F2016"/>
    <mergeCell ref="A2022:D2022"/>
    <mergeCell ref="C2023:D2023"/>
    <mergeCell ref="A2024:D2024"/>
    <mergeCell ref="A2029:D2029"/>
    <mergeCell ref="A2041:B2041"/>
    <mergeCell ref="A2087:E2087"/>
    <mergeCell ref="A2089:E2089"/>
    <mergeCell ref="A2094:E2094"/>
    <mergeCell ref="A2098:F2098"/>
    <mergeCell ref="A2099:A2100"/>
    <mergeCell ref="B2099:B2100"/>
    <mergeCell ref="C2099:C2100"/>
    <mergeCell ref="E2099:E2100"/>
    <mergeCell ref="F2099:F2100"/>
    <mergeCell ref="A2139:B2139"/>
    <mergeCell ref="A2148:D2148"/>
    <mergeCell ref="B2149:B2150"/>
    <mergeCell ref="A2156:E2156"/>
    <mergeCell ref="C2157:E2157"/>
    <mergeCell ref="A2166:C2166"/>
    <mergeCell ref="A2101:F2101"/>
    <mergeCell ref="A2107:D2107"/>
    <mergeCell ref="C2108:D2108"/>
    <mergeCell ref="A2109:D2109"/>
    <mergeCell ref="A2114:D2114"/>
    <mergeCell ref="A2126:B2126"/>
    <mergeCell ref="A2172:E2172"/>
    <mergeCell ref="A2174:E2174"/>
    <mergeCell ref="A2179:E2179"/>
    <mergeCell ref="A2183:F2183"/>
    <mergeCell ref="A2184:A2185"/>
    <mergeCell ref="B2184:B2185"/>
    <mergeCell ref="C2184:C2185"/>
    <mergeCell ref="E2184:E2185"/>
    <mergeCell ref="F2184:F2185"/>
    <mergeCell ref="A2224:B2224"/>
    <mergeCell ref="A2233:D2233"/>
    <mergeCell ref="B2234:B2235"/>
    <mergeCell ref="A2241:E2241"/>
    <mergeCell ref="C2242:E2242"/>
    <mergeCell ref="A2251:C2251"/>
    <mergeCell ref="A2186:F2186"/>
    <mergeCell ref="A2192:D2192"/>
    <mergeCell ref="C2193:D2193"/>
    <mergeCell ref="A2194:D2194"/>
    <mergeCell ref="A2199:D2199"/>
    <mergeCell ref="A2211:B2211"/>
    <mergeCell ref="A2257:E2257"/>
    <mergeCell ref="A2259:E2259"/>
    <mergeCell ref="A2264:E2264"/>
    <mergeCell ref="A2268:F2268"/>
    <mergeCell ref="A2269:A2270"/>
    <mergeCell ref="B2269:B2270"/>
    <mergeCell ref="C2269:C2270"/>
    <mergeCell ref="E2269:E2270"/>
    <mergeCell ref="F2269:F2270"/>
    <mergeCell ref="A2309:B2309"/>
    <mergeCell ref="A2318:D2318"/>
    <mergeCell ref="B2319:B2320"/>
    <mergeCell ref="A2326:E2326"/>
    <mergeCell ref="C2327:E2327"/>
    <mergeCell ref="A2336:C2336"/>
    <mergeCell ref="A2271:F2271"/>
    <mergeCell ref="A2277:D2277"/>
    <mergeCell ref="C2278:D2278"/>
    <mergeCell ref="A2279:D2279"/>
    <mergeCell ref="A2284:D2284"/>
    <mergeCell ref="A2296:B2296"/>
    <mergeCell ref="A2342:E2342"/>
    <mergeCell ref="A2344:E2344"/>
    <mergeCell ref="A2349:E2349"/>
    <mergeCell ref="A2353:F2353"/>
    <mergeCell ref="A2354:A2355"/>
    <mergeCell ref="B2354:B2355"/>
    <mergeCell ref="C2354:C2355"/>
    <mergeCell ref="E2354:E2355"/>
    <mergeCell ref="F2354:F2355"/>
    <mergeCell ref="A2394:B2394"/>
    <mergeCell ref="A2403:D2403"/>
    <mergeCell ref="B2404:B2405"/>
    <mergeCell ref="A2411:E2411"/>
    <mergeCell ref="C2412:E2412"/>
    <mergeCell ref="A2421:C2421"/>
    <mergeCell ref="A2356:F2356"/>
    <mergeCell ref="A2362:D2362"/>
    <mergeCell ref="C2363:D2363"/>
    <mergeCell ref="A2364:D2364"/>
    <mergeCell ref="A2369:D2369"/>
    <mergeCell ref="A2381:B2381"/>
    <mergeCell ref="A2427:E2427"/>
    <mergeCell ref="A2429:E2429"/>
    <mergeCell ref="A2434:E2434"/>
    <mergeCell ref="A2438:F2438"/>
    <mergeCell ref="A2439:A2440"/>
    <mergeCell ref="B2439:B2440"/>
    <mergeCell ref="C2439:C2440"/>
    <mergeCell ref="E2439:E2440"/>
    <mergeCell ref="F2439:F2440"/>
    <mergeCell ref="A2479:B2479"/>
    <mergeCell ref="A2488:D2488"/>
    <mergeCell ref="B2489:B2490"/>
    <mergeCell ref="A2496:E2496"/>
    <mergeCell ref="C2497:E2497"/>
    <mergeCell ref="A2506:C2506"/>
    <mergeCell ref="A2441:F2441"/>
    <mergeCell ref="A2447:D2447"/>
    <mergeCell ref="C2448:D2448"/>
    <mergeCell ref="A2449:D2449"/>
    <mergeCell ref="A2454:D2454"/>
    <mergeCell ref="A2466:B2466"/>
    <mergeCell ref="A2512:E2512"/>
    <mergeCell ref="A2514:E2514"/>
    <mergeCell ref="A2519:E2519"/>
    <mergeCell ref="A2523:F2523"/>
    <mergeCell ref="A2524:A2525"/>
    <mergeCell ref="B2524:B2525"/>
    <mergeCell ref="C2524:C2525"/>
    <mergeCell ref="E2524:E2525"/>
    <mergeCell ref="F2524:F2525"/>
    <mergeCell ref="A2564:B2564"/>
    <mergeCell ref="A2573:D2573"/>
    <mergeCell ref="B2574:B2575"/>
    <mergeCell ref="A2581:E2581"/>
    <mergeCell ref="C2582:E2582"/>
    <mergeCell ref="A2591:C2591"/>
    <mergeCell ref="A2526:F2526"/>
    <mergeCell ref="A2532:D2532"/>
    <mergeCell ref="C2533:D2533"/>
    <mergeCell ref="A2534:D2534"/>
    <mergeCell ref="A2539:D2539"/>
    <mergeCell ref="A2551:B2551"/>
    <mergeCell ref="A2597:E2597"/>
    <mergeCell ref="A2599:E2599"/>
    <mergeCell ref="A2604:E2604"/>
    <mergeCell ref="A2608:F2608"/>
    <mergeCell ref="A2609:A2610"/>
    <mergeCell ref="B2609:B2610"/>
    <mergeCell ref="C2609:C2610"/>
    <mergeCell ref="E2609:E2610"/>
    <mergeCell ref="F2609:F2610"/>
    <mergeCell ref="A2649:B2649"/>
    <mergeCell ref="A2658:D2658"/>
    <mergeCell ref="B2659:B2660"/>
    <mergeCell ref="A2666:E2666"/>
    <mergeCell ref="C2667:E2667"/>
    <mergeCell ref="A2676:C2676"/>
    <mergeCell ref="A2611:F2611"/>
    <mergeCell ref="A2617:D2617"/>
    <mergeCell ref="C2618:D2618"/>
    <mergeCell ref="A2619:D2619"/>
    <mergeCell ref="A2624:D2624"/>
    <mergeCell ref="A2636:B2636"/>
    <mergeCell ref="A2696:F2696"/>
    <mergeCell ref="A2702:D2702"/>
    <mergeCell ref="C2703:D2703"/>
    <mergeCell ref="A2704:D2704"/>
    <mergeCell ref="A2709:D2709"/>
    <mergeCell ref="A2682:E2682"/>
    <mergeCell ref="A2684:E2684"/>
    <mergeCell ref="A2689:E2689"/>
    <mergeCell ref="A2693:F2693"/>
    <mergeCell ref="A2694:A2695"/>
    <mergeCell ref="B2694:B2695"/>
    <mergeCell ref="C2694:C2695"/>
    <mergeCell ref="E2694:E2695"/>
    <mergeCell ref="F2694:F2695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5401-D066-48A6-9D90-6F372AB24201}">
  <sheetPr filterMode="1"/>
  <dimension ref="A1:I449"/>
  <sheetViews>
    <sheetView tabSelected="1" topLeftCell="A206" workbookViewId="0">
      <selection activeCell="Q415" sqref="Q415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436</v>
      </c>
    </row>
    <row r="2" spans="1:2" hidden="1" x14ac:dyDescent="0.3"/>
    <row r="3" spans="1:2" ht="16.5" hidden="1" customHeight="1" x14ac:dyDescent="0.3">
      <c r="A3" s="24" t="s">
        <v>437</v>
      </c>
      <c r="B3" s="26"/>
    </row>
    <row r="4" spans="1:2" ht="26.25" hidden="1" thickBot="1" x14ac:dyDescent="0.35">
      <c r="A4" s="13" t="s">
        <v>438</v>
      </c>
      <c r="B4" s="18" t="s">
        <v>439</v>
      </c>
    </row>
    <row r="5" spans="1:2" ht="26.25" hidden="1" thickBot="1" x14ac:dyDescent="0.35">
      <c r="A5" s="13" t="s">
        <v>440</v>
      </c>
      <c r="B5" s="18" t="s">
        <v>15</v>
      </c>
    </row>
    <row r="6" spans="1:2" ht="39" hidden="1" thickBot="1" x14ac:dyDescent="0.35">
      <c r="A6" s="13" t="s">
        <v>441</v>
      </c>
      <c r="B6" s="18">
        <v>2</v>
      </c>
    </row>
    <row r="7" spans="1:2" ht="26.25" hidden="1" thickBot="1" x14ac:dyDescent="0.35">
      <c r="A7" s="13" t="s">
        <v>442</v>
      </c>
      <c r="B7" s="18" t="s">
        <v>443</v>
      </c>
    </row>
    <row r="8" spans="1:2" ht="26.25" hidden="1" thickBot="1" x14ac:dyDescent="0.35">
      <c r="A8" s="13" t="s">
        <v>76</v>
      </c>
      <c r="B8" s="18">
        <v>183</v>
      </c>
    </row>
    <row r="9" spans="1:2" ht="26.25" hidden="1" thickBot="1" x14ac:dyDescent="0.35">
      <c r="A9" s="13" t="s">
        <v>444</v>
      </c>
      <c r="B9" s="18" t="s">
        <v>445</v>
      </c>
    </row>
    <row r="10" spans="1:2" ht="26.25" hidden="1" thickBot="1" x14ac:dyDescent="0.35">
      <c r="A10" s="13" t="s">
        <v>77</v>
      </c>
      <c r="B10" s="18">
        <v>2982</v>
      </c>
    </row>
    <row r="11" spans="1:2" ht="26.25" hidden="1" thickBot="1" x14ac:dyDescent="0.35">
      <c r="A11" s="13" t="s">
        <v>446</v>
      </c>
      <c r="B11" s="18" t="s">
        <v>447</v>
      </c>
    </row>
    <row r="12" spans="1:2" ht="26.25" hidden="1" thickBot="1" x14ac:dyDescent="0.35">
      <c r="A12" s="13" t="s">
        <v>448</v>
      </c>
      <c r="B12" s="18" t="s">
        <v>449</v>
      </c>
    </row>
    <row r="13" spans="1:2" ht="39" hidden="1" thickBot="1" x14ac:dyDescent="0.35">
      <c r="A13" s="13" t="s">
        <v>450</v>
      </c>
      <c r="B13" s="18" t="s">
        <v>451</v>
      </c>
    </row>
    <row r="14" spans="1:2" ht="38.25" hidden="1" x14ac:dyDescent="0.3">
      <c r="A14" s="14" t="s">
        <v>452</v>
      </c>
      <c r="B14" s="29" t="s">
        <v>453</v>
      </c>
    </row>
    <row r="15" spans="1:2" hidden="1" x14ac:dyDescent="0.3"/>
    <row r="16" spans="1:2" ht="33" hidden="1" customHeight="1" x14ac:dyDescent="0.3">
      <c r="A16" s="24" t="s">
        <v>80</v>
      </c>
      <c r="B16" s="26"/>
    </row>
    <row r="17" spans="1:4" ht="33.75" hidden="1" thickBot="1" x14ac:dyDescent="0.35">
      <c r="A17" s="13" t="s">
        <v>81</v>
      </c>
      <c r="B17" s="2" t="s">
        <v>82</v>
      </c>
    </row>
    <row r="18" spans="1:4" ht="66" hidden="1" x14ac:dyDescent="0.3">
      <c r="A18" s="14" t="s">
        <v>452</v>
      </c>
      <c r="B18" s="2" t="s">
        <v>453</v>
      </c>
    </row>
    <row r="19" spans="1:4" hidden="1" x14ac:dyDescent="0.3"/>
    <row r="20" spans="1:4" ht="39" hidden="1" thickBot="1" x14ac:dyDescent="0.35">
      <c r="A20" s="20" t="s">
        <v>454</v>
      </c>
      <c r="B20" s="21">
        <v>68635</v>
      </c>
    </row>
    <row r="21" spans="1:4" ht="39" hidden="1" thickBot="1" x14ac:dyDescent="0.35">
      <c r="A21" s="13" t="s">
        <v>455</v>
      </c>
      <c r="B21" s="2">
        <v>68635</v>
      </c>
    </row>
    <row r="22" spans="1:4" ht="39" hidden="1" thickBot="1" x14ac:dyDescent="0.35">
      <c r="A22" s="13" t="s">
        <v>456</v>
      </c>
      <c r="B22" s="2">
        <v>30251936</v>
      </c>
    </row>
    <row r="23" spans="1:4" ht="38.25" hidden="1" x14ac:dyDescent="0.3">
      <c r="A23" s="14" t="s">
        <v>457</v>
      </c>
      <c r="B23" s="2">
        <v>30251936</v>
      </c>
    </row>
    <row r="24" spans="1:4" hidden="1" x14ac:dyDescent="0.3"/>
    <row r="25" spans="1:4" ht="16.5" hidden="1" customHeight="1" x14ac:dyDescent="0.3">
      <c r="A25" s="24" t="s">
        <v>458</v>
      </c>
      <c r="B25" s="26"/>
      <c r="C25" s="26"/>
      <c r="D25" s="26"/>
    </row>
    <row r="26" spans="1:4" hidden="1" x14ac:dyDescent="0.3">
      <c r="A26" s="6" t="s">
        <v>459</v>
      </c>
      <c r="B26" s="27" t="s">
        <v>15</v>
      </c>
      <c r="C26" s="3" t="s">
        <v>93</v>
      </c>
      <c r="D26" s="3" t="s">
        <v>93</v>
      </c>
    </row>
    <row r="27" spans="1:4" ht="33" hidden="1" x14ac:dyDescent="0.3">
      <c r="A27" s="6" t="s">
        <v>460</v>
      </c>
      <c r="B27" s="27"/>
      <c r="C27" s="3" t="s">
        <v>86</v>
      </c>
      <c r="D27" s="3" t="s">
        <v>461</v>
      </c>
    </row>
    <row r="28" spans="1:4" ht="17.25" hidden="1" thickBot="1" x14ac:dyDescent="0.35">
      <c r="A28" s="6">
        <v>1</v>
      </c>
      <c r="B28" s="17">
        <v>0</v>
      </c>
      <c r="C28" s="2">
        <v>53910</v>
      </c>
      <c r="D28" s="2">
        <v>25120748</v>
      </c>
    </row>
    <row r="29" spans="1:4" hidden="1" x14ac:dyDescent="0.3">
      <c r="A29" s="6">
        <v>2</v>
      </c>
      <c r="B29" s="22">
        <v>1</v>
      </c>
      <c r="C29" s="2">
        <v>14725</v>
      </c>
      <c r="D29" s="2">
        <v>5131188</v>
      </c>
    </row>
    <row r="30" spans="1:4" hidden="1" x14ac:dyDescent="0.3"/>
    <row r="31" spans="1:4" hidden="1" x14ac:dyDescent="0.3">
      <c r="A31" s="1" t="s">
        <v>651</v>
      </c>
    </row>
    <row r="32" spans="1:4" hidden="1" x14ac:dyDescent="0.3"/>
    <row r="33" spans="1:5" ht="16.5" hidden="1" customHeight="1" x14ac:dyDescent="0.3">
      <c r="A33" s="24" t="s">
        <v>462</v>
      </c>
      <c r="B33" s="26"/>
      <c r="C33" s="26"/>
      <c r="D33" s="26"/>
      <c r="E33" s="26"/>
    </row>
    <row r="34" spans="1:5" ht="16.5" hidden="1" customHeight="1" x14ac:dyDescent="0.3">
      <c r="A34" s="6" t="s">
        <v>463</v>
      </c>
      <c r="B34" s="3" t="s">
        <v>460</v>
      </c>
      <c r="C34" s="27" t="s">
        <v>464</v>
      </c>
      <c r="D34" s="27"/>
      <c r="E34" s="27"/>
    </row>
    <row r="35" spans="1:5" ht="17.25" thickBot="1" x14ac:dyDescent="0.35">
      <c r="A35" s="13" t="s">
        <v>22</v>
      </c>
      <c r="B35" s="12">
        <v>1</v>
      </c>
      <c r="C35" s="2">
        <v>0</v>
      </c>
      <c r="D35" s="2">
        <v>0</v>
      </c>
      <c r="E35" s="2">
        <v>0</v>
      </c>
    </row>
    <row r="36" spans="1:5" ht="17.25" hidden="1" thickBot="1" x14ac:dyDescent="0.35">
      <c r="A36" s="13"/>
      <c r="B36" s="12">
        <v>2</v>
      </c>
      <c r="C36" s="2">
        <v>1</v>
      </c>
      <c r="D36" s="2">
        <v>0</v>
      </c>
      <c r="E36" s="2">
        <v>0</v>
      </c>
    </row>
    <row r="37" spans="1:5" ht="17.25" hidden="1" thickBot="1" x14ac:dyDescent="0.35">
      <c r="A37" s="13"/>
      <c r="B37" s="12">
        <v>3</v>
      </c>
      <c r="C37" s="2">
        <v>0</v>
      </c>
      <c r="D37" s="2">
        <v>1</v>
      </c>
      <c r="E37" s="2">
        <v>0</v>
      </c>
    </row>
    <row r="38" spans="1:5" hidden="1" x14ac:dyDescent="0.3">
      <c r="A38" s="14"/>
      <c r="B38" s="15">
        <v>4</v>
      </c>
      <c r="C38" s="2">
        <v>0</v>
      </c>
      <c r="D38" s="2">
        <v>0</v>
      </c>
      <c r="E38" s="2">
        <v>1</v>
      </c>
    </row>
    <row r="39" spans="1:5" hidden="1" x14ac:dyDescent="0.3"/>
    <row r="40" spans="1:5" ht="66" hidden="1" x14ac:dyDescent="0.3">
      <c r="A40" s="4" t="s">
        <v>465</v>
      </c>
    </row>
    <row r="41" spans="1:5" ht="99" hidden="1" x14ac:dyDescent="0.3">
      <c r="A41" s="23" t="s">
        <v>466</v>
      </c>
    </row>
    <row r="42" spans="1:5" hidden="1" x14ac:dyDescent="0.3"/>
    <row r="43" spans="1:5" ht="16.5" hidden="1" customHeight="1" x14ac:dyDescent="0.3">
      <c r="A43" s="24" t="s">
        <v>467</v>
      </c>
      <c r="B43" s="26"/>
      <c r="C43" s="26"/>
    </row>
    <row r="44" spans="1:5" ht="66" hidden="1" x14ac:dyDescent="0.3">
      <c r="A44" s="6" t="s">
        <v>468</v>
      </c>
      <c r="B44" s="3" t="s">
        <v>469</v>
      </c>
      <c r="C44" s="3" t="s">
        <v>470</v>
      </c>
    </row>
    <row r="45" spans="1:5" ht="17.25" hidden="1" thickBot="1" x14ac:dyDescent="0.35">
      <c r="A45" s="13" t="s">
        <v>471</v>
      </c>
      <c r="B45" s="2">
        <v>27545935</v>
      </c>
      <c r="C45" s="2">
        <v>21098989</v>
      </c>
    </row>
    <row r="46" spans="1:5" ht="17.25" hidden="1" thickBot="1" x14ac:dyDescent="0.35">
      <c r="A46" s="13" t="s">
        <v>472</v>
      </c>
      <c r="B46" s="2">
        <v>27545950</v>
      </c>
      <c r="C46" s="2">
        <v>21099202</v>
      </c>
    </row>
    <row r="47" spans="1:5" hidden="1" x14ac:dyDescent="0.3">
      <c r="A47" s="14" t="s">
        <v>473</v>
      </c>
      <c r="B47" s="2" t="s">
        <v>652</v>
      </c>
      <c r="C47" s="2">
        <v>21098961</v>
      </c>
    </row>
    <row r="48" spans="1:5" hidden="1" x14ac:dyDescent="0.3"/>
    <row r="49" spans="1:5" ht="16.5" hidden="1" customHeight="1" x14ac:dyDescent="0.3">
      <c r="A49" s="24" t="s">
        <v>474</v>
      </c>
      <c r="B49" s="26"/>
      <c r="C49" s="26"/>
      <c r="D49" s="26"/>
      <c r="E49" s="26"/>
    </row>
    <row r="50" spans="1:5" hidden="1" x14ac:dyDescent="0.3">
      <c r="A50" s="6" t="s">
        <v>475</v>
      </c>
      <c r="B50" s="3" t="s">
        <v>476</v>
      </c>
      <c r="C50" s="3" t="s">
        <v>477</v>
      </c>
      <c r="D50" s="3" t="s">
        <v>478</v>
      </c>
      <c r="E50" s="3" t="s">
        <v>479</v>
      </c>
    </row>
    <row r="51" spans="1:5" ht="33" hidden="1" customHeight="1" x14ac:dyDescent="0.3">
      <c r="A51" s="25" t="s">
        <v>653</v>
      </c>
      <c r="B51" s="30"/>
      <c r="C51" s="30"/>
      <c r="D51" s="30"/>
      <c r="E51" s="30"/>
    </row>
    <row r="52" spans="1:5" ht="26.25" hidden="1" thickBot="1" x14ac:dyDescent="0.35">
      <c r="A52" s="13" t="s">
        <v>481</v>
      </c>
      <c r="B52" s="2">
        <v>1095.1600000000001</v>
      </c>
      <c r="C52" s="2">
        <v>12.880599999999999</v>
      </c>
      <c r="D52" s="2">
        <v>36053</v>
      </c>
      <c r="E52" s="2" t="s">
        <v>482</v>
      </c>
    </row>
    <row r="53" spans="1:5" ht="17.25" hidden="1" thickBot="1" x14ac:dyDescent="0.35">
      <c r="A53" s="13" t="s">
        <v>483</v>
      </c>
      <c r="B53" s="2">
        <v>751.09</v>
      </c>
      <c r="C53" s="2">
        <v>13</v>
      </c>
      <c r="D53" s="2">
        <v>2787</v>
      </c>
      <c r="E53" s="2" t="s">
        <v>482</v>
      </c>
    </row>
    <row r="54" spans="1:5" hidden="1" x14ac:dyDescent="0.3">
      <c r="A54" s="14" t="s">
        <v>484</v>
      </c>
      <c r="B54" s="2">
        <v>728.18</v>
      </c>
      <c r="C54" s="2">
        <v>13</v>
      </c>
      <c r="D54" s="2">
        <v>2787</v>
      </c>
      <c r="E54" s="2" t="s">
        <v>482</v>
      </c>
    </row>
    <row r="55" spans="1:5" hidden="1" x14ac:dyDescent="0.3"/>
    <row r="56" spans="1:5" ht="16.5" hidden="1" customHeight="1" x14ac:dyDescent="0.3">
      <c r="A56" s="24" t="s">
        <v>485</v>
      </c>
      <c r="B56" s="26"/>
      <c r="C56" s="26"/>
      <c r="D56" s="26"/>
      <c r="E56" s="26"/>
    </row>
    <row r="57" spans="1:5" hidden="1" x14ac:dyDescent="0.3">
      <c r="A57" s="6" t="s">
        <v>486</v>
      </c>
      <c r="B57" s="3" t="s">
        <v>476</v>
      </c>
      <c r="C57" s="3" t="s">
        <v>477</v>
      </c>
      <c r="D57" s="3" t="s">
        <v>478</v>
      </c>
      <c r="E57" s="3" t="s">
        <v>479</v>
      </c>
    </row>
    <row r="58" spans="1:5" ht="17.25" thickBot="1" x14ac:dyDescent="0.35">
      <c r="A58" s="13" t="s">
        <v>22</v>
      </c>
      <c r="B58" s="2">
        <v>220.87</v>
      </c>
      <c r="C58" s="2">
        <v>3</v>
      </c>
      <c r="D58" s="2">
        <v>2797</v>
      </c>
      <c r="E58" s="2" t="s">
        <v>482</v>
      </c>
    </row>
    <row r="59" spans="1:5" ht="17.25" hidden="1" thickBot="1" x14ac:dyDescent="0.35">
      <c r="A59" s="13" t="s">
        <v>1</v>
      </c>
      <c r="B59" s="2">
        <v>3040.69</v>
      </c>
      <c r="C59" s="2">
        <v>1</v>
      </c>
      <c r="D59" s="2">
        <v>2799</v>
      </c>
      <c r="E59" s="2" t="s">
        <v>482</v>
      </c>
    </row>
    <row r="60" spans="1:5" ht="17.25" hidden="1" thickBot="1" x14ac:dyDescent="0.35">
      <c r="A60" s="13" t="s">
        <v>5</v>
      </c>
      <c r="B60" s="2">
        <v>148.81</v>
      </c>
      <c r="C60" s="2">
        <v>1</v>
      </c>
      <c r="D60" s="2">
        <v>2799</v>
      </c>
      <c r="E60" s="2" t="s">
        <v>482</v>
      </c>
    </row>
    <row r="61" spans="1:5" ht="17.25" hidden="1" thickBot="1" x14ac:dyDescent="0.35">
      <c r="A61" s="13" t="s">
        <v>6</v>
      </c>
      <c r="B61" s="2">
        <v>1.06</v>
      </c>
      <c r="C61" s="2">
        <v>1</v>
      </c>
      <c r="D61" s="2">
        <v>2799</v>
      </c>
      <c r="E61" s="2">
        <v>0.30430000000000001</v>
      </c>
    </row>
    <row r="62" spans="1:5" ht="17.25" hidden="1" thickBot="1" x14ac:dyDescent="0.35">
      <c r="A62" s="13" t="s">
        <v>7</v>
      </c>
      <c r="B62" s="2">
        <v>263.95999999999998</v>
      </c>
      <c r="C62" s="2">
        <v>1</v>
      </c>
      <c r="D62" s="2">
        <v>2799</v>
      </c>
      <c r="E62" s="2" t="s">
        <v>482</v>
      </c>
    </row>
    <row r="63" spans="1:5" ht="17.25" hidden="1" thickBot="1" x14ac:dyDescent="0.35">
      <c r="A63" s="13" t="s">
        <v>8</v>
      </c>
      <c r="B63" s="2">
        <v>0.01</v>
      </c>
      <c r="C63" s="2">
        <v>1</v>
      </c>
      <c r="D63" s="2">
        <v>2799</v>
      </c>
      <c r="E63" s="2">
        <v>0.9345</v>
      </c>
    </row>
    <row r="64" spans="1:5" ht="17.25" hidden="1" thickBot="1" x14ac:dyDescent="0.35">
      <c r="A64" s="13" t="s">
        <v>10</v>
      </c>
      <c r="B64" s="2">
        <v>75.02</v>
      </c>
      <c r="C64" s="2">
        <v>1</v>
      </c>
      <c r="D64" s="2">
        <v>2799</v>
      </c>
      <c r="E64" s="2" t="s">
        <v>482</v>
      </c>
    </row>
    <row r="65" spans="1:6" ht="17.25" hidden="1" thickBot="1" x14ac:dyDescent="0.35">
      <c r="A65" s="13" t="s">
        <v>11</v>
      </c>
      <c r="B65" s="2">
        <v>584.07000000000005</v>
      </c>
      <c r="C65" s="2">
        <v>1</v>
      </c>
      <c r="D65" s="2">
        <v>2799</v>
      </c>
      <c r="E65" s="2" t="s">
        <v>482</v>
      </c>
    </row>
    <row r="66" spans="1:6" ht="17.25" hidden="1" thickBot="1" x14ac:dyDescent="0.35">
      <c r="A66" s="13" t="s">
        <v>12</v>
      </c>
      <c r="B66" s="2">
        <v>13.56</v>
      </c>
      <c r="C66" s="2">
        <v>1</v>
      </c>
      <c r="D66" s="2">
        <v>2799</v>
      </c>
      <c r="E66" s="2">
        <v>2.0000000000000001E-4</v>
      </c>
    </row>
    <row r="67" spans="1:6" ht="17.25" hidden="1" thickBot="1" x14ac:dyDescent="0.35">
      <c r="A67" s="13" t="s">
        <v>13</v>
      </c>
      <c r="B67" s="2">
        <v>24.88</v>
      </c>
      <c r="C67" s="2">
        <v>1</v>
      </c>
      <c r="D67" s="2">
        <v>2799</v>
      </c>
      <c r="E67" s="2" t="s">
        <v>482</v>
      </c>
    </row>
    <row r="68" spans="1:6" ht="25.5" hidden="1" x14ac:dyDescent="0.3">
      <c r="A68" s="14" t="s">
        <v>14</v>
      </c>
      <c r="B68" s="2">
        <v>72.47</v>
      </c>
      <c r="C68" s="2">
        <v>1</v>
      </c>
      <c r="D68" s="2">
        <v>2799</v>
      </c>
      <c r="E68" s="2" t="s">
        <v>482</v>
      </c>
    </row>
    <row r="69" spans="1:6" hidden="1" x14ac:dyDescent="0.3"/>
    <row r="70" spans="1:6" ht="16.5" hidden="1" customHeight="1" x14ac:dyDescent="0.3">
      <c r="A70" s="24" t="s">
        <v>487</v>
      </c>
      <c r="B70" s="26"/>
      <c r="C70" s="26"/>
      <c r="D70" s="26"/>
      <c r="E70" s="26"/>
      <c r="F70" s="26"/>
    </row>
    <row r="71" spans="1:6" ht="16.5" hidden="1" customHeight="1" x14ac:dyDescent="0.3">
      <c r="A71" s="25" t="s">
        <v>488</v>
      </c>
      <c r="B71" s="27"/>
      <c r="C71" s="27" t="s">
        <v>489</v>
      </c>
      <c r="D71" s="3" t="s">
        <v>490</v>
      </c>
      <c r="E71" s="27" t="s">
        <v>492</v>
      </c>
      <c r="F71" s="27" t="s">
        <v>493</v>
      </c>
    </row>
    <row r="72" spans="1:6" hidden="1" x14ac:dyDescent="0.3">
      <c r="A72" s="25"/>
      <c r="B72" s="27"/>
      <c r="C72" s="27"/>
      <c r="D72" s="3" t="s">
        <v>491</v>
      </c>
      <c r="E72" s="27"/>
      <c r="F72" s="27"/>
    </row>
    <row r="73" spans="1:6" ht="16.5" hidden="1" customHeight="1" x14ac:dyDescent="0.3">
      <c r="A73" s="25" t="s">
        <v>494</v>
      </c>
      <c r="B73" s="30"/>
      <c r="C73" s="30"/>
      <c r="D73" s="30"/>
      <c r="E73" s="30"/>
      <c r="F73" s="30"/>
    </row>
    <row r="74" spans="1:6" ht="17.25" hidden="1" thickBot="1" x14ac:dyDescent="0.35">
      <c r="A74" s="13" t="s">
        <v>495</v>
      </c>
      <c r="B74" s="12"/>
      <c r="C74" s="16">
        <v>-4.2310999999999996</v>
      </c>
      <c r="D74" s="2">
        <v>0.1757</v>
      </c>
      <c r="E74" s="16">
        <v>-24.08</v>
      </c>
      <c r="F74" s="2" t="s">
        <v>482</v>
      </c>
    </row>
    <row r="75" spans="1:6" ht="17.25" thickBot="1" x14ac:dyDescent="0.35">
      <c r="A75" s="13" t="s">
        <v>22</v>
      </c>
      <c r="B75" s="12">
        <v>2</v>
      </c>
      <c r="C75" s="2">
        <v>0.34949999999999998</v>
      </c>
      <c r="D75" s="2">
        <v>4.4900000000000002E-2</v>
      </c>
      <c r="E75" s="2">
        <v>7.79</v>
      </c>
      <c r="F75" s="2" t="s">
        <v>482</v>
      </c>
    </row>
    <row r="76" spans="1:6" ht="17.25" thickBot="1" x14ac:dyDescent="0.35">
      <c r="A76" s="13" t="s">
        <v>22</v>
      </c>
      <c r="B76" s="12">
        <v>3</v>
      </c>
      <c r="C76" s="2">
        <v>0.65820000000000001</v>
      </c>
      <c r="D76" s="2">
        <v>4.2799999999999998E-2</v>
      </c>
      <c r="E76" s="2">
        <v>15.39</v>
      </c>
      <c r="F76" s="2" t="s">
        <v>482</v>
      </c>
    </row>
    <row r="77" spans="1:6" ht="17.25" thickBot="1" x14ac:dyDescent="0.35">
      <c r="A77" s="13" t="s">
        <v>22</v>
      </c>
      <c r="B77" s="12">
        <v>4</v>
      </c>
      <c r="C77" s="2">
        <v>0.9859</v>
      </c>
      <c r="D77" s="2">
        <v>4.24E-2</v>
      </c>
      <c r="E77" s="2">
        <v>23.26</v>
      </c>
      <c r="F77" s="2" t="s">
        <v>482</v>
      </c>
    </row>
    <row r="78" spans="1:6" ht="17.25" hidden="1" thickBot="1" x14ac:dyDescent="0.35">
      <c r="A78" s="13" t="s">
        <v>1</v>
      </c>
      <c r="B78" s="12"/>
      <c r="C78" s="2">
        <v>1.4282999999999999</v>
      </c>
      <c r="D78" s="2">
        <v>2.5899999999999999E-2</v>
      </c>
      <c r="E78" s="2">
        <v>55.14</v>
      </c>
      <c r="F78" s="2" t="s">
        <v>482</v>
      </c>
    </row>
    <row r="79" spans="1:6" ht="17.25" hidden="1" thickBot="1" x14ac:dyDescent="0.35">
      <c r="A79" s="13" t="s">
        <v>5</v>
      </c>
      <c r="B79" s="12"/>
      <c r="C79" s="16">
        <v>-0.36599999999999999</v>
      </c>
      <c r="D79" s="2">
        <v>0.03</v>
      </c>
      <c r="E79" s="16">
        <v>-12.2</v>
      </c>
      <c r="F79" s="2" t="s">
        <v>482</v>
      </c>
    </row>
    <row r="80" spans="1:6" ht="17.25" hidden="1" thickBot="1" x14ac:dyDescent="0.35">
      <c r="A80" s="13" t="s">
        <v>6</v>
      </c>
      <c r="B80" s="12"/>
      <c r="C80" s="16">
        <v>-3.6299999999999999E-2</v>
      </c>
      <c r="D80" s="2">
        <v>3.5299999999999998E-2</v>
      </c>
      <c r="E80" s="16">
        <v>-1.03</v>
      </c>
      <c r="F80" s="2">
        <v>0.30430000000000001</v>
      </c>
    </row>
    <row r="81" spans="1:9" ht="17.25" hidden="1" thickBot="1" x14ac:dyDescent="0.35">
      <c r="A81" s="13" t="s">
        <v>7</v>
      </c>
      <c r="B81" s="12"/>
      <c r="C81" s="16">
        <v>-0.23619999999999999</v>
      </c>
      <c r="D81" s="2">
        <v>1.4500000000000001E-2</v>
      </c>
      <c r="E81" s="16">
        <v>-16.25</v>
      </c>
      <c r="F81" s="2" t="s">
        <v>482</v>
      </c>
    </row>
    <row r="82" spans="1:9" ht="17.25" hidden="1" thickBot="1" x14ac:dyDescent="0.35">
      <c r="A82" s="13" t="s">
        <v>8</v>
      </c>
      <c r="B82" s="12"/>
      <c r="C82" s="16">
        <v>-1.1199999999999999E-3</v>
      </c>
      <c r="D82" s="2">
        <v>1.37E-2</v>
      </c>
      <c r="E82" s="16">
        <v>-0.08</v>
      </c>
      <c r="F82" s="2">
        <v>0.9345</v>
      </c>
    </row>
    <row r="83" spans="1:9" ht="17.25" hidden="1" thickBot="1" x14ac:dyDescent="0.35">
      <c r="A83" s="13" t="s">
        <v>10</v>
      </c>
      <c r="B83" s="12"/>
      <c r="C83" s="16">
        <v>-0.5585</v>
      </c>
      <c r="D83" s="2">
        <v>6.4500000000000002E-2</v>
      </c>
      <c r="E83" s="16">
        <v>-8.66</v>
      </c>
      <c r="F83" s="2" t="s">
        <v>482</v>
      </c>
    </row>
    <row r="84" spans="1:9" ht="17.25" hidden="1" thickBot="1" x14ac:dyDescent="0.35">
      <c r="A84" s="13" t="s">
        <v>11</v>
      </c>
      <c r="B84" s="12"/>
      <c r="C84" s="2">
        <v>0.47560000000000002</v>
      </c>
      <c r="D84" s="2">
        <v>1.9699999999999999E-2</v>
      </c>
      <c r="E84" s="2">
        <v>24.17</v>
      </c>
      <c r="F84" s="2" t="s">
        <v>482</v>
      </c>
    </row>
    <row r="85" spans="1:9" ht="17.25" hidden="1" thickBot="1" x14ac:dyDescent="0.35">
      <c r="A85" s="13" t="s">
        <v>12</v>
      </c>
      <c r="B85" s="12"/>
      <c r="C85" s="2">
        <v>7.8299999999999995E-2</v>
      </c>
      <c r="D85" s="2">
        <v>2.1299999999999999E-2</v>
      </c>
      <c r="E85" s="2">
        <v>3.68</v>
      </c>
      <c r="F85" s="2">
        <v>2.0000000000000001E-4</v>
      </c>
    </row>
    <row r="86" spans="1:9" ht="17.25" hidden="1" thickBot="1" x14ac:dyDescent="0.35">
      <c r="A86" s="13" t="s">
        <v>13</v>
      </c>
      <c r="B86" s="12"/>
      <c r="C86" s="2">
        <v>8.6800000000000002E-2</v>
      </c>
      <c r="D86" s="2">
        <v>1.7399999999999999E-2</v>
      </c>
      <c r="E86" s="2">
        <v>4.99</v>
      </c>
      <c r="F86" s="2" t="s">
        <v>482</v>
      </c>
    </row>
    <row r="87" spans="1:9" ht="25.5" hidden="1" x14ac:dyDescent="0.3">
      <c r="A87" s="14" t="s">
        <v>14</v>
      </c>
      <c r="B87" s="15"/>
      <c r="C87" s="16">
        <v>-0.29349999999999998</v>
      </c>
      <c r="D87" s="2">
        <v>3.4500000000000003E-2</v>
      </c>
      <c r="E87" s="16">
        <v>-8.51</v>
      </c>
      <c r="F87" s="2" t="s">
        <v>482</v>
      </c>
    </row>
    <row r="88" spans="1:9" hidden="1" x14ac:dyDescent="0.3"/>
    <row r="89" spans="1:9" ht="16.5" hidden="1" customHeight="1" x14ac:dyDescent="0.3">
      <c r="A89" s="24" t="s">
        <v>496</v>
      </c>
      <c r="B89" s="26"/>
      <c r="C89" s="26"/>
      <c r="D89" s="26"/>
    </row>
    <row r="90" spans="1:9" ht="33" hidden="1" customHeight="1" x14ac:dyDescent="0.3">
      <c r="A90" s="6" t="s">
        <v>486</v>
      </c>
      <c r="B90" s="3" t="s">
        <v>497</v>
      </c>
      <c r="C90" s="27" t="s">
        <v>91</v>
      </c>
      <c r="D90" s="27"/>
    </row>
    <row r="91" spans="1:9" ht="49.5" hidden="1" customHeight="1" x14ac:dyDescent="0.3">
      <c r="A91" s="25" t="s">
        <v>498</v>
      </c>
      <c r="B91" s="30"/>
      <c r="C91" s="30"/>
      <c r="D91" s="30"/>
    </row>
    <row r="92" spans="1:9" ht="26.25" thickBot="1" x14ac:dyDescent="0.35">
      <c r="A92" s="13" t="s">
        <v>499</v>
      </c>
      <c r="B92" s="2">
        <v>1.4179999999999999</v>
      </c>
      <c r="C92" s="2">
        <v>1.2989999999999999</v>
      </c>
      <c r="D92" s="2">
        <v>1.5489999999999999</v>
      </c>
      <c r="H92" s="8" t="str">
        <f>TEXT(B92,"0.00")&amp;" ("&amp;TEXT(C92,"0.00")&amp;" to "&amp;TEXT(D92,"0.00")&amp;")"</f>
        <v>1.42 (1.30 to 1.55)</v>
      </c>
      <c r="I92" s="2" t="s">
        <v>482</v>
      </c>
    </row>
    <row r="93" spans="1:9" ht="26.25" thickBot="1" x14ac:dyDescent="0.35">
      <c r="A93" s="13" t="s">
        <v>500</v>
      </c>
      <c r="B93" s="2">
        <v>1.931</v>
      </c>
      <c r="C93" s="2">
        <v>1.776</v>
      </c>
      <c r="D93" s="2">
        <v>2.1</v>
      </c>
      <c r="H93" s="8" t="str">
        <f t="shared" ref="H93:H94" si="0">TEXT(B93,"0.00")&amp;" ("&amp;TEXT(C93,"0.00")&amp;" to "&amp;TEXT(D93,"0.00")&amp;")"</f>
        <v>1.93 (1.78 to 2.10)</v>
      </c>
      <c r="I93" s="2" t="s">
        <v>482</v>
      </c>
    </row>
    <row r="94" spans="1:9" ht="26.25" thickBot="1" x14ac:dyDescent="0.35">
      <c r="A94" s="13" t="s">
        <v>501</v>
      </c>
      <c r="B94" s="2">
        <v>2.68</v>
      </c>
      <c r="C94" s="2">
        <v>2.4670000000000001</v>
      </c>
      <c r="D94" s="2">
        <v>2.9129999999999998</v>
      </c>
      <c r="H94" s="8" t="str">
        <f t="shared" si="0"/>
        <v>2.68 (2.47 to 2.91)</v>
      </c>
      <c r="I94" s="2" t="s">
        <v>482</v>
      </c>
    </row>
    <row r="95" spans="1:9" ht="17.25" hidden="1" thickBot="1" x14ac:dyDescent="0.35">
      <c r="A95" s="13" t="s">
        <v>1</v>
      </c>
      <c r="B95" s="2">
        <v>4.1719999999999997</v>
      </c>
      <c r="C95" s="2">
        <v>3.9649999999999999</v>
      </c>
      <c r="D95" s="2">
        <v>4.3890000000000002</v>
      </c>
    </row>
    <row r="96" spans="1:9" ht="17.25" hidden="1" thickBot="1" x14ac:dyDescent="0.35">
      <c r="A96" s="13" t="s">
        <v>5</v>
      </c>
      <c r="B96" s="2">
        <v>0.69399999999999995</v>
      </c>
      <c r="C96" s="2">
        <v>0.65400000000000003</v>
      </c>
      <c r="D96" s="2">
        <v>0.73599999999999999</v>
      </c>
    </row>
    <row r="97" spans="1:4" ht="17.25" hidden="1" thickBot="1" x14ac:dyDescent="0.35">
      <c r="A97" s="13" t="s">
        <v>6</v>
      </c>
      <c r="B97" s="2">
        <v>0.96399999999999997</v>
      </c>
      <c r="C97" s="2">
        <v>0.9</v>
      </c>
      <c r="D97" s="2">
        <v>1.0329999999999999</v>
      </c>
    </row>
    <row r="98" spans="1:4" ht="17.25" hidden="1" thickBot="1" x14ac:dyDescent="0.35">
      <c r="A98" s="13" t="s">
        <v>7</v>
      </c>
      <c r="B98" s="2">
        <v>0.79</v>
      </c>
      <c r="C98" s="2">
        <v>0.76700000000000002</v>
      </c>
      <c r="D98" s="2">
        <v>0.81200000000000006</v>
      </c>
    </row>
    <row r="99" spans="1:4" ht="17.25" hidden="1" thickBot="1" x14ac:dyDescent="0.35">
      <c r="A99" s="13" t="s">
        <v>8</v>
      </c>
      <c r="B99" s="2">
        <v>0.999</v>
      </c>
      <c r="C99" s="2">
        <v>0.97199999999999998</v>
      </c>
      <c r="D99" s="2">
        <v>1.026</v>
      </c>
    </row>
    <row r="100" spans="1:4" ht="17.25" hidden="1" thickBot="1" x14ac:dyDescent="0.35">
      <c r="A100" s="13" t="s">
        <v>10</v>
      </c>
      <c r="B100" s="2">
        <v>0.57199999999999995</v>
      </c>
      <c r="C100" s="2">
        <v>0.504</v>
      </c>
      <c r="D100" s="2">
        <v>0.64900000000000002</v>
      </c>
    </row>
    <row r="101" spans="1:4" ht="17.25" hidden="1" thickBot="1" x14ac:dyDescent="0.35">
      <c r="A101" s="13" t="s">
        <v>11</v>
      </c>
      <c r="B101" s="2">
        <v>1.609</v>
      </c>
      <c r="C101" s="2">
        <v>1.548</v>
      </c>
      <c r="D101" s="2">
        <v>1.6719999999999999</v>
      </c>
    </row>
    <row r="102" spans="1:4" ht="17.25" hidden="1" thickBot="1" x14ac:dyDescent="0.35">
      <c r="A102" s="13" t="s">
        <v>12</v>
      </c>
      <c r="B102" s="2">
        <v>1.081</v>
      </c>
      <c r="C102" s="2">
        <v>1.0369999999999999</v>
      </c>
      <c r="D102" s="2">
        <v>1.1279999999999999</v>
      </c>
    </row>
    <row r="103" spans="1:4" ht="17.25" hidden="1" thickBot="1" x14ac:dyDescent="0.35">
      <c r="A103" s="13" t="s">
        <v>13</v>
      </c>
      <c r="B103" s="2">
        <v>1.091</v>
      </c>
      <c r="C103" s="2">
        <v>1.054</v>
      </c>
      <c r="D103" s="2">
        <v>1.129</v>
      </c>
    </row>
    <row r="104" spans="1:4" ht="25.5" hidden="1" x14ac:dyDescent="0.3">
      <c r="A104" s="14" t="s">
        <v>14</v>
      </c>
      <c r="B104" s="2">
        <v>0.746</v>
      </c>
      <c r="C104" s="2">
        <v>0.69699999999999995</v>
      </c>
      <c r="D104" s="2">
        <v>0.79800000000000004</v>
      </c>
    </row>
    <row r="105" spans="1:4" hidden="1" x14ac:dyDescent="0.3"/>
    <row r="106" spans="1:4" ht="33" hidden="1" customHeight="1" x14ac:dyDescent="0.3">
      <c r="A106" s="24" t="s">
        <v>502</v>
      </c>
      <c r="B106" s="26"/>
      <c r="C106" s="26"/>
      <c r="D106" s="26"/>
    </row>
    <row r="107" spans="1:4" ht="39" hidden="1" thickBot="1" x14ac:dyDescent="0.35">
      <c r="A107" s="13" t="s">
        <v>503</v>
      </c>
      <c r="B107" s="2">
        <v>82.1</v>
      </c>
      <c r="C107" s="12" t="s">
        <v>504</v>
      </c>
      <c r="D107" s="2">
        <v>0.64500000000000002</v>
      </c>
    </row>
    <row r="108" spans="1:4" ht="26.25" hidden="1" thickBot="1" x14ac:dyDescent="0.35">
      <c r="A108" s="13" t="s">
        <v>505</v>
      </c>
      <c r="B108" s="2">
        <v>17.600000000000001</v>
      </c>
      <c r="C108" s="12" t="s">
        <v>506</v>
      </c>
      <c r="D108" s="2">
        <v>0.64600000000000002</v>
      </c>
    </row>
    <row r="109" spans="1:4" ht="26.25" hidden="1" thickBot="1" x14ac:dyDescent="0.35">
      <c r="A109" s="13" t="s">
        <v>507</v>
      </c>
      <c r="B109" s="2">
        <v>0.2</v>
      </c>
      <c r="C109" s="12" t="s">
        <v>508</v>
      </c>
      <c r="D109" s="2">
        <v>0.217</v>
      </c>
    </row>
    <row r="110" spans="1:4" hidden="1" x14ac:dyDescent="0.3">
      <c r="A110" s="14" t="s">
        <v>509</v>
      </c>
      <c r="B110" s="2">
        <v>793824750</v>
      </c>
      <c r="C110" s="15" t="s">
        <v>510</v>
      </c>
      <c r="D110" s="2">
        <v>0.82199999999999995</v>
      </c>
    </row>
    <row r="111" spans="1:4" hidden="1" x14ac:dyDescent="0.3"/>
    <row r="112" spans="1:4" hidden="1" x14ac:dyDescent="0.3"/>
    <row r="113" spans="1:2" hidden="1" x14ac:dyDescent="0.3"/>
    <row r="114" spans="1:2" hidden="1" x14ac:dyDescent="0.3">
      <c r="A114" s="1" t="s">
        <v>436</v>
      </c>
    </row>
    <row r="115" spans="1:2" hidden="1" x14ac:dyDescent="0.3"/>
    <row r="116" spans="1:2" ht="16.5" hidden="1" customHeight="1" x14ac:dyDescent="0.3">
      <c r="A116" s="24" t="s">
        <v>437</v>
      </c>
      <c r="B116" s="26"/>
    </row>
    <row r="117" spans="1:2" ht="26.25" hidden="1" thickBot="1" x14ac:dyDescent="0.35">
      <c r="A117" s="13" t="s">
        <v>438</v>
      </c>
      <c r="B117" s="18" t="s">
        <v>439</v>
      </c>
    </row>
    <row r="118" spans="1:2" ht="26.25" hidden="1" thickBot="1" x14ac:dyDescent="0.35">
      <c r="A118" s="13" t="s">
        <v>440</v>
      </c>
      <c r="B118" s="18" t="s">
        <v>15</v>
      </c>
    </row>
    <row r="119" spans="1:2" ht="39" hidden="1" thickBot="1" x14ac:dyDescent="0.35">
      <c r="A119" s="13" t="s">
        <v>441</v>
      </c>
      <c r="B119" s="18">
        <v>2</v>
      </c>
    </row>
    <row r="120" spans="1:2" ht="26.25" hidden="1" thickBot="1" x14ac:dyDescent="0.35">
      <c r="A120" s="13" t="s">
        <v>442</v>
      </c>
      <c r="B120" s="18" t="s">
        <v>443</v>
      </c>
    </row>
    <row r="121" spans="1:2" ht="26.25" hidden="1" thickBot="1" x14ac:dyDescent="0.35">
      <c r="A121" s="13" t="s">
        <v>76</v>
      </c>
      <c r="B121" s="18">
        <v>183</v>
      </c>
    </row>
    <row r="122" spans="1:2" ht="26.25" hidden="1" thickBot="1" x14ac:dyDescent="0.35">
      <c r="A122" s="13" t="s">
        <v>444</v>
      </c>
      <c r="B122" s="18" t="s">
        <v>445</v>
      </c>
    </row>
    <row r="123" spans="1:2" ht="26.25" hidden="1" thickBot="1" x14ac:dyDescent="0.35">
      <c r="A123" s="13" t="s">
        <v>77</v>
      </c>
      <c r="B123" s="18">
        <v>2982</v>
      </c>
    </row>
    <row r="124" spans="1:2" ht="26.25" hidden="1" thickBot="1" x14ac:dyDescent="0.35">
      <c r="A124" s="13" t="s">
        <v>446</v>
      </c>
      <c r="B124" s="18" t="s">
        <v>447</v>
      </c>
    </row>
    <row r="125" spans="1:2" ht="26.25" hidden="1" thickBot="1" x14ac:dyDescent="0.35">
      <c r="A125" s="13" t="s">
        <v>448</v>
      </c>
      <c r="B125" s="18" t="s">
        <v>449</v>
      </c>
    </row>
    <row r="126" spans="1:2" ht="39" hidden="1" thickBot="1" x14ac:dyDescent="0.35">
      <c r="A126" s="13" t="s">
        <v>450</v>
      </c>
      <c r="B126" s="18" t="s">
        <v>451</v>
      </c>
    </row>
    <row r="127" spans="1:2" ht="38.25" hidden="1" x14ac:dyDescent="0.3">
      <c r="A127" s="14" t="s">
        <v>452</v>
      </c>
      <c r="B127" s="29" t="s">
        <v>453</v>
      </c>
    </row>
    <row r="128" spans="1:2" hidden="1" x14ac:dyDescent="0.3"/>
    <row r="129" spans="1:4" ht="33" hidden="1" customHeight="1" x14ac:dyDescent="0.3">
      <c r="A129" s="24" t="s">
        <v>80</v>
      </c>
      <c r="B129" s="26"/>
    </row>
    <row r="130" spans="1:4" ht="33.75" hidden="1" thickBot="1" x14ac:dyDescent="0.35">
      <c r="A130" s="13" t="s">
        <v>81</v>
      </c>
      <c r="B130" s="2" t="s">
        <v>82</v>
      </c>
    </row>
    <row r="131" spans="1:4" ht="66" hidden="1" x14ac:dyDescent="0.3">
      <c r="A131" s="14" t="s">
        <v>452</v>
      </c>
      <c r="B131" s="2" t="s">
        <v>453</v>
      </c>
    </row>
    <row r="132" spans="1:4" hidden="1" x14ac:dyDescent="0.3"/>
    <row r="133" spans="1:4" ht="39" hidden="1" thickBot="1" x14ac:dyDescent="0.35">
      <c r="A133" s="20" t="s">
        <v>454</v>
      </c>
      <c r="B133" s="21">
        <v>68635</v>
      </c>
    </row>
    <row r="134" spans="1:4" ht="39" hidden="1" thickBot="1" x14ac:dyDescent="0.35">
      <c r="A134" s="13" t="s">
        <v>455</v>
      </c>
      <c r="B134" s="2">
        <v>68635</v>
      </c>
    </row>
    <row r="135" spans="1:4" ht="39" hidden="1" thickBot="1" x14ac:dyDescent="0.35">
      <c r="A135" s="13" t="s">
        <v>456</v>
      </c>
      <c r="B135" s="2">
        <v>30251936</v>
      </c>
    </row>
    <row r="136" spans="1:4" ht="38.25" hidden="1" x14ac:dyDescent="0.3">
      <c r="A136" s="14" t="s">
        <v>457</v>
      </c>
      <c r="B136" s="2">
        <v>30251936</v>
      </c>
    </row>
    <row r="137" spans="1:4" hidden="1" x14ac:dyDescent="0.3"/>
    <row r="138" spans="1:4" ht="16.5" hidden="1" customHeight="1" x14ac:dyDescent="0.3">
      <c r="A138" s="24" t="s">
        <v>458</v>
      </c>
      <c r="B138" s="26"/>
      <c r="C138" s="26"/>
      <c r="D138" s="26"/>
    </row>
    <row r="139" spans="1:4" hidden="1" x14ac:dyDescent="0.3">
      <c r="A139" s="6" t="s">
        <v>459</v>
      </c>
      <c r="B139" s="27" t="s">
        <v>15</v>
      </c>
      <c r="C139" s="3" t="s">
        <v>93</v>
      </c>
      <c r="D139" s="3" t="s">
        <v>93</v>
      </c>
    </row>
    <row r="140" spans="1:4" ht="33" hidden="1" x14ac:dyDescent="0.3">
      <c r="A140" s="6" t="s">
        <v>460</v>
      </c>
      <c r="B140" s="27"/>
      <c r="C140" s="3" t="s">
        <v>86</v>
      </c>
      <c r="D140" s="3" t="s">
        <v>461</v>
      </c>
    </row>
    <row r="141" spans="1:4" ht="17.25" hidden="1" thickBot="1" x14ac:dyDescent="0.35">
      <c r="A141" s="6">
        <v>1</v>
      </c>
      <c r="B141" s="17">
        <v>0</v>
      </c>
      <c r="C141" s="2">
        <v>53910</v>
      </c>
      <c r="D141" s="2">
        <v>25120748</v>
      </c>
    </row>
    <row r="142" spans="1:4" hidden="1" x14ac:dyDescent="0.3">
      <c r="A142" s="6">
        <v>2</v>
      </c>
      <c r="B142" s="22">
        <v>1</v>
      </c>
      <c r="C142" s="2">
        <v>14725</v>
      </c>
      <c r="D142" s="2">
        <v>5131188</v>
      </c>
    </row>
    <row r="143" spans="1:4" hidden="1" x14ac:dyDescent="0.3"/>
    <row r="144" spans="1:4" hidden="1" x14ac:dyDescent="0.3">
      <c r="A144" s="1" t="s">
        <v>651</v>
      </c>
    </row>
    <row r="145" spans="1:5" hidden="1" x14ac:dyDescent="0.3"/>
    <row r="146" spans="1:5" ht="16.5" hidden="1" customHeight="1" x14ac:dyDescent="0.3">
      <c r="A146" s="24" t="s">
        <v>462</v>
      </c>
      <c r="B146" s="26"/>
      <c r="C146" s="26"/>
      <c r="D146" s="26"/>
      <c r="E146" s="26"/>
    </row>
    <row r="147" spans="1:5" ht="16.5" hidden="1" customHeight="1" x14ac:dyDescent="0.3">
      <c r="A147" s="6" t="s">
        <v>463</v>
      </c>
      <c r="B147" s="3" t="s">
        <v>460</v>
      </c>
      <c r="C147" s="27" t="s">
        <v>464</v>
      </c>
      <c r="D147" s="27"/>
      <c r="E147" s="27"/>
    </row>
    <row r="148" spans="1:5" ht="17.25" thickBot="1" x14ac:dyDescent="0.35">
      <c r="A148" s="13" t="s">
        <v>25</v>
      </c>
      <c r="B148" s="12">
        <v>1</v>
      </c>
      <c r="C148" s="2">
        <v>0</v>
      </c>
      <c r="D148" s="2">
        <v>0</v>
      </c>
      <c r="E148" s="2">
        <v>0</v>
      </c>
    </row>
    <row r="149" spans="1:5" ht="17.25" hidden="1" thickBot="1" x14ac:dyDescent="0.35">
      <c r="A149" s="13"/>
      <c r="B149" s="12">
        <v>2</v>
      </c>
      <c r="C149" s="2">
        <v>1</v>
      </c>
      <c r="D149" s="2">
        <v>0</v>
      </c>
      <c r="E149" s="2">
        <v>0</v>
      </c>
    </row>
    <row r="150" spans="1:5" ht="17.25" hidden="1" thickBot="1" x14ac:dyDescent="0.35">
      <c r="A150" s="13"/>
      <c r="B150" s="12">
        <v>3</v>
      </c>
      <c r="C150" s="2">
        <v>0</v>
      </c>
      <c r="D150" s="2">
        <v>1</v>
      </c>
      <c r="E150" s="2">
        <v>0</v>
      </c>
    </row>
    <row r="151" spans="1:5" hidden="1" x14ac:dyDescent="0.3">
      <c r="A151" s="14"/>
      <c r="B151" s="15">
        <v>4</v>
      </c>
      <c r="C151" s="2">
        <v>0</v>
      </c>
      <c r="D151" s="2">
        <v>0</v>
      </c>
      <c r="E151" s="2">
        <v>1</v>
      </c>
    </row>
    <row r="152" spans="1:5" hidden="1" x14ac:dyDescent="0.3"/>
    <row r="153" spans="1:5" ht="66" hidden="1" x14ac:dyDescent="0.3">
      <c r="A153" s="4" t="s">
        <v>465</v>
      </c>
    </row>
    <row r="154" spans="1:5" ht="99" hidden="1" x14ac:dyDescent="0.3">
      <c r="A154" s="23" t="s">
        <v>466</v>
      </c>
    </row>
    <row r="155" spans="1:5" hidden="1" x14ac:dyDescent="0.3"/>
    <row r="156" spans="1:5" ht="16.5" hidden="1" customHeight="1" x14ac:dyDescent="0.3">
      <c r="A156" s="24" t="s">
        <v>467</v>
      </c>
      <c r="B156" s="26"/>
      <c r="C156" s="26"/>
    </row>
    <row r="157" spans="1:5" ht="66" hidden="1" x14ac:dyDescent="0.3">
      <c r="A157" s="6" t="s">
        <v>468</v>
      </c>
      <c r="B157" s="3" t="s">
        <v>469</v>
      </c>
      <c r="C157" s="3" t="s">
        <v>470</v>
      </c>
    </row>
    <row r="158" spans="1:5" ht="17.25" hidden="1" thickBot="1" x14ac:dyDescent="0.35">
      <c r="A158" s="13" t="s">
        <v>471</v>
      </c>
      <c r="B158" s="2">
        <v>27545935</v>
      </c>
      <c r="C158" s="2">
        <v>20944735</v>
      </c>
    </row>
    <row r="159" spans="1:5" ht="17.25" hidden="1" thickBot="1" x14ac:dyDescent="0.35">
      <c r="A159" s="13" t="s">
        <v>472</v>
      </c>
      <c r="B159" s="2">
        <v>27545950</v>
      </c>
      <c r="C159" s="2">
        <v>20944948</v>
      </c>
    </row>
    <row r="160" spans="1:5" hidden="1" x14ac:dyDescent="0.3">
      <c r="A160" s="14" t="s">
        <v>473</v>
      </c>
      <c r="B160" s="2" t="s">
        <v>652</v>
      </c>
      <c r="C160" s="2">
        <v>20944707</v>
      </c>
    </row>
    <row r="161" spans="1:5" hidden="1" x14ac:dyDescent="0.3"/>
    <row r="162" spans="1:5" ht="16.5" hidden="1" customHeight="1" x14ac:dyDescent="0.3">
      <c r="A162" s="24" t="s">
        <v>474</v>
      </c>
      <c r="B162" s="26"/>
      <c r="C162" s="26"/>
      <c r="D162" s="26"/>
      <c r="E162" s="26"/>
    </row>
    <row r="163" spans="1:5" hidden="1" x14ac:dyDescent="0.3">
      <c r="A163" s="6" t="s">
        <v>475</v>
      </c>
      <c r="B163" s="3" t="s">
        <v>476</v>
      </c>
      <c r="C163" s="3" t="s">
        <v>477</v>
      </c>
      <c r="D163" s="3" t="s">
        <v>478</v>
      </c>
      <c r="E163" s="3" t="s">
        <v>479</v>
      </c>
    </row>
    <row r="164" spans="1:5" ht="33" hidden="1" customHeight="1" x14ac:dyDescent="0.3">
      <c r="A164" s="25" t="s">
        <v>654</v>
      </c>
      <c r="B164" s="30"/>
      <c r="C164" s="30"/>
      <c r="D164" s="30"/>
      <c r="E164" s="30"/>
    </row>
    <row r="165" spans="1:5" ht="26.25" hidden="1" thickBot="1" x14ac:dyDescent="0.35">
      <c r="A165" s="13" t="s">
        <v>481</v>
      </c>
      <c r="B165" s="2">
        <v>1117.98</v>
      </c>
      <c r="C165" s="2">
        <v>12.858599999999999</v>
      </c>
      <c r="D165" s="2">
        <v>35991</v>
      </c>
      <c r="E165" s="2" t="s">
        <v>482</v>
      </c>
    </row>
    <row r="166" spans="1:5" ht="17.25" hidden="1" thickBot="1" x14ac:dyDescent="0.35">
      <c r="A166" s="13" t="s">
        <v>483</v>
      </c>
      <c r="B166" s="2">
        <v>766.32</v>
      </c>
      <c r="C166" s="2">
        <v>13</v>
      </c>
      <c r="D166" s="2">
        <v>2787</v>
      </c>
      <c r="E166" s="2" t="s">
        <v>482</v>
      </c>
    </row>
    <row r="167" spans="1:5" hidden="1" x14ac:dyDescent="0.3">
      <c r="A167" s="14" t="s">
        <v>484</v>
      </c>
      <c r="B167" s="2">
        <v>720.98</v>
      </c>
      <c r="C167" s="2">
        <v>13</v>
      </c>
      <c r="D167" s="2">
        <v>2787</v>
      </c>
      <c r="E167" s="2" t="s">
        <v>482</v>
      </c>
    </row>
    <row r="168" spans="1:5" hidden="1" x14ac:dyDescent="0.3"/>
    <row r="169" spans="1:5" ht="16.5" hidden="1" customHeight="1" x14ac:dyDescent="0.3">
      <c r="A169" s="24" t="s">
        <v>485</v>
      </c>
      <c r="B169" s="26"/>
      <c r="C169" s="26"/>
      <c r="D169" s="26"/>
      <c r="E169" s="26"/>
    </row>
    <row r="170" spans="1:5" hidden="1" x14ac:dyDescent="0.3">
      <c r="A170" s="6" t="s">
        <v>486</v>
      </c>
      <c r="B170" s="3" t="s">
        <v>476</v>
      </c>
      <c r="C170" s="3" t="s">
        <v>477</v>
      </c>
      <c r="D170" s="3" t="s">
        <v>478</v>
      </c>
      <c r="E170" s="3" t="s">
        <v>479</v>
      </c>
    </row>
    <row r="171" spans="1:5" ht="17.25" thickBot="1" x14ac:dyDescent="0.35">
      <c r="A171" s="13" t="s">
        <v>25</v>
      </c>
      <c r="B171" s="2">
        <v>283.33999999999997</v>
      </c>
      <c r="C171" s="2">
        <v>3</v>
      </c>
      <c r="D171" s="2">
        <v>2797</v>
      </c>
      <c r="E171" s="2" t="s">
        <v>482</v>
      </c>
    </row>
    <row r="172" spans="1:5" ht="17.25" hidden="1" thickBot="1" x14ac:dyDescent="0.35">
      <c r="A172" s="13" t="s">
        <v>1</v>
      </c>
      <c r="B172" s="2">
        <v>2514.98</v>
      </c>
      <c r="C172" s="2">
        <v>1</v>
      </c>
      <c r="D172" s="2">
        <v>2799</v>
      </c>
      <c r="E172" s="2" t="s">
        <v>482</v>
      </c>
    </row>
    <row r="173" spans="1:5" ht="17.25" hidden="1" thickBot="1" x14ac:dyDescent="0.35">
      <c r="A173" s="13" t="s">
        <v>5</v>
      </c>
      <c r="B173" s="2">
        <v>92.1</v>
      </c>
      <c r="C173" s="2">
        <v>1</v>
      </c>
      <c r="D173" s="2">
        <v>2799</v>
      </c>
      <c r="E173" s="2" t="s">
        <v>482</v>
      </c>
    </row>
    <row r="174" spans="1:5" ht="17.25" hidden="1" thickBot="1" x14ac:dyDescent="0.35">
      <c r="A174" s="13" t="s">
        <v>6</v>
      </c>
      <c r="B174" s="2">
        <v>1.68</v>
      </c>
      <c r="C174" s="2">
        <v>1</v>
      </c>
      <c r="D174" s="2">
        <v>2799</v>
      </c>
      <c r="E174" s="2">
        <v>0.1956</v>
      </c>
    </row>
    <row r="175" spans="1:5" ht="17.25" hidden="1" thickBot="1" x14ac:dyDescent="0.35">
      <c r="A175" s="13" t="s">
        <v>7</v>
      </c>
      <c r="B175" s="2">
        <v>209.89</v>
      </c>
      <c r="C175" s="2">
        <v>1</v>
      </c>
      <c r="D175" s="2">
        <v>2799</v>
      </c>
      <c r="E175" s="2" t="s">
        <v>482</v>
      </c>
    </row>
    <row r="176" spans="1:5" ht="17.25" hidden="1" thickBot="1" x14ac:dyDescent="0.35">
      <c r="A176" s="13" t="s">
        <v>8</v>
      </c>
      <c r="B176" s="2">
        <v>0.14000000000000001</v>
      </c>
      <c r="C176" s="2">
        <v>1</v>
      </c>
      <c r="D176" s="2">
        <v>2799</v>
      </c>
      <c r="E176" s="2">
        <v>0.70430000000000004</v>
      </c>
    </row>
    <row r="177" spans="1:6" ht="17.25" hidden="1" thickBot="1" x14ac:dyDescent="0.35">
      <c r="A177" s="13" t="s">
        <v>10</v>
      </c>
      <c r="B177" s="2">
        <v>66.47</v>
      </c>
      <c r="C177" s="2">
        <v>1</v>
      </c>
      <c r="D177" s="2">
        <v>2799</v>
      </c>
      <c r="E177" s="2" t="s">
        <v>482</v>
      </c>
    </row>
    <row r="178" spans="1:6" ht="17.25" hidden="1" thickBot="1" x14ac:dyDescent="0.35">
      <c r="A178" s="13" t="s">
        <v>11</v>
      </c>
      <c r="B178" s="2">
        <v>518.09</v>
      </c>
      <c r="C178" s="2">
        <v>1</v>
      </c>
      <c r="D178" s="2">
        <v>2799</v>
      </c>
      <c r="E178" s="2" t="s">
        <v>482</v>
      </c>
    </row>
    <row r="179" spans="1:6" ht="17.25" hidden="1" thickBot="1" x14ac:dyDescent="0.35">
      <c r="A179" s="13" t="s">
        <v>12</v>
      </c>
      <c r="B179" s="2">
        <v>11.1</v>
      </c>
      <c r="C179" s="2">
        <v>1</v>
      </c>
      <c r="D179" s="2">
        <v>2799</v>
      </c>
      <c r="E179" s="2">
        <v>8.9999999999999998E-4</v>
      </c>
    </row>
    <row r="180" spans="1:6" ht="17.25" hidden="1" thickBot="1" x14ac:dyDescent="0.35">
      <c r="A180" s="13" t="s">
        <v>13</v>
      </c>
      <c r="B180" s="2">
        <v>22.27</v>
      </c>
      <c r="C180" s="2">
        <v>1</v>
      </c>
      <c r="D180" s="2">
        <v>2799</v>
      </c>
      <c r="E180" s="2" t="s">
        <v>482</v>
      </c>
    </row>
    <row r="181" spans="1:6" ht="25.5" hidden="1" x14ac:dyDescent="0.3">
      <c r="A181" s="14" t="s">
        <v>14</v>
      </c>
      <c r="B181" s="2">
        <v>72.48</v>
      </c>
      <c r="C181" s="2">
        <v>1</v>
      </c>
      <c r="D181" s="2">
        <v>2799</v>
      </c>
      <c r="E181" s="2" t="s">
        <v>482</v>
      </c>
    </row>
    <row r="182" spans="1:6" hidden="1" x14ac:dyDescent="0.3"/>
    <row r="183" spans="1:6" ht="16.5" hidden="1" customHeight="1" x14ac:dyDescent="0.3">
      <c r="A183" s="24" t="s">
        <v>487</v>
      </c>
      <c r="B183" s="26"/>
      <c r="C183" s="26"/>
      <c r="D183" s="26"/>
      <c r="E183" s="26"/>
      <c r="F183" s="26"/>
    </row>
    <row r="184" spans="1:6" ht="16.5" hidden="1" customHeight="1" x14ac:dyDescent="0.3">
      <c r="A184" s="25" t="s">
        <v>488</v>
      </c>
      <c r="B184" s="27"/>
      <c r="C184" s="27" t="s">
        <v>489</v>
      </c>
      <c r="D184" s="3" t="s">
        <v>490</v>
      </c>
      <c r="E184" s="27" t="s">
        <v>492</v>
      </c>
      <c r="F184" s="27" t="s">
        <v>493</v>
      </c>
    </row>
    <row r="185" spans="1:6" hidden="1" x14ac:dyDescent="0.3">
      <c r="A185" s="25"/>
      <c r="B185" s="27"/>
      <c r="C185" s="27"/>
      <c r="D185" s="3" t="s">
        <v>491</v>
      </c>
      <c r="E185" s="27"/>
      <c r="F185" s="27"/>
    </row>
    <row r="186" spans="1:6" ht="16.5" hidden="1" customHeight="1" x14ac:dyDescent="0.3">
      <c r="A186" s="25" t="s">
        <v>494</v>
      </c>
      <c r="B186" s="30"/>
      <c r="C186" s="30"/>
      <c r="D186" s="30"/>
      <c r="E186" s="30"/>
      <c r="F186" s="30"/>
    </row>
    <row r="187" spans="1:6" ht="17.25" hidden="1" thickBot="1" x14ac:dyDescent="0.35">
      <c r="A187" s="13" t="s">
        <v>495</v>
      </c>
      <c r="B187" s="12"/>
      <c r="C187" s="16">
        <v>-4.4408000000000003</v>
      </c>
      <c r="D187" s="2">
        <v>0.17849999999999999</v>
      </c>
      <c r="E187" s="16">
        <v>-24.88</v>
      </c>
      <c r="F187" s="2" t="s">
        <v>482</v>
      </c>
    </row>
    <row r="188" spans="1:6" ht="17.25" thickBot="1" x14ac:dyDescent="0.35">
      <c r="A188" s="13" t="s">
        <v>25</v>
      </c>
      <c r="B188" s="12">
        <v>2</v>
      </c>
      <c r="C188" s="2">
        <v>0.61529999999999996</v>
      </c>
      <c r="D188" s="2">
        <v>5.3400000000000003E-2</v>
      </c>
      <c r="E188" s="2">
        <v>11.51</v>
      </c>
      <c r="F188" s="2" t="s">
        <v>482</v>
      </c>
    </row>
    <row r="189" spans="1:6" ht="17.25" thickBot="1" x14ac:dyDescent="0.35">
      <c r="A189" s="13" t="s">
        <v>25</v>
      </c>
      <c r="B189" s="12">
        <v>3</v>
      </c>
      <c r="C189" s="2">
        <v>1.0115000000000001</v>
      </c>
      <c r="D189" s="2">
        <v>5.28E-2</v>
      </c>
      <c r="E189" s="2">
        <v>19.170000000000002</v>
      </c>
      <c r="F189" s="2" t="s">
        <v>482</v>
      </c>
    </row>
    <row r="190" spans="1:6" ht="17.25" thickBot="1" x14ac:dyDescent="0.35">
      <c r="A190" s="13" t="s">
        <v>25</v>
      </c>
      <c r="B190" s="12">
        <v>4</v>
      </c>
      <c r="C190" s="2">
        <v>1.3723000000000001</v>
      </c>
      <c r="D190" s="2">
        <v>5.28E-2</v>
      </c>
      <c r="E190" s="2">
        <v>25.97</v>
      </c>
      <c r="F190" s="2" t="s">
        <v>482</v>
      </c>
    </row>
    <row r="191" spans="1:6" ht="17.25" hidden="1" thickBot="1" x14ac:dyDescent="0.35">
      <c r="A191" s="13" t="s">
        <v>1</v>
      </c>
      <c r="B191" s="12"/>
      <c r="C191" s="2">
        <v>1.3048</v>
      </c>
      <c r="D191" s="2">
        <v>2.5999999999999999E-2</v>
      </c>
      <c r="E191" s="2">
        <v>50.15</v>
      </c>
      <c r="F191" s="2" t="s">
        <v>482</v>
      </c>
    </row>
    <row r="192" spans="1:6" ht="17.25" hidden="1" thickBot="1" x14ac:dyDescent="0.35">
      <c r="A192" s="13" t="s">
        <v>5</v>
      </c>
      <c r="B192" s="12"/>
      <c r="C192" s="16">
        <v>-0.29160000000000003</v>
      </c>
      <c r="D192" s="2">
        <v>3.04E-2</v>
      </c>
      <c r="E192" s="16">
        <v>-9.6</v>
      </c>
      <c r="F192" s="2" t="s">
        <v>482</v>
      </c>
    </row>
    <row r="193" spans="1:9" ht="17.25" hidden="1" thickBot="1" x14ac:dyDescent="0.35">
      <c r="A193" s="13" t="s">
        <v>6</v>
      </c>
      <c r="B193" s="12"/>
      <c r="C193" s="16">
        <v>-4.5900000000000003E-2</v>
      </c>
      <c r="D193" s="2">
        <v>3.5499999999999997E-2</v>
      </c>
      <c r="E193" s="16">
        <v>-1.29</v>
      </c>
      <c r="F193" s="2">
        <v>0.1956</v>
      </c>
    </row>
    <row r="194" spans="1:9" ht="17.25" hidden="1" thickBot="1" x14ac:dyDescent="0.35">
      <c r="A194" s="13" t="s">
        <v>7</v>
      </c>
      <c r="B194" s="12"/>
      <c r="C194" s="16">
        <v>-0.21299999999999999</v>
      </c>
      <c r="D194" s="2">
        <v>1.47E-2</v>
      </c>
      <c r="E194" s="16">
        <v>-14.49</v>
      </c>
      <c r="F194" s="2" t="s">
        <v>482</v>
      </c>
    </row>
    <row r="195" spans="1:9" ht="17.25" hidden="1" thickBot="1" x14ac:dyDescent="0.35">
      <c r="A195" s="13" t="s">
        <v>8</v>
      </c>
      <c r="B195" s="12"/>
      <c r="C195" s="2">
        <v>5.1799999999999997E-3</v>
      </c>
      <c r="D195" s="2">
        <v>1.37E-2</v>
      </c>
      <c r="E195" s="2">
        <v>0.38</v>
      </c>
      <c r="F195" s="2">
        <v>0.70430000000000004</v>
      </c>
    </row>
    <row r="196" spans="1:9" ht="17.25" hidden="1" thickBot="1" x14ac:dyDescent="0.35">
      <c r="A196" s="13" t="s">
        <v>10</v>
      </c>
      <c r="B196" s="12"/>
      <c r="C196" s="16">
        <v>-0.52559999999999996</v>
      </c>
      <c r="D196" s="2">
        <v>6.4500000000000002E-2</v>
      </c>
      <c r="E196" s="16">
        <v>-8.15</v>
      </c>
      <c r="F196" s="2" t="s">
        <v>482</v>
      </c>
    </row>
    <row r="197" spans="1:9" ht="17.25" hidden="1" thickBot="1" x14ac:dyDescent="0.35">
      <c r="A197" s="13" t="s">
        <v>11</v>
      </c>
      <c r="B197" s="12"/>
      <c r="C197" s="2">
        <v>0.45069999999999999</v>
      </c>
      <c r="D197" s="2">
        <v>1.9800000000000002E-2</v>
      </c>
      <c r="E197" s="2">
        <v>22.76</v>
      </c>
      <c r="F197" s="2" t="s">
        <v>482</v>
      </c>
    </row>
    <row r="198" spans="1:9" ht="17.25" hidden="1" thickBot="1" x14ac:dyDescent="0.35">
      <c r="A198" s="13" t="s">
        <v>12</v>
      </c>
      <c r="B198" s="12"/>
      <c r="C198" s="2">
        <v>7.1199999999999999E-2</v>
      </c>
      <c r="D198" s="2">
        <v>2.1399999999999999E-2</v>
      </c>
      <c r="E198" s="2">
        <v>3.33</v>
      </c>
      <c r="F198" s="2">
        <v>8.9999999999999998E-4</v>
      </c>
    </row>
    <row r="199" spans="1:9" ht="17.25" hidden="1" thickBot="1" x14ac:dyDescent="0.35">
      <c r="A199" s="13" t="s">
        <v>13</v>
      </c>
      <c r="B199" s="12"/>
      <c r="C199" s="2">
        <v>8.2100000000000006E-2</v>
      </c>
      <c r="D199" s="2">
        <v>1.7399999999999999E-2</v>
      </c>
      <c r="E199" s="2">
        <v>4.72</v>
      </c>
      <c r="F199" s="2" t="s">
        <v>482</v>
      </c>
    </row>
    <row r="200" spans="1:9" ht="25.5" hidden="1" x14ac:dyDescent="0.3">
      <c r="A200" s="14" t="s">
        <v>14</v>
      </c>
      <c r="B200" s="15"/>
      <c r="C200" s="16">
        <v>-0.29339999999999999</v>
      </c>
      <c r="D200" s="2">
        <v>3.4500000000000003E-2</v>
      </c>
      <c r="E200" s="16">
        <v>-8.51</v>
      </c>
      <c r="F200" s="2" t="s">
        <v>482</v>
      </c>
    </row>
    <row r="201" spans="1:9" hidden="1" x14ac:dyDescent="0.3"/>
    <row r="202" spans="1:9" ht="16.5" hidden="1" customHeight="1" x14ac:dyDescent="0.3">
      <c r="A202" s="24" t="s">
        <v>496</v>
      </c>
      <c r="B202" s="26"/>
      <c r="C202" s="26"/>
      <c r="D202" s="26"/>
    </row>
    <row r="203" spans="1:9" ht="33" hidden="1" customHeight="1" x14ac:dyDescent="0.3">
      <c r="A203" s="6" t="s">
        <v>486</v>
      </c>
      <c r="B203" s="3" t="s">
        <v>497</v>
      </c>
      <c r="C203" s="27" t="s">
        <v>91</v>
      </c>
      <c r="D203" s="27"/>
    </row>
    <row r="204" spans="1:9" ht="49.5" hidden="1" customHeight="1" x14ac:dyDescent="0.3">
      <c r="A204" s="25" t="s">
        <v>498</v>
      </c>
      <c r="B204" s="30"/>
      <c r="C204" s="30"/>
      <c r="D204" s="30"/>
    </row>
    <row r="205" spans="1:9" ht="26.25" thickBot="1" x14ac:dyDescent="0.35">
      <c r="A205" s="13" t="s">
        <v>517</v>
      </c>
      <c r="B205" s="2">
        <v>1.85</v>
      </c>
      <c r="C205" s="2">
        <v>1.6659999999999999</v>
      </c>
      <c r="D205" s="2">
        <v>2.0550000000000002</v>
      </c>
      <c r="H205" s="8" t="str">
        <f>TEXT(B205,"0.00")&amp;" ("&amp;TEXT(C205,"0.00")&amp;" to "&amp;TEXT(D205,"0.00")&amp;")"</f>
        <v>1.85 (1.67 to 2.06)</v>
      </c>
      <c r="I205" s="2" t="s">
        <v>482</v>
      </c>
    </row>
    <row r="206" spans="1:9" ht="26.25" thickBot="1" x14ac:dyDescent="0.35">
      <c r="A206" s="13" t="s">
        <v>518</v>
      </c>
      <c r="B206" s="2">
        <v>2.75</v>
      </c>
      <c r="C206" s="2">
        <v>2.48</v>
      </c>
      <c r="D206" s="2">
        <v>3.05</v>
      </c>
      <c r="H206" s="8" t="str">
        <f t="shared" ref="H206:H207" si="1">TEXT(B206,"0.00")&amp;" ("&amp;TEXT(C206,"0.00")&amp;" to "&amp;TEXT(D206,"0.00")&amp;")"</f>
        <v>2.75 (2.48 to 3.05)</v>
      </c>
      <c r="I206" s="2" t="s">
        <v>482</v>
      </c>
    </row>
    <row r="207" spans="1:9" ht="26.25" thickBot="1" x14ac:dyDescent="0.35">
      <c r="A207" s="13" t="s">
        <v>519</v>
      </c>
      <c r="B207" s="2">
        <v>3.944</v>
      </c>
      <c r="C207" s="2">
        <v>3.556</v>
      </c>
      <c r="D207" s="2">
        <v>4.375</v>
      </c>
      <c r="H207" s="8" t="str">
        <f t="shared" si="1"/>
        <v>3.94 (3.56 to 4.38)</v>
      </c>
      <c r="I207" s="2" t="s">
        <v>482</v>
      </c>
    </row>
    <row r="208" spans="1:9" ht="17.25" hidden="1" thickBot="1" x14ac:dyDescent="0.35">
      <c r="A208" s="13" t="s">
        <v>1</v>
      </c>
      <c r="B208" s="2">
        <v>3.6869999999999998</v>
      </c>
      <c r="C208" s="2">
        <v>3.504</v>
      </c>
      <c r="D208" s="2">
        <v>3.88</v>
      </c>
    </row>
    <row r="209" spans="1:4" ht="17.25" hidden="1" thickBot="1" x14ac:dyDescent="0.35">
      <c r="A209" s="13" t="s">
        <v>5</v>
      </c>
      <c r="B209" s="2">
        <v>0.747</v>
      </c>
      <c r="C209" s="2">
        <v>0.70399999999999996</v>
      </c>
      <c r="D209" s="2">
        <v>0.79300000000000004</v>
      </c>
    </row>
    <row r="210" spans="1:4" ht="17.25" hidden="1" thickBot="1" x14ac:dyDescent="0.35">
      <c r="A210" s="13" t="s">
        <v>6</v>
      </c>
      <c r="B210" s="2">
        <v>0.95499999999999996</v>
      </c>
      <c r="C210" s="2">
        <v>0.89100000000000001</v>
      </c>
      <c r="D210" s="2">
        <v>1.024</v>
      </c>
    </row>
    <row r="211" spans="1:4" ht="17.25" hidden="1" thickBot="1" x14ac:dyDescent="0.35">
      <c r="A211" s="13" t="s">
        <v>7</v>
      </c>
      <c r="B211" s="2">
        <v>0.80800000000000005</v>
      </c>
      <c r="C211" s="2">
        <v>0.78500000000000003</v>
      </c>
      <c r="D211" s="2">
        <v>0.83199999999999996</v>
      </c>
    </row>
    <row r="212" spans="1:4" ht="17.25" hidden="1" thickBot="1" x14ac:dyDescent="0.35">
      <c r="A212" s="13" t="s">
        <v>8</v>
      </c>
      <c r="B212" s="2">
        <v>1.0049999999999999</v>
      </c>
      <c r="C212" s="2">
        <v>0.97899999999999998</v>
      </c>
      <c r="D212" s="2">
        <v>1.032</v>
      </c>
    </row>
    <row r="213" spans="1:4" ht="17.25" hidden="1" thickBot="1" x14ac:dyDescent="0.35">
      <c r="A213" s="13" t="s">
        <v>10</v>
      </c>
      <c r="B213" s="2">
        <v>0.59099999999999997</v>
      </c>
      <c r="C213" s="2">
        <v>0.52100000000000002</v>
      </c>
      <c r="D213" s="2">
        <v>0.67100000000000004</v>
      </c>
    </row>
    <row r="214" spans="1:4" ht="17.25" hidden="1" thickBot="1" x14ac:dyDescent="0.35">
      <c r="A214" s="13" t="s">
        <v>11</v>
      </c>
      <c r="B214" s="2">
        <v>1.569</v>
      </c>
      <c r="C214" s="2">
        <v>1.51</v>
      </c>
      <c r="D214" s="2">
        <v>1.6319999999999999</v>
      </c>
    </row>
    <row r="215" spans="1:4" ht="17.25" hidden="1" thickBot="1" x14ac:dyDescent="0.35">
      <c r="A215" s="13" t="s">
        <v>12</v>
      </c>
      <c r="B215" s="2">
        <v>1.0740000000000001</v>
      </c>
      <c r="C215" s="2">
        <v>1.03</v>
      </c>
      <c r="D215" s="2">
        <v>1.1200000000000001</v>
      </c>
    </row>
    <row r="216" spans="1:4" ht="17.25" hidden="1" thickBot="1" x14ac:dyDescent="0.35">
      <c r="A216" s="13" t="s">
        <v>13</v>
      </c>
      <c r="B216" s="2">
        <v>1.0860000000000001</v>
      </c>
      <c r="C216" s="2">
        <v>1.0489999999999999</v>
      </c>
      <c r="D216" s="2">
        <v>1.123</v>
      </c>
    </row>
    <row r="217" spans="1:4" ht="25.5" hidden="1" x14ac:dyDescent="0.3">
      <c r="A217" s="14" t="s">
        <v>14</v>
      </c>
      <c r="B217" s="2">
        <v>0.746</v>
      </c>
      <c r="C217" s="2">
        <v>0.69699999999999995</v>
      </c>
      <c r="D217" s="2">
        <v>0.79800000000000004</v>
      </c>
    </row>
    <row r="218" spans="1:4" hidden="1" x14ac:dyDescent="0.3"/>
    <row r="219" spans="1:4" ht="33" hidden="1" customHeight="1" x14ac:dyDescent="0.3">
      <c r="A219" s="24" t="s">
        <v>502</v>
      </c>
      <c r="B219" s="26"/>
      <c r="C219" s="26"/>
      <c r="D219" s="26"/>
    </row>
    <row r="220" spans="1:4" ht="39" hidden="1" thickBot="1" x14ac:dyDescent="0.35">
      <c r="A220" s="13" t="s">
        <v>503</v>
      </c>
      <c r="B220" s="2">
        <v>82.4</v>
      </c>
      <c r="C220" s="12" t="s">
        <v>504</v>
      </c>
      <c r="D220" s="2">
        <v>0.65100000000000002</v>
      </c>
    </row>
    <row r="221" spans="1:4" ht="26.25" hidden="1" thickBot="1" x14ac:dyDescent="0.35">
      <c r="A221" s="13" t="s">
        <v>505</v>
      </c>
      <c r="B221" s="2">
        <v>17.3</v>
      </c>
      <c r="C221" s="12" t="s">
        <v>506</v>
      </c>
      <c r="D221" s="2">
        <v>0.65200000000000002</v>
      </c>
    </row>
    <row r="222" spans="1:4" ht="26.25" hidden="1" thickBot="1" x14ac:dyDescent="0.35">
      <c r="A222" s="13" t="s">
        <v>507</v>
      </c>
      <c r="B222" s="2">
        <v>0.2</v>
      </c>
      <c r="C222" s="12" t="s">
        <v>508</v>
      </c>
      <c r="D222" s="2">
        <v>0.219</v>
      </c>
    </row>
    <row r="223" spans="1:4" hidden="1" x14ac:dyDescent="0.3">
      <c r="A223" s="14" t="s">
        <v>509</v>
      </c>
      <c r="B223" s="2">
        <v>793824750</v>
      </c>
      <c r="C223" s="15" t="s">
        <v>510</v>
      </c>
      <c r="D223" s="2">
        <v>0.82499999999999996</v>
      </c>
    </row>
    <row r="224" spans="1:4" hidden="1" x14ac:dyDescent="0.3"/>
    <row r="225" spans="1:2" hidden="1" x14ac:dyDescent="0.3"/>
    <row r="226" spans="1:2" hidden="1" x14ac:dyDescent="0.3"/>
    <row r="227" spans="1:2" hidden="1" x14ac:dyDescent="0.3">
      <c r="A227" s="1" t="s">
        <v>436</v>
      </c>
    </row>
    <row r="228" spans="1:2" hidden="1" x14ac:dyDescent="0.3"/>
    <row r="229" spans="1:2" ht="16.5" hidden="1" customHeight="1" x14ac:dyDescent="0.3">
      <c r="A229" s="24" t="s">
        <v>437</v>
      </c>
      <c r="B229" s="26"/>
    </row>
    <row r="230" spans="1:2" ht="26.25" hidden="1" thickBot="1" x14ac:dyDescent="0.35">
      <c r="A230" s="13" t="s">
        <v>438</v>
      </c>
      <c r="B230" s="18" t="s">
        <v>439</v>
      </c>
    </row>
    <row r="231" spans="1:2" ht="26.25" hidden="1" thickBot="1" x14ac:dyDescent="0.35">
      <c r="A231" s="13" t="s">
        <v>440</v>
      </c>
      <c r="B231" s="18" t="s">
        <v>15</v>
      </c>
    </row>
    <row r="232" spans="1:2" ht="39" hidden="1" thickBot="1" x14ac:dyDescent="0.35">
      <c r="A232" s="13" t="s">
        <v>441</v>
      </c>
      <c r="B232" s="18">
        <v>2</v>
      </c>
    </row>
    <row r="233" spans="1:2" ht="26.25" hidden="1" thickBot="1" x14ac:dyDescent="0.35">
      <c r="A233" s="13" t="s">
        <v>442</v>
      </c>
      <c r="B233" s="18" t="s">
        <v>443</v>
      </c>
    </row>
    <row r="234" spans="1:2" ht="26.25" hidden="1" thickBot="1" x14ac:dyDescent="0.35">
      <c r="A234" s="13" t="s">
        <v>76</v>
      </c>
      <c r="B234" s="18">
        <v>183</v>
      </c>
    </row>
    <row r="235" spans="1:2" ht="26.25" hidden="1" thickBot="1" x14ac:dyDescent="0.35">
      <c r="A235" s="13" t="s">
        <v>444</v>
      </c>
      <c r="B235" s="18" t="s">
        <v>445</v>
      </c>
    </row>
    <row r="236" spans="1:2" ht="26.25" hidden="1" thickBot="1" x14ac:dyDescent="0.35">
      <c r="A236" s="13" t="s">
        <v>77</v>
      </c>
      <c r="B236" s="18">
        <v>2982</v>
      </c>
    </row>
    <row r="237" spans="1:2" ht="26.25" hidden="1" thickBot="1" x14ac:dyDescent="0.35">
      <c r="A237" s="13" t="s">
        <v>446</v>
      </c>
      <c r="B237" s="18" t="s">
        <v>447</v>
      </c>
    </row>
    <row r="238" spans="1:2" ht="26.25" hidden="1" thickBot="1" x14ac:dyDescent="0.35">
      <c r="A238" s="13" t="s">
        <v>448</v>
      </c>
      <c r="B238" s="18" t="s">
        <v>449</v>
      </c>
    </row>
    <row r="239" spans="1:2" ht="39" hidden="1" thickBot="1" x14ac:dyDescent="0.35">
      <c r="A239" s="13" t="s">
        <v>450</v>
      </c>
      <c r="B239" s="18" t="s">
        <v>451</v>
      </c>
    </row>
    <row r="240" spans="1:2" ht="38.25" hidden="1" x14ac:dyDescent="0.3">
      <c r="A240" s="14" t="s">
        <v>452</v>
      </c>
      <c r="B240" s="29" t="s">
        <v>453</v>
      </c>
    </row>
    <row r="241" spans="1:4" hidden="1" x14ac:dyDescent="0.3"/>
    <row r="242" spans="1:4" ht="33" hidden="1" customHeight="1" x14ac:dyDescent="0.3">
      <c r="A242" s="24" t="s">
        <v>80</v>
      </c>
      <c r="B242" s="26"/>
    </row>
    <row r="243" spans="1:4" ht="33.75" hidden="1" thickBot="1" x14ac:dyDescent="0.35">
      <c r="A243" s="13" t="s">
        <v>81</v>
      </c>
      <c r="B243" s="2" t="s">
        <v>82</v>
      </c>
    </row>
    <row r="244" spans="1:4" ht="66" hidden="1" x14ac:dyDescent="0.3">
      <c r="A244" s="14" t="s">
        <v>452</v>
      </c>
      <c r="B244" s="2" t="s">
        <v>453</v>
      </c>
    </row>
    <row r="245" spans="1:4" hidden="1" x14ac:dyDescent="0.3"/>
    <row r="246" spans="1:4" ht="39" hidden="1" thickBot="1" x14ac:dyDescent="0.35">
      <c r="A246" s="20" t="s">
        <v>454</v>
      </c>
      <c r="B246" s="21">
        <v>68635</v>
      </c>
    </row>
    <row r="247" spans="1:4" ht="39" hidden="1" thickBot="1" x14ac:dyDescent="0.35">
      <c r="A247" s="13" t="s">
        <v>455</v>
      </c>
      <c r="B247" s="2">
        <v>68635</v>
      </c>
    </row>
    <row r="248" spans="1:4" ht="39" hidden="1" thickBot="1" x14ac:dyDescent="0.35">
      <c r="A248" s="13" t="s">
        <v>456</v>
      </c>
      <c r="B248" s="2">
        <v>30251936</v>
      </c>
    </row>
    <row r="249" spans="1:4" ht="38.25" hidden="1" x14ac:dyDescent="0.3">
      <c r="A249" s="14" t="s">
        <v>457</v>
      </c>
      <c r="B249" s="2">
        <v>30251936</v>
      </c>
    </row>
    <row r="250" spans="1:4" hidden="1" x14ac:dyDescent="0.3"/>
    <row r="251" spans="1:4" ht="16.5" hidden="1" customHeight="1" x14ac:dyDescent="0.3">
      <c r="A251" s="24" t="s">
        <v>458</v>
      </c>
      <c r="B251" s="26"/>
      <c r="C251" s="26"/>
      <c r="D251" s="26"/>
    </row>
    <row r="252" spans="1:4" hidden="1" x14ac:dyDescent="0.3">
      <c r="A252" s="6" t="s">
        <v>459</v>
      </c>
      <c r="B252" s="27" t="s">
        <v>15</v>
      </c>
      <c r="C252" s="3" t="s">
        <v>93</v>
      </c>
      <c r="D252" s="3" t="s">
        <v>93</v>
      </c>
    </row>
    <row r="253" spans="1:4" ht="33" hidden="1" x14ac:dyDescent="0.3">
      <c r="A253" s="6" t="s">
        <v>460</v>
      </c>
      <c r="B253" s="27"/>
      <c r="C253" s="3" t="s">
        <v>86</v>
      </c>
      <c r="D253" s="3" t="s">
        <v>461</v>
      </c>
    </row>
    <row r="254" spans="1:4" ht="17.25" hidden="1" thickBot="1" x14ac:dyDescent="0.35">
      <c r="A254" s="6">
        <v>1</v>
      </c>
      <c r="B254" s="17">
        <v>0</v>
      </c>
      <c r="C254" s="2">
        <v>53910</v>
      </c>
      <c r="D254" s="2">
        <v>25120748</v>
      </c>
    </row>
    <row r="255" spans="1:4" hidden="1" x14ac:dyDescent="0.3">
      <c r="A255" s="6">
        <v>2</v>
      </c>
      <c r="B255" s="22">
        <v>1</v>
      </c>
      <c r="C255" s="2">
        <v>14725</v>
      </c>
      <c r="D255" s="2">
        <v>5131188</v>
      </c>
    </row>
    <row r="256" spans="1:4" hidden="1" x14ac:dyDescent="0.3"/>
    <row r="257" spans="1:5" hidden="1" x14ac:dyDescent="0.3">
      <c r="A257" s="1" t="s">
        <v>651</v>
      </c>
    </row>
    <row r="258" spans="1:5" hidden="1" x14ac:dyDescent="0.3"/>
    <row r="259" spans="1:5" ht="16.5" hidden="1" customHeight="1" x14ac:dyDescent="0.3">
      <c r="A259" s="24" t="s">
        <v>462</v>
      </c>
      <c r="B259" s="26"/>
      <c r="C259" s="26"/>
      <c r="D259" s="26"/>
      <c r="E259" s="26"/>
    </row>
    <row r="260" spans="1:5" ht="16.5" hidden="1" customHeight="1" x14ac:dyDescent="0.3">
      <c r="A260" s="6" t="s">
        <v>463</v>
      </c>
      <c r="B260" s="3" t="s">
        <v>460</v>
      </c>
      <c r="C260" s="27" t="s">
        <v>464</v>
      </c>
      <c r="D260" s="27"/>
      <c r="E260" s="27"/>
    </row>
    <row r="261" spans="1:5" ht="17.25" thickBot="1" x14ac:dyDescent="0.35">
      <c r="A261" s="13" t="s">
        <v>26</v>
      </c>
      <c r="B261" s="12">
        <v>1</v>
      </c>
      <c r="C261" s="2">
        <v>0</v>
      </c>
      <c r="D261" s="2">
        <v>0</v>
      </c>
      <c r="E261" s="2">
        <v>0</v>
      </c>
    </row>
    <row r="262" spans="1:5" ht="17.25" hidden="1" thickBot="1" x14ac:dyDescent="0.35">
      <c r="A262" s="13"/>
      <c r="B262" s="12">
        <v>2</v>
      </c>
      <c r="C262" s="2">
        <v>1</v>
      </c>
      <c r="D262" s="2">
        <v>0</v>
      </c>
      <c r="E262" s="2">
        <v>0</v>
      </c>
    </row>
    <row r="263" spans="1:5" ht="17.25" hidden="1" thickBot="1" x14ac:dyDescent="0.35">
      <c r="A263" s="13"/>
      <c r="B263" s="12">
        <v>3</v>
      </c>
      <c r="C263" s="2">
        <v>0</v>
      </c>
      <c r="D263" s="2">
        <v>1</v>
      </c>
      <c r="E263" s="2">
        <v>0</v>
      </c>
    </row>
    <row r="264" spans="1:5" hidden="1" x14ac:dyDescent="0.3">
      <c r="A264" s="14"/>
      <c r="B264" s="15">
        <v>4</v>
      </c>
      <c r="C264" s="2">
        <v>0</v>
      </c>
      <c r="D264" s="2">
        <v>0</v>
      </c>
      <c r="E264" s="2">
        <v>1</v>
      </c>
    </row>
    <row r="265" spans="1:5" hidden="1" x14ac:dyDescent="0.3"/>
    <row r="266" spans="1:5" ht="66" hidden="1" x14ac:dyDescent="0.3">
      <c r="A266" s="4" t="s">
        <v>465</v>
      </c>
    </row>
    <row r="267" spans="1:5" ht="99" hidden="1" x14ac:dyDescent="0.3">
      <c r="A267" s="23" t="s">
        <v>466</v>
      </c>
    </row>
    <row r="268" spans="1:5" hidden="1" x14ac:dyDescent="0.3"/>
    <row r="269" spans="1:5" ht="16.5" hidden="1" customHeight="1" x14ac:dyDescent="0.3">
      <c r="A269" s="24" t="s">
        <v>467</v>
      </c>
      <c r="B269" s="26"/>
      <c r="C269" s="26"/>
    </row>
    <row r="270" spans="1:5" ht="66" hidden="1" x14ac:dyDescent="0.3">
      <c r="A270" s="6" t="s">
        <v>468</v>
      </c>
      <c r="B270" s="3" t="s">
        <v>469</v>
      </c>
      <c r="C270" s="3" t="s">
        <v>470</v>
      </c>
    </row>
    <row r="271" spans="1:5" ht="17.25" hidden="1" thickBot="1" x14ac:dyDescent="0.35">
      <c r="A271" s="13" t="s">
        <v>471</v>
      </c>
      <c r="B271" s="2">
        <v>27545935</v>
      </c>
      <c r="C271" s="2">
        <v>21238203</v>
      </c>
    </row>
    <row r="272" spans="1:5" ht="17.25" hidden="1" thickBot="1" x14ac:dyDescent="0.35">
      <c r="A272" s="13" t="s">
        <v>472</v>
      </c>
      <c r="B272" s="2">
        <v>27545950</v>
      </c>
      <c r="C272" s="2">
        <v>21238416</v>
      </c>
    </row>
    <row r="273" spans="1:5" hidden="1" x14ac:dyDescent="0.3">
      <c r="A273" s="14" t="s">
        <v>473</v>
      </c>
      <c r="B273" s="2" t="s">
        <v>652</v>
      </c>
      <c r="C273" s="2">
        <v>21238175</v>
      </c>
    </row>
    <row r="274" spans="1:5" hidden="1" x14ac:dyDescent="0.3"/>
    <row r="275" spans="1:5" ht="16.5" hidden="1" customHeight="1" x14ac:dyDescent="0.3">
      <c r="A275" s="24" t="s">
        <v>474</v>
      </c>
      <c r="B275" s="26"/>
      <c r="C275" s="26"/>
      <c r="D275" s="26"/>
      <c r="E275" s="26"/>
    </row>
    <row r="276" spans="1:5" hidden="1" x14ac:dyDescent="0.3">
      <c r="A276" s="6" t="s">
        <v>475</v>
      </c>
      <c r="B276" s="3" t="s">
        <v>476</v>
      </c>
      <c r="C276" s="3" t="s">
        <v>477</v>
      </c>
      <c r="D276" s="3" t="s">
        <v>478</v>
      </c>
      <c r="E276" s="3" t="s">
        <v>479</v>
      </c>
    </row>
    <row r="277" spans="1:5" ht="33" hidden="1" customHeight="1" x14ac:dyDescent="0.3">
      <c r="A277" s="25" t="s">
        <v>655</v>
      </c>
      <c r="B277" s="30"/>
      <c r="C277" s="30"/>
      <c r="D277" s="30"/>
      <c r="E277" s="30"/>
    </row>
    <row r="278" spans="1:5" ht="26.25" hidden="1" thickBot="1" x14ac:dyDescent="0.35">
      <c r="A278" s="13" t="s">
        <v>481</v>
      </c>
      <c r="B278" s="2">
        <v>1072.1199999999999</v>
      </c>
      <c r="C278" s="2">
        <v>12.862500000000001</v>
      </c>
      <c r="D278" s="2">
        <v>36002</v>
      </c>
      <c r="E278" s="2" t="s">
        <v>482</v>
      </c>
    </row>
    <row r="279" spans="1:5" ht="17.25" hidden="1" thickBot="1" x14ac:dyDescent="0.35">
      <c r="A279" s="13" t="s">
        <v>483</v>
      </c>
      <c r="B279" s="2">
        <v>744.07</v>
      </c>
      <c r="C279" s="2">
        <v>13</v>
      </c>
      <c r="D279" s="2">
        <v>2787</v>
      </c>
      <c r="E279" s="2" t="s">
        <v>482</v>
      </c>
    </row>
    <row r="280" spans="1:5" hidden="1" x14ac:dyDescent="0.3">
      <c r="A280" s="14" t="s">
        <v>484</v>
      </c>
      <c r="B280" s="2">
        <v>741.6</v>
      </c>
      <c r="C280" s="2">
        <v>13</v>
      </c>
      <c r="D280" s="2">
        <v>2787</v>
      </c>
      <c r="E280" s="2" t="s">
        <v>482</v>
      </c>
    </row>
    <row r="281" spans="1:5" hidden="1" x14ac:dyDescent="0.3"/>
    <row r="282" spans="1:5" ht="16.5" hidden="1" customHeight="1" x14ac:dyDescent="0.3">
      <c r="A282" s="24" t="s">
        <v>485</v>
      </c>
      <c r="B282" s="26"/>
      <c r="C282" s="26"/>
      <c r="D282" s="26"/>
      <c r="E282" s="26"/>
    </row>
    <row r="283" spans="1:5" hidden="1" x14ac:dyDescent="0.3">
      <c r="A283" s="6" t="s">
        <v>486</v>
      </c>
      <c r="B283" s="3" t="s">
        <v>476</v>
      </c>
      <c r="C283" s="3" t="s">
        <v>477</v>
      </c>
      <c r="D283" s="3" t="s">
        <v>478</v>
      </c>
      <c r="E283" s="3" t="s">
        <v>479</v>
      </c>
    </row>
    <row r="284" spans="1:5" ht="17.25" thickBot="1" x14ac:dyDescent="0.35">
      <c r="A284" s="13" t="s">
        <v>26</v>
      </c>
      <c r="B284" s="2">
        <v>139.97999999999999</v>
      </c>
      <c r="C284" s="2">
        <v>3</v>
      </c>
      <c r="D284" s="2">
        <v>2797</v>
      </c>
      <c r="E284" s="2" t="s">
        <v>482</v>
      </c>
    </row>
    <row r="285" spans="1:5" ht="17.25" hidden="1" thickBot="1" x14ac:dyDescent="0.35">
      <c r="A285" s="13" t="s">
        <v>1</v>
      </c>
      <c r="B285" s="2">
        <v>3170.76</v>
      </c>
      <c r="C285" s="2">
        <v>1</v>
      </c>
      <c r="D285" s="2">
        <v>2799</v>
      </c>
      <c r="E285" s="2" t="s">
        <v>482</v>
      </c>
    </row>
    <row r="286" spans="1:5" ht="17.25" hidden="1" thickBot="1" x14ac:dyDescent="0.35">
      <c r="A286" s="13" t="s">
        <v>5</v>
      </c>
      <c r="B286" s="2">
        <v>145.12</v>
      </c>
      <c r="C286" s="2">
        <v>1</v>
      </c>
      <c r="D286" s="2">
        <v>2799</v>
      </c>
      <c r="E286" s="2" t="s">
        <v>482</v>
      </c>
    </row>
    <row r="287" spans="1:5" ht="17.25" hidden="1" thickBot="1" x14ac:dyDescent="0.35">
      <c r="A287" s="13" t="s">
        <v>6</v>
      </c>
      <c r="B287" s="2">
        <v>1.1000000000000001</v>
      </c>
      <c r="C287" s="2">
        <v>1</v>
      </c>
      <c r="D287" s="2">
        <v>2799</v>
      </c>
      <c r="E287" s="2">
        <v>0.29360000000000003</v>
      </c>
    </row>
    <row r="288" spans="1:5" ht="17.25" hidden="1" thickBot="1" x14ac:dyDescent="0.35">
      <c r="A288" s="13" t="s">
        <v>7</v>
      </c>
      <c r="B288" s="2">
        <v>267.89999999999998</v>
      </c>
      <c r="C288" s="2">
        <v>1</v>
      </c>
      <c r="D288" s="2">
        <v>2799</v>
      </c>
      <c r="E288" s="2" t="s">
        <v>482</v>
      </c>
    </row>
    <row r="289" spans="1:6" ht="17.25" hidden="1" thickBot="1" x14ac:dyDescent="0.35">
      <c r="A289" s="13" t="s">
        <v>8</v>
      </c>
      <c r="B289" s="2">
        <v>0</v>
      </c>
      <c r="C289" s="2">
        <v>1</v>
      </c>
      <c r="D289" s="2">
        <v>2799</v>
      </c>
      <c r="E289" s="2">
        <v>0.94740000000000002</v>
      </c>
    </row>
    <row r="290" spans="1:6" ht="17.25" hidden="1" thickBot="1" x14ac:dyDescent="0.35">
      <c r="A290" s="13" t="s">
        <v>10</v>
      </c>
      <c r="B290" s="2">
        <v>81.3</v>
      </c>
      <c r="C290" s="2">
        <v>1</v>
      </c>
      <c r="D290" s="2">
        <v>2799</v>
      </c>
      <c r="E290" s="2" t="s">
        <v>482</v>
      </c>
    </row>
    <row r="291" spans="1:6" ht="17.25" hidden="1" thickBot="1" x14ac:dyDescent="0.35">
      <c r="A291" s="13" t="s">
        <v>11</v>
      </c>
      <c r="B291" s="2">
        <v>607.55999999999995</v>
      </c>
      <c r="C291" s="2">
        <v>1</v>
      </c>
      <c r="D291" s="2">
        <v>2799</v>
      </c>
      <c r="E291" s="2" t="s">
        <v>482</v>
      </c>
    </row>
    <row r="292" spans="1:6" ht="17.25" hidden="1" thickBot="1" x14ac:dyDescent="0.35">
      <c r="A292" s="13" t="s">
        <v>12</v>
      </c>
      <c r="B292" s="2">
        <v>14.11</v>
      </c>
      <c r="C292" s="2">
        <v>1</v>
      </c>
      <c r="D292" s="2">
        <v>2799</v>
      </c>
      <c r="E292" s="2">
        <v>2.0000000000000001E-4</v>
      </c>
    </row>
    <row r="293" spans="1:6" ht="17.25" hidden="1" thickBot="1" x14ac:dyDescent="0.35">
      <c r="A293" s="13" t="s">
        <v>13</v>
      </c>
      <c r="B293" s="2">
        <v>46.77</v>
      </c>
      <c r="C293" s="2">
        <v>1</v>
      </c>
      <c r="D293" s="2">
        <v>2799</v>
      </c>
      <c r="E293" s="2" t="s">
        <v>482</v>
      </c>
    </row>
    <row r="294" spans="1:6" ht="25.5" hidden="1" x14ac:dyDescent="0.3">
      <c r="A294" s="14" t="s">
        <v>14</v>
      </c>
      <c r="B294" s="2">
        <v>69.48</v>
      </c>
      <c r="C294" s="2">
        <v>1</v>
      </c>
      <c r="D294" s="2">
        <v>2799</v>
      </c>
      <c r="E294" s="2" t="s">
        <v>482</v>
      </c>
    </row>
    <row r="295" spans="1:6" hidden="1" x14ac:dyDescent="0.3"/>
    <row r="296" spans="1:6" ht="16.5" hidden="1" customHeight="1" x14ac:dyDescent="0.3">
      <c r="A296" s="24" t="s">
        <v>487</v>
      </c>
      <c r="B296" s="26"/>
      <c r="C296" s="26"/>
      <c r="D296" s="26"/>
      <c r="E296" s="26"/>
      <c r="F296" s="26"/>
    </row>
    <row r="297" spans="1:6" ht="16.5" hidden="1" customHeight="1" x14ac:dyDescent="0.3">
      <c r="A297" s="25" t="s">
        <v>488</v>
      </c>
      <c r="B297" s="27"/>
      <c r="C297" s="27" t="s">
        <v>489</v>
      </c>
      <c r="D297" s="3" t="s">
        <v>490</v>
      </c>
      <c r="E297" s="27" t="s">
        <v>492</v>
      </c>
      <c r="F297" s="27" t="s">
        <v>493</v>
      </c>
    </row>
    <row r="298" spans="1:6" hidden="1" x14ac:dyDescent="0.3">
      <c r="A298" s="25"/>
      <c r="B298" s="27"/>
      <c r="C298" s="27"/>
      <c r="D298" s="3" t="s">
        <v>491</v>
      </c>
      <c r="E298" s="27"/>
      <c r="F298" s="27"/>
    </row>
    <row r="299" spans="1:6" ht="16.5" hidden="1" customHeight="1" x14ac:dyDescent="0.3">
      <c r="A299" s="25" t="s">
        <v>494</v>
      </c>
      <c r="B299" s="30"/>
      <c r="C299" s="30"/>
      <c r="D299" s="30"/>
      <c r="E299" s="30"/>
      <c r="F299" s="30"/>
    </row>
    <row r="300" spans="1:6" ht="17.25" hidden="1" thickBot="1" x14ac:dyDescent="0.35">
      <c r="A300" s="13" t="s">
        <v>495</v>
      </c>
      <c r="B300" s="12"/>
      <c r="C300" s="16">
        <v>-4.1852999999999998</v>
      </c>
      <c r="D300" s="2">
        <v>0.1757</v>
      </c>
      <c r="E300" s="16">
        <v>-23.82</v>
      </c>
      <c r="F300" s="2" t="s">
        <v>482</v>
      </c>
    </row>
    <row r="301" spans="1:6" ht="17.25" thickBot="1" x14ac:dyDescent="0.35">
      <c r="A301" s="13" t="s">
        <v>26</v>
      </c>
      <c r="B301" s="12">
        <v>2</v>
      </c>
      <c r="C301" s="2">
        <v>0.28949999999999998</v>
      </c>
      <c r="D301" s="2">
        <v>4.24E-2</v>
      </c>
      <c r="E301" s="2">
        <v>6.83</v>
      </c>
      <c r="F301" s="2" t="s">
        <v>482</v>
      </c>
    </row>
    <row r="302" spans="1:6" ht="17.25" thickBot="1" x14ac:dyDescent="0.35">
      <c r="A302" s="13" t="s">
        <v>26</v>
      </c>
      <c r="B302" s="12">
        <v>3</v>
      </c>
      <c r="C302" s="2">
        <v>0.55079999999999996</v>
      </c>
      <c r="D302" s="2">
        <v>4.0500000000000001E-2</v>
      </c>
      <c r="E302" s="2">
        <v>13.61</v>
      </c>
      <c r="F302" s="2" t="s">
        <v>482</v>
      </c>
    </row>
    <row r="303" spans="1:6" ht="17.25" thickBot="1" x14ac:dyDescent="0.35">
      <c r="A303" s="13" t="s">
        <v>26</v>
      </c>
      <c r="B303" s="12">
        <v>4</v>
      </c>
      <c r="C303" s="2">
        <v>0.76390000000000002</v>
      </c>
      <c r="D303" s="2">
        <v>4.0099999999999997E-2</v>
      </c>
      <c r="E303" s="2">
        <v>19.07</v>
      </c>
      <c r="F303" s="2" t="s">
        <v>482</v>
      </c>
    </row>
    <row r="304" spans="1:6" ht="17.25" hidden="1" thickBot="1" x14ac:dyDescent="0.35">
      <c r="A304" s="13" t="s">
        <v>1</v>
      </c>
      <c r="B304" s="12"/>
      <c r="C304" s="2">
        <v>1.4419999999999999</v>
      </c>
      <c r="D304" s="2">
        <v>2.5600000000000001E-2</v>
      </c>
      <c r="E304" s="2">
        <v>56.31</v>
      </c>
      <c r="F304" s="2" t="s">
        <v>482</v>
      </c>
    </row>
    <row r="305" spans="1:9" ht="17.25" hidden="1" thickBot="1" x14ac:dyDescent="0.35">
      <c r="A305" s="13" t="s">
        <v>5</v>
      </c>
      <c r="B305" s="12"/>
      <c r="C305" s="16">
        <v>-0.36259999999999998</v>
      </c>
      <c r="D305" s="2">
        <v>3.0099999999999998E-2</v>
      </c>
      <c r="E305" s="16">
        <v>-12.05</v>
      </c>
      <c r="F305" s="2" t="s">
        <v>482</v>
      </c>
    </row>
    <row r="306" spans="1:9" ht="17.25" hidden="1" thickBot="1" x14ac:dyDescent="0.35">
      <c r="A306" s="13" t="s">
        <v>6</v>
      </c>
      <c r="B306" s="12"/>
      <c r="C306" s="16">
        <v>-3.73E-2</v>
      </c>
      <c r="D306" s="2">
        <v>3.5499999999999997E-2</v>
      </c>
      <c r="E306" s="16">
        <v>-1.05</v>
      </c>
      <c r="F306" s="2">
        <v>0.29360000000000003</v>
      </c>
    </row>
    <row r="307" spans="1:9" ht="17.25" hidden="1" thickBot="1" x14ac:dyDescent="0.35">
      <c r="A307" s="13" t="s">
        <v>7</v>
      </c>
      <c r="B307" s="12"/>
      <c r="C307" s="16">
        <v>-0.23769999999999999</v>
      </c>
      <c r="D307" s="2">
        <v>1.4500000000000001E-2</v>
      </c>
      <c r="E307" s="16">
        <v>-16.37</v>
      </c>
      <c r="F307" s="2" t="s">
        <v>482</v>
      </c>
    </row>
    <row r="308" spans="1:9" ht="17.25" hidden="1" thickBot="1" x14ac:dyDescent="0.35">
      <c r="A308" s="13" t="s">
        <v>8</v>
      </c>
      <c r="B308" s="12"/>
      <c r="C308" s="2">
        <v>9.01E-4</v>
      </c>
      <c r="D308" s="2">
        <v>1.3599999999999999E-2</v>
      </c>
      <c r="E308" s="2">
        <v>7.0000000000000007E-2</v>
      </c>
      <c r="F308" s="2">
        <v>0.94740000000000002</v>
      </c>
    </row>
    <row r="309" spans="1:9" ht="17.25" hidden="1" thickBot="1" x14ac:dyDescent="0.35">
      <c r="A309" s="13" t="s">
        <v>10</v>
      </c>
      <c r="B309" s="12"/>
      <c r="C309" s="16">
        <v>-0.58150000000000002</v>
      </c>
      <c r="D309" s="2">
        <v>6.4500000000000002E-2</v>
      </c>
      <c r="E309" s="16">
        <v>-9.02</v>
      </c>
      <c r="F309" s="2" t="s">
        <v>482</v>
      </c>
    </row>
    <row r="310" spans="1:9" ht="17.25" hidden="1" thickBot="1" x14ac:dyDescent="0.35">
      <c r="A310" s="13" t="s">
        <v>11</v>
      </c>
      <c r="B310" s="12"/>
      <c r="C310" s="2">
        <v>0.48370000000000002</v>
      </c>
      <c r="D310" s="2">
        <v>1.9599999999999999E-2</v>
      </c>
      <c r="E310" s="2">
        <v>24.65</v>
      </c>
      <c r="F310" s="2" t="s">
        <v>482</v>
      </c>
    </row>
    <row r="311" spans="1:9" ht="17.25" hidden="1" thickBot="1" x14ac:dyDescent="0.35">
      <c r="A311" s="13" t="s">
        <v>12</v>
      </c>
      <c r="B311" s="12"/>
      <c r="C311" s="2">
        <v>8.0100000000000005E-2</v>
      </c>
      <c r="D311" s="2">
        <v>2.1299999999999999E-2</v>
      </c>
      <c r="E311" s="2">
        <v>3.76</v>
      </c>
      <c r="F311" s="2">
        <v>2.0000000000000001E-4</v>
      </c>
    </row>
    <row r="312" spans="1:9" ht="17.25" hidden="1" thickBot="1" x14ac:dyDescent="0.35">
      <c r="A312" s="13" t="s">
        <v>13</v>
      </c>
      <c r="B312" s="12"/>
      <c r="C312" s="2">
        <v>0.11849999999999999</v>
      </c>
      <c r="D312" s="2">
        <v>1.7299999999999999E-2</v>
      </c>
      <c r="E312" s="2">
        <v>6.84</v>
      </c>
      <c r="F312" s="2" t="s">
        <v>482</v>
      </c>
    </row>
    <row r="313" spans="1:9" ht="25.5" hidden="1" x14ac:dyDescent="0.3">
      <c r="A313" s="14" t="s">
        <v>14</v>
      </c>
      <c r="B313" s="15"/>
      <c r="C313" s="16">
        <v>-0.28849999999999998</v>
      </c>
      <c r="D313" s="2">
        <v>3.4599999999999999E-2</v>
      </c>
      <c r="E313" s="16">
        <v>-8.34</v>
      </c>
      <c r="F313" s="2" t="s">
        <v>482</v>
      </c>
    </row>
    <row r="314" spans="1:9" hidden="1" x14ac:dyDescent="0.3"/>
    <row r="315" spans="1:9" ht="16.5" hidden="1" customHeight="1" x14ac:dyDescent="0.3">
      <c r="A315" s="24" t="s">
        <v>496</v>
      </c>
      <c r="B315" s="26"/>
      <c r="C315" s="26"/>
      <c r="D315" s="26"/>
    </row>
    <row r="316" spans="1:9" ht="33" hidden="1" customHeight="1" x14ac:dyDescent="0.3">
      <c r="A316" s="6" t="s">
        <v>486</v>
      </c>
      <c r="B316" s="3" t="s">
        <v>497</v>
      </c>
      <c r="C316" s="27" t="s">
        <v>91</v>
      </c>
      <c r="D316" s="27"/>
    </row>
    <row r="317" spans="1:9" ht="49.5" hidden="1" customHeight="1" x14ac:dyDescent="0.3">
      <c r="A317" s="25" t="s">
        <v>498</v>
      </c>
      <c r="B317" s="30"/>
      <c r="C317" s="30"/>
      <c r="D317" s="30"/>
    </row>
    <row r="318" spans="1:9" ht="26.25" thickBot="1" x14ac:dyDescent="0.35">
      <c r="A318" s="13" t="s">
        <v>521</v>
      </c>
      <c r="B318" s="2">
        <v>1.3360000000000001</v>
      </c>
      <c r="C318" s="2">
        <v>1.2290000000000001</v>
      </c>
      <c r="D318" s="2">
        <v>1.452</v>
      </c>
      <c r="H318" s="8" t="str">
        <f>TEXT(B318,"0.00")&amp;" ("&amp;TEXT(C318,"0.00")&amp;" to "&amp;TEXT(D318,"0.00")&amp;")"</f>
        <v>1.34 (1.23 to 1.45)</v>
      </c>
      <c r="I318" s="2" t="s">
        <v>482</v>
      </c>
    </row>
    <row r="319" spans="1:9" ht="26.25" thickBot="1" x14ac:dyDescent="0.35">
      <c r="A319" s="13" t="s">
        <v>522</v>
      </c>
      <c r="B319" s="2">
        <v>1.7350000000000001</v>
      </c>
      <c r="C319" s="2">
        <v>1.6020000000000001</v>
      </c>
      <c r="D319" s="2">
        <v>1.8779999999999999</v>
      </c>
      <c r="H319" s="8" t="str">
        <f t="shared" ref="H319:H320" si="2">TEXT(B319,"0.00")&amp;" ("&amp;TEXT(C319,"0.00")&amp;" to "&amp;TEXT(D319,"0.00")&amp;")"</f>
        <v>1.74 (1.60 to 1.88)</v>
      </c>
      <c r="I319" s="2" t="s">
        <v>482</v>
      </c>
    </row>
    <row r="320" spans="1:9" ht="26.25" thickBot="1" x14ac:dyDescent="0.35">
      <c r="A320" s="13" t="s">
        <v>523</v>
      </c>
      <c r="B320" s="2">
        <v>2.1469999999999998</v>
      </c>
      <c r="C320" s="2">
        <v>1.9850000000000001</v>
      </c>
      <c r="D320" s="2">
        <v>2.3220000000000001</v>
      </c>
      <c r="H320" s="8" t="str">
        <f t="shared" si="2"/>
        <v>2.15 (1.99 to 2.32)</v>
      </c>
      <c r="I320" s="2" t="s">
        <v>482</v>
      </c>
    </row>
    <row r="321" spans="1:4" ht="17.25" hidden="1" thickBot="1" x14ac:dyDescent="0.35">
      <c r="A321" s="13" t="s">
        <v>1</v>
      </c>
      <c r="B321" s="2">
        <v>4.2290000000000001</v>
      </c>
      <c r="C321" s="2">
        <v>4.0220000000000002</v>
      </c>
      <c r="D321" s="2">
        <v>4.4470000000000001</v>
      </c>
    </row>
    <row r="322" spans="1:4" ht="17.25" hidden="1" thickBot="1" x14ac:dyDescent="0.35">
      <c r="A322" s="13" t="s">
        <v>5</v>
      </c>
      <c r="B322" s="2">
        <v>0.69599999999999995</v>
      </c>
      <c r="C322" s="2">
        <v>0.65600000000000003</v>
      </c>
      <c r="D322" s="2">
        <v>0.73799999999999999</v>
      </c>
    </row>
    <row r="323" spans="1:4" ht="17.25" hidden="1" thickBot="1" x14ac:dyDescent="0.35">
      <c r="A323" s="13" t="s">
        <v>6</v>
      </c>
      <c r="B323" s="2">
        <v>0.96299999999999997</v>
      </c>
      <c r="C323" s="2">
        <v>0.89900000000000002</v>
      </c>
      <c r="D323" s="2">
        <v>1.0329999999999999</v>
      </c>
    </row>
    <row r="324" spans="1:4" ht="17.25" hidden="1" thickBot="1" x14ac:dyDescent="0.35">
      <c r="A324" s="13" t="s">
        <v>7</v>
      </c>
      <c r="B324" s="2">
        <v>0.78800000000000003</v>
      </c>
      <c r="C324" s="2">
        <v>0.76600000000000001</v>
      </c>
      <c r="D324" s="2">
        <v>0.81100000000000005</v>
      </c>
    </row>
    <row r="325" spans="1:4" ht="17.25" hidden="1" thickBot="1" x14ac:dyDescent="0.35">
      <c r="A325" s="13" t="s">
        <v>8</v>
      </c>
      <c r="B325" s="2">
        <v>1.0009999999999999</v>
      </c>
      <c r="C325" s="2">
        <v>0.97399999999999998</v>
      </c>
      <c r="D325" s="2">
        <v>1.028</v>
      </c>
    </row>
    <row r="326" spans="1:4" ht="17.25" hidden="1" thickBot="1" x14ac:dyDescent="0.35">
      <c r="A326" s="13" t="s">
        <v>10</v>
      </c>
      <c r="B326" s="2">
        <v>0.55900000000000005</v>
      </c>
      <c r="C326" s="2">
        <v>0.49299999999999999</v>
      </c>
      <c r="D326" s="2">
        <v>0.63400000000000001</v>
      </c>
    </row>
    <row r="327" spans="1:4" ht="17.25" hidden="1" thickBot="1" x14ac:dyDescent="0.35">
      <c r="A327" s="13" t="s">
        <v>11</v>
      </c>
      <c r="B327" s="2">
        <v>1.6220000000000001</v>
      </c>
      <c r="C327" s="2">
        <v>1.5609999999999999</v>
      </c>
      <c r="D327" s="2">
        <v>1.6859999999999999</v>
      </c>
    </row>
    <row r="328" spans="1:4" ht="17.25" hidden="1" thickBot="1" x14ac:dyDescent="0.35">
      <c r="A328" s="13" t="s">
        <v>12</v>
      </c>
      <c r="B328" s="2">
        <v>1.083</v>
      </c>
      <c r="C328" s="2">
        <v>1.0389999999999999</v>
      </c>
      <c r="D328" s="2">
        <v>1.1299999999999999</v>
      </c>
    </row>
    <row r="329" spans="1:4" ht="17.25" hidden="1" thickBot="1" x14ac:dyDescent="0.35">
      <c r="A329" s="13" t="s">
        <v>13</v>
      </c>
      <c r="B329" s="2">
        <v>1.1259999999999999</v>
      </c>
      <c r="C329" s="2">
        <v>1.0880000000000001</v>
      </c>
      <c r="D329" s="2">
        <v>1.165</v>
      </c>
    </row>
    <row r="330" spans="1:4" ht="25.5" hidden="1" x14ac:dyDescent="0.3">
      <c r="A330" s="14" t="s">
        <v>14</v>
      </c>
      <c r="B330" s="2">
        <v>0.749</v>
      </c>
      <c r="C330" s="2">
        <v>0.7</v>
      </c>
      <c r="D330" s="2">
        <v>0.80200000000000005</v>
      </c>
    </row>
    <row r="331" spans="1:4" hidden="1" x14ac:dyDescent="0.3"/>
    <row r="332" spans="1:4" ht="33" hidden="1" customHeight="1" x14ac:dyDescent="0.3">
      <c r="A332" s="24" t="s">
        <v>502</v>
      </c>
      <c r="B332" s="26"/>
      <c r="C332" s="26"/>
      <c r="D332" s="26"/>
    </row>
    <row r="333" spans="1:4" ht="39" hidden="1" thickBot="1" x14ac:dyDescent="0.35">
      <c r="A333" s="13" t="s">
        <v>503</v>
      </c>
      <c r="B333" s="2">
        <v>81.8</v>
      </c>
      <c r="C333" s="12" t="s">
        <v>504</v>
      </c>
      <c r="D333" s="2">
        <v>0.63800000000000001</v>
      </c>
    </row>
    <row r="334" spans="1:4" ht="26.25" hidden="1" thickBot="1" x14ac:dyDescent="0.35">
      <c r="A334" s="13" t="s">
        <v>505</v>
      </c>
      <c r="B334" s="2">
        <v>17.899999999999999</v>
      </c>
      <c r="C334" s="12" t="s">
        <v>506</v>
      </c>
      <c r="D334" s="2">
        <v>0.64</v>
      </c>
    </row>
    <row r="335" spans="1:4" ht="26.25" hidden="1" thickBot="1" x14ac:dyDescent="0.35">
      <c r="A335" s="13" t="s">
        <v>507</v>
      </c>
      <c r="B335" s="2">
        <v>0.3</v>
      </c>
      <c r="C335" s="12" t="s">
        <v>508</v>
      </c>
      <c r="D335" s="2">
        <v>0.215</v>
      </c>
    </row>
    <row r="336" spans="1:4" hidden="1" x14ac:dyDescent="0.3">
      <c r="A336" s="14" t="s">
        <v>509</v>
      </c>
      <c r="B336" s="2">
        <v>793824750</v>
      </c>
      <c r="C336" s="15" t="s">
        <v>510</v>
      </c>
      <c r="D336" s="2">
        <v>0.81899999999999995</v>
      </c>
    </row>
    <row r="337" spans="1:2" hidden="1" x14ac:dyDescent="0.3"/>
    <row r="338" spans="1:2" hidden="1" x14ac:dyDescent="0.3"/>
    <row r="339" spans="1:2" hidden="1" x14ac:dyDescent="0.3"/>
    <row r="340" spans="1:2" hidden="1" x14ac:dyDescent="0.3">
      <c r="A340" s="1" t="s">
        <v>436</v>
      </c>
    </row>
    <row r="341" spans="1:2" hidden="1" x14ac:dyDescent="0.3"/>
    <row r="342" spans="1:2" ht="16.5" hidden="1" customHeight="1" x14ac:dyDescent="0.3">
      <c r="A342" s="24" t="s">
        <v>437</v>
      </c>
      <c r="B342" s="26"/>
    </row>
    <row r="343" spans="1:2" ht="26.25" hidden="1" thickBot="1" x14ac:dyDescent="0.35">
      <c r="A343" s="13" t="s">
        <v>438</v>
      </c>
      <c r="B343" s="18" t="s">
        <v>439</v>
      </c>
    </row>
    <row r="344" spans="1:2" ht="26.25" hidden="1" thickBot="1" x14ac:dyDescent="0.35">
      <c r="A344" s="13" t="s">
        <v>440</v>
      </c>
      <c r="B344" s="18" t="s">
        <v>15</v>
      </c>
    </row>
    <row r="345" spans="1:2" ht="39" hidden="1" thickBot="1" x14ac:dyDescent="0.35">
      <c r="A345" s="13" t="s">
        <v>441</v>
      </c>
      <c r="B345" s="18">
        <v>2</v>
      </c>
    </row>
    <row r="346" spans="1:2" ht="26.25" hidden="1" thickBot="1" x14ac:dyDescent="0.35">
      <c r="A346" s="13" t="s">
        <v>442</v>
      </c>
      <c r="B346" s="18" t="s">
        <v>443</v>
      </c>
    </row>
    <row r="347" spans="1:2" ht="26.25" hidden="1" thickBot="1" x14ac:dyDescent="0.35">
      <c r="A347" s="13" t="s">
        <v>76</v>
      </c>
      <c r="B347" s="18">
        <v>183</v>
      </c>
    </row>
    <row r="348" spans="1:2" ht="26.25" hidden="1" thickBot="1" x14ac:dyDescent="0.35">
      <c r="A348" s="13" t="s">
        <v>444</v>
      </c>
      <c r="B348" s="18" t="s">
        <v>445</v>
      </c>
    </row>
    <row r="349" spans="1:2" ht="26.25" hidden="1" thickBot="1" x14ac:dyDescent="0.35">
      <c r="A349" s="13" t="s">
        <v>77</v>
      </c>
      <c r="B349" s="18">
        <v>2982</v>
      </c>
    </row>
    <row r="350" spans="1:2" ht="26.25" hidden="1" thickBot="1" x14ac:dyDescent="0.35">
      <c r="A350" s="13" t="s">
        <v>446</v>
      </c>
      <c r="B350" s="18" t="s">
        <v>447</v>
      </c>
    </row>
    <row r="351" spans="1:2" ht="26.25" hidden="1" thickBot="1" x14ac:dyDescent="0.35">
      <c r="A351" s="13" t="s">
        <v>448</v>
      </c>
      <c r="B351" s="18" t="s">
        <v>449</v>
      </c>
    </row>
    <row r="352" spans="1:2" ht="39" hidden="1" thickBot="1" x14ac:dyDescent="0.35">
      <c r="A352" s="13" t="s">
        <v>450</v>
      </c>
      <c r="B352" s="18" t="s">
        <v>451</v>
      </c>
    </row>
    <row r="353" spans="1:4" ht="38.25" hidden="1" x14ac:dyDescent="0.3">
      <c r="A353" s="14" t="s">
        <v>452</v>
      </c>
      <c r="B353" s="29" t="s">
        <v>453</v>
      </c>
    </row>
    <row r="354" spans="1:4" hidden="1" x14ac:dyDescent="0.3"/>
    <row r="355" spans="1:4" ht="33" hidden="1" customHeight="1" x14ac:dyDescent="0.3">
      <c r="A355" s="24" t="s">
        <v>80</v>
      </c>
      <c r="B355" s="26"/>
    </row>
    <row r="356" spans="1:4" ht="33.75" hidden="1" thickBot="1" x14ac:dyDescent="0.35">
      <c r="A356" s="13" t="s">
        <v>81</v>
      </c>
      <c r="B356" s="2" t="s">
        <v>82</v>
      </c>
    </row>
    <row r="357" spans="1:4" ht="66" hidden="1" x14ac:dyDescent="0.3">
      <c r="A357" s="14" t="s">
        <v>452</v>
      </c>
      <c r="B357" s="2" t="s">
        <v>453</v>
      </c>
    </row>
    <row r="358" spans="1:4" hidden="1" x14ac:dyDescent="0.3"/>
    <row r="359" spans="1:4" ht="39" hidden="1" thickBot="1" x14ac:dyDescent="0.35">
      <c r="A359" s="20" t="s">
        <v>454</v>
      </c>
      <c r="B359" s="21">
        <v>68635</v>
      </c>
    </row>
    <row r="360" spans="1:4" ht="39" hidden="1" thickBot="1" x14ac:dyDescent="0.35">
      <c r="A360" s="13" t="s">
        <v>455</v>
      </c>
      <c r="B360" s="2">
        <v>68635</v>
      </c>
    </row>
    <row r="361" spans="1:4" ht="39" hidden="1" thickBot="1" x14ac:dyDescent="0.35">
      <c r="A361" s="13" t="s">
        <v>456</v>
      </c>
      <c r="B361" s="2">
        <v>30251936</v>
      </c>
    </row>
    <row r="362" spans="1:4" ht="38.25" hidden="1" x14ac:dyDescent="0.3">
      <c r="A362" s="14" t="s">
        <v>457</v>
      </c>
      <c r="B362" s="2">
        <v>30251936</v>
      </c>
    </row>
    <row r="363" spans="1:4" hidden="1" x14ac:dyDescent="0.3"/>
    <row r="364" spans="1:4" ht="16.5" hidden="1" customHeight="1" x14ac:dyDescent="0.3">
      <c r="A364" s="24" t="s">
        <v>458</v>
      </c>
      <c r="B364" s="26"/>
      <c r="C364" s="26"/>
      <c r="D364" s="26"/>
    </row>
    <row r="365" spans="1:4" hidden="1" x14ac:dyDescent="0.3">
      <c r="A365" s="6" t="s">
        <v>459</v>
      </c>
      <c r="B365" s="27" t="s">
        <v>15</v>
      </c>
      <c r="C365" s="3" t="s">
        <v>93</v>
      </c>
      <c r="D365" s="3" t="s">
        <v>93</v>
      </c>
    </row>
    <row r="366" spans="1:4" ht="33" hidden="1" x14ac:dyDescent="0.3">
      <c r="A366" s="6" t="s">
        <v>460</v>
      </c>
      <c r="B366" s="27"/>
      <c r="C366" s="3" t="s">
        <v>86</v>
      </c>
      <c r="D366" s="3" t="s">
        <v>461</v>
      </c>
    </row>
    <row r="367" spans="1:4" ht="17.25" hidden="1" thickBot="1" x14ac:dyDescent="0.35">
      <c r="A367" s="6">
        <v>1</v>
      </c>
      <c r="B367" s="17">
        <v>0</v>
      </c>
      <c r="C367" s="2">
        <v>53910</v>
      </c>
      <c r="D367" s="2">
        <v>25120748</v>
      </c>
    </row>
    <row r="368" spans="1:4" hidden="1" x14ac:dyDescent="0.3">
      <c r="A368" s="6">
        <v>2</v>
      </c>
      <c r="B368" s="22">
        <v>1</v>
      </c>
      <c r="C368" s="2">
        <v>14725</v>
      </c>
      <c r="D368" s="2">
        <v>5131188</v>
      </c>
    </row>
    <row r="369" spans="1:5" hidden="1" x14ac:dyDescent="0.3"/>
    <row r="370" spans="1:5" hidden="1" x14ac:dyDescent="0.3">
      <c r="A370" s="1" t="s">
        <v>651</v>
      </c>
    </row>
    <row r="371" spans="1:5" hidden="1" x14ac:dyDescent="0.3"/>
    <row r="372" spans="1:5" ht="16.5" hidden="1" customHeight="1" x14ac:dyDescent="0.3">
      <c r="A372" s="24" t="s">
        <v>462</v>
      </c>
      <c r="B372" s="26"/>
      <c r="C372" s="26"/>
      <c r="D372" s="26"/>
      <c r="E372" s="26"/>
    </row>
    <row r="373" spans="1:5" ht="16.5" hidden="1" customHeight="1" x14ac:dyDescent="0.3">
      <c r="A373" s="6" t="s">
        <v>463</v>
      </c>
      <c r="B373" s="3" t="s">
        <v>460</v>
      </c>
      <c r="C373" s="27" t="s">
        <v>464</v>
      </c>
      <c r="D373" s="27"/>
      <c r="E373" s="27"/>
    </row>
    <row r="374" spans="1:5" ht="17.25" thickBot="1" x14ac:dyDescent="0.35">
      <c r="A374" s="13" t="s">
        <v>28</v>
      </c>
      <c r="B374" s="12">
        <v>1</v>
      </c>
      <c r="C374" s="2">
        <v>0</v>
      </c>
      <c r="D374" s="2">
        <v>0</v>
      </c>
      <c r="E374" s="2">
        <v>0</v>
      </c>
    </row>
    <row r="375" spans="1:5" ht="17.25" hidden="1" thickBot="1" x14ac:dyDescent="0.35">
      <c r="A375" s="13"/>
      <c r="B375" s="12">
        <v>2</v>
      </c>
      <c r="C375" s="2">
        <v>1</v>
      </c>
      <c r="D375" s="2">
        <v>0</v>
      </c>
      <c r="E375" s="2">
        <v>0</v>
      </c>
    </row>
    <row r="376" spans="1:5" ht="17.25" hidden="1" thickBot="1" x14ac:dyDescent="0.35">
      <c r="A376" s="13"/>
      <c r="B376" s="12">
        <v>3</v>
      </c>
      <c r="C376" s="2">
        <v>0</v>
      </c>
      <c r="D376" s="2">
        <v>1</v>
      </c>
      <c r="E376" s="2">
        <v>0</v>
      </c>
    </row>
    <row r="377" spans="1:5" hidden="1" x14ac:dyDescent="0.3">
      <c r="A377" s="14"/>
      <c r="B377" s="15">
        <v>4</v>
      </c>
      <c r="C377" s="2">
        <v>0</v>
      </c>
      <c r="D377" s="2">
        <v>0</v>
      </c>
      <c r="E377" s="2">
        <v>1</v>
      </c>
    </row>
    <row r="378" spans="1:5" hidden="1" x14ac:dyDescent="0.3"/>
    <row r="379" spans="1:5" ht="66" hidden="1" x14ac:dyDescent="0.3">
      <c r="A379" s="4" t="s">
        <v>465</v>
      </c>
    </row>
    <row r="380" spans="1:5" ht="99" hidden="1" x14ac:dyDescent="0.3">
      <c r="A380" s="23" t="s">
        <v>466</v>
      </c>
    </row>
    <row r="381" spans="1:5" hidden="1" x14ac:dyDescent="0.3"/>
    <row r="382" spans="1:5" ht="16.5" hidden="1" customHeight="1" x14ac:dyDescent="0.3">
      <c r="A382" s="24" t="s">
        <v>467</v>
      </c>
      <c r="B382" s="26"/>
      <c r="C382" s="26"/>
    </row>
    <row r="383" spans="1:5" ht="66" hidden="1" x14ac:dyDescent="0.3">
      <c r="A383" s="6" t="s">
        <v>468</v>
      </c>
      <c r="B383" s="3" t="s">
        <v>469</v>
      </c>
      <c r="C383" s="3" t="s">
        <v>470</v>
      </c>
    </row>
    <row r="384" spans="1:5" ht="17.25" hidden="1" thickBot="1" x14ac:dyDescent="0.35">
      <c r="A384" s="13" t="s">
        <v>471</v>
      </c>
      <c r="B384" s="2">
        <v>27545935</v>
      </c>
      <c r="C384" s="2">
        <v>20548582</v>
      </c>
    </row>
    <row r="385" spans="1:5" ht="17.25" hidden="1" thickBot="1" x14ac:dyDescent="0.35">
      <c r="A385" s="13" t="s">
        <v>472</v>
      </c>
      <c r="B385" s="2">
        <v>27545950</v>
      </c>
      <c r="C385" s="2">
        <v>20548795</v>
      </c>
    </row>
    <row r="386" spans="1:5" hidden="1" x14ac:dyDescent="0.3">
      <c r="A386" s="14" t="s">
        <v>473</v>
      </c>
      <c r="B386" s="2" t="s">
        <v>652</v>
      </c>
      <c r="C386" s="2">
        <v>20548554</v>
      </c>
    </row>
    <row r="387" spans="1:5" hidden="1" x14ac:dyDescent="0.3"/>
    <row r="388" spans="1:5" ht="16.5" hidden="1" customHeight="1" x14ac:dyDescent="0.3">
      <c r="A388" s="24" t="s">
        <v>474</v>
      </c>
      <c r="B388" s="26"/>
      <c r="C388" s="26"/>
      <c r="D388" s="26"/>
      <c r="E388" s="26"/>
    </row>
    <row r="389" spans="1:5" hidden="1" x14ac:dyDescent="0.3">
      <c r="A389" s="6" t="s">
        <v>475</v>
      </c>
      <c r="B389" s="3" t="s">
        <v>476</v>
      </c>
      <c r="C389" s="3" t="s">
        <v>477</v>
      </c>
      <c r="D389" s="3" t="s">
        <v>478</v>
      </c>
      <c r="E389" s="3" t="s">
        <v>479</v>
      </c>
    </row>
    <row r="390" spans="1:5" ht="33" hidden="1" customHeight="1" x14ac:dyDescent="0.3">
      <c r="A390" s="25" t="s">
        <v>656</v>
      </c>
      <c r="B390" s="30"/>
      <c r="C390" s="30"/>
      <c r="D390" s="30"/>
      <c r="E390" s="30"/>
    </row>
    <row r="391" spans="1:5" ht="26.25" hidden="1" thickBot="1" x14ac:dyDescent="0.35">
      <c r="A391" s="13" t="s">
        <v>481</v>
      </c>
      <c r="B391" s="2">
        <v>1188.17</v>
      </c>
      <c r="C391" s="2">
        <v>12.867800000000001</v>
      </c>
      <c r="D391" s="2">
        <v>36017</v>
      </c>
      <c r="E391" s="2" t="s">
        <v>482</v>
      </c>
    </row>
    <row r="392" spans="1:5" ht="17.25" hidden="1" thickBot="1" x14ac:dyDescent="0.35">
      <c r="A392" s="13" t="s">
        <v>483</v>
      </c>
      <c r="B392" s="2">
        <v>775.63</v>
      </c>
      <c r="C392" s="2">
        <v>13</v>
      </c>
      <c r="D392" s="2">
        <v>2787</v>
      </c>
      <c r="E392" s="2" t="s">
        <v>482</v>
      </c>
    </row>
    <row r="393" spans="1:5" hidden="1" x14ac:dyDescent="0.3">
      <c r="A393" s="14" t="s">
        <v>484</v>
      </c>
      <c r="B393" s="2">
        <v>731.6</v>
      </c>
      <c r="C393" s="2">
        <v>13</v>
      </c>
      <c r="D393" s="2">
        <v>2787</v>
      </c>
      <c r="E393" s="2" t="s">
        <v>482</v>
      </c>
    </row>
    <row r="394" spans="1:5" hidden="1" x14ac:dyDescent="0.3"/>
    <row r="395" spans="1:5" ht="16.5" hidden="1" customHeight="1" x14ac:dyDescent="0.3">
      <c r="A395" s="24" t="s">
        <v>485</v>
      </c>
      <c r="B395" s="26"/>
      <c r="C395" s="26"/>
      <c r="D395" s="26"/>
      <c r="E395" s="26"/>
    </row>
    <row r="396" spans="1:5" hidden="1" x14ac:dyDescent="0.3">
      <c r="A396" s="6" t="s">
        <v>486</v>
      </c>
      <c r="B396" s="3" t="s">
        <v>476</v>
      </c>
      <c r="C396" s="3" t="s">
        <v>477</v>
      </c>
      <c r="D396" s="3" t="s">
        <v>478</v>
      </c>
      <c r="E396" s="3" t="s">
        <v>479</v>
      </c>
    </row>
    <row r="397" spans="1:5" ht="17.25" thickBot="1" x14ac:dyDescent="0.35">
      <c r="A397" s="13" t="s">
        <v>28</v>
      </c>
      <c r="B397" s="2">
        <v>504.05</v>
      </c>
      <c r="C397" s="2">
        <v>3</v>
      </c>
      <c r="D397" s="2">
        <v>2797</v>
      </c>
      <c r="E397" s="2" t="s">
        <v>482</v>
      </c>
    </row>
    <row r="398" spans="1:5" ht="17.25" hidden="1" thickBot="1" x14ac:dyDescent="0.35">
      <c r="A398" s="13" t="s">
        <v>1</v>
      </c>
      <c r="B398" s="2">
        <v>3214.29</v>
      </c>
      <c r="C398" s="2">
        <v>1</v>
      </c>
      <c r="D398" s="2">
        <v>2799</v>
      </c>
      <c r="E398" s="2" t="s">
        <v>482</v>
      </c>
    </row>
    <row r="399" spans="1:5" ht="17.25" hidden="1" thickBot="1" x14ac:dyDescent="0.35">
      <c r="A399" s="13" t="s">
        <v>5</v>
      </c>
      <c r="B399" s="2">
        <v>65.099999999999994</v>
      </c>
      <c r="C399" s="2">
        <v>1</v>
      </c>
      <c r="D399" s="2">
        <v>2799</v>
      </c>
      <c r="E399" s="2" t="s">
        <v>482</v>
      </c>
    </row>
    <row r="400" spans="1:5" ht="17.25" hidden="1" thickBot="1" x14ac:dyDescent="0.35">
      <c r="A400" s="13" t="s">
        <v>6</v>
      </c>
      <c r="B400" s="2">
        <v>1.27</v>
      </c>
      <c r="C400" s="2">
        <v>1</v>
      </c>
      <c r="D400" s="2">
        <v>2799</v>
      </c>
      <c r="E400" s="2">
        <v>0.2606</v>
      </c>
    </row>
    <row r="401" spans="1:6" ht="17.25" hidden="1" thickBot="1" x14ac:dyDescent="0.35">
      <c r="A401" s="13" t="s">
        <v>7</v>
      </c>
      <c r="B401" s="2">
        <v>237.57</v>
      </c>
      <c r="C401" s="2">
        <v>1</v>
      </c>
      <c r="D401" s="2">
        <v>2799</v>
      </c>
      <c r="E401" s="2" t="s">
        <v>482</v>
      </c>
    </row>
    <row r="402" spans="1:6" ht="17.25" hidden="1" thickBot="1" x14ac:dyDescent="0.35">
      <c r="A402" s="13" t="s">
        <v>8</v>
      </c>
      <c r="B402" s="2">
        <v>0.05</v>
      </c>
      <c r="C402" s="2">
        <v>1</v>
      </c>
      <c r="D402" s="2">
        <v>2799</v>
      </c>
      <c r="E402" s="2">
        <v>0.81799999999999995</v>
      </c>
    </row>
    <row r="403" spans="1:6" ht="17.25" hidden="1" thickBot="1" x14ac:dyDescent="0.35">
      <c r="A403" s="13" t="s">
        <v>10</v>
      </c>
      <c r="B403" s="2">
        <v>59.89</v>
      </c>
      <c r="C403" s="2">
        <v>1</v>
      </c>
      <c r="D403" s="2">
        <v>2799</v>
      </c>
      <c r="E403" s="2" t="s">
        <v>482</v>
      </c>
    </row>
    <row r="404" spans="1:6" ht="17.25" hidden="1" thickBot="1" x14ac:dyDescent="0.35">
      <c r="A404" s="13" t="s">
        <v>11</v>
      </c>
      <c r="B404" s="2">
        <v>568.54999999999995</v>
      </c>
      <c r="C404" s="2">
        <v>1</v>
      </c>
      <c r="D404" s="2">
        <v>2799</v>
      </c>
      <c r="E404" s="2" t="s">
        <v>482</v>
      </c>
    </row>
    <row r="405" spans="1:6" ht="17.25" hidden="1" thickBot="1" x14ac:dyDescent="0.35">
      <c r="A405" s="13" t="s">
        <v>12</v>
      </c>
      <c r="B405" s="2">
        <v>13.87</v>
      </c>
      <c r="C405" s="2">
        <v>1</v>
      </c>
      <c r="D405" s="2">
        <v>2799</v>
      </c>
      <c r="E405" s="2">
        <v>2.0000000000000001E-4</v>
      </c>
    </row>
    <row r="406" spans="1:6" ht="17.25" hidden="1" thickBot="1" x14ac:dyDescent="0.35">
      <c r="A406" s="13" t="s">
        <v>13</v>
      </c>
      <c r="B406" s="2">
        <v>62.54</v>
      </c>
      <c r="C406" s="2">
        <v>1</v>
      </c>
      <c r="D406" s="2">
        <v>2799</v>
      </c>
      <c r="E406" s="2" t="s">
        <v>482</v>
      </c>
    </row>
    <row r="407" spans="1:6" ht="25.5" hidden="1" x14ac:dyDescent="0.3">
      <c r="A407" s="14" t="s">
        <v>14</v>
      </c>
      <c r="B407" s="2">
        <v>51.35</v>
      </c>
      <c r="C407" s="2">
        <v>1</v>
      </c>
      <c r="D407" s="2">
        <v>2799</v>
      </c>
      <c r="E407" s="2" t="s">
        <v>482</v>
      </c>
    </row>
    <row r="408" spans="1:6" hidden="1" x14ac:dyDescent="0.3"/>
    <row r="409" spans="1:6" ht="16.5" hidden="1" customHeight="1" x14ac:dyDescent="0.3">
      <c r="A409" s="24" t="s">
        <v>487</v>
      </c>
      <c r="B409" s="26"/>
      <c r="C409" s="26"/>
      <c r="D409" s="26"/>
      <c r="E409" s="26"/>
      <c r="F409" s="26"/>
    </row>
    <row r="410" spans="1:6" ht="16.5" hidden="1" customHeight="1" x14ac:dyDescent="0.3">
      <c r="A410" s="25" t="s">
        <v>488</v>
      </c>
      <c r="B410" s="27"/>
      <c r="C410" s="27" t="s">
        <v>489</v>
      </c>
      <c r="D410" s="3" t="s">
        <v>490</v>
      </c>
      <c r="E410" s="27" t="s">
        <v>492</v>
      </c>
      <c r="F410" s="27" t="s">
        <v>493</v>
      </c>
    </row>
    <row r="411" spans="1:6" hidden="1" x14ac:dyDescent="0.3">
      <c r="A411" s="25"/>
      <c r="B411" s="27"/>
      <c r="C411" s="27"/>
      <c r="D411" s="3" t="s">
        <v>491</v>
      </c>
      <c r="E411" s="27"/>
      <c r="F411" s="27"/>
    </row>
    <row r="412" spans="1:6" ht="16.5" hidden="1" customHeight="1" x14ac:dyDescent="0.3">
      <c r="A412" s="25" t="s">
        <v>494</v>
      </c>
      <c r="B412" s="30"/>
      <c r="C412" s="30"/>
      <c r="D412" s="30"/>
      <c r="E412" s="30"/>
      <c r="F412" s="30"/>
    </row>
    <row r="413" spans="1:6" ht="17.25" hidden="1" thickBot="1" x14ac:dyDescent="0.35">
      <c r="A413" s="13" t="s">
        <v>495</v>
      </c>
      <c r="B413" s="12"/>
      <c r="C413" s="16">
        <v>-5.1058000000000003</v>
      </c>
      <c r="D413" s="2">
        <v>0.17929999999999999</v>
      </c>
      <c r="E413" s="16">
        <v>-28.48</v>
      </c>
      <c r="F413" s="2" t="s">
        <v>482</v>
      </c>
    </row>
    <row r="414" spans="1:6" ht="17.25" thickBot="1" x14ac:dyDescent="0.35">
      <c r="A414" s="13" t="s">
        <v>28</v>
      </c>
      <c r="B414" s="12">
        <v>2</v>
      </c>
      <c r="C414" s="2">
        <v>0.50660000000000005</v>
      </c>
      <c r="D414" s="2">
        <v>4.82E-2</v>
      </c>
      <c r="E414" s="2">
        <v>10.51</v>
      </c>
      <c r="F414" s="2" t="s">
        <v>482</v>
      </c>
    </row>
    <row r="415" spans="1:6" ht="17.25" thickBot="1" x14ac:dyDescent="0.35">
      <c r="A415" s="13" t="s">
        <v>28</v>
      </c>
      <c r="B415" s="12">
        <v>3</v>
      </c>
      <c r="C415" s="2">
        <v>1.0248999999999999</v>
      </c>
      <c r="D415" s="2">
        <v>4.5600000000000002E-2</v>
      </c>
      <c r="E415" s="2">
        <v>22.48</v>
      </c>
      <c r="F415" s="2" t="s">
        <v>482</v>
      </c>
    </row>
    <row r="416" spans="1:6" ht="17.25" thickBot="1" x14ac:dyDescent="0.35">
      <c r="A416" s="13" t="s">
        <v>28</v>
      </c>
      <c r="B416" s="12">
        <v>4</v>
      </c>
      <c r="C416" s="2">
        <v>1.5815999999999999</v>
      </c>
      <c r="D416" s="2">
        <v>4.65E-2</v>
      </c>
      <c r="E416" s="2">
        <v>34.01</v>
      </c>
      <c r="F416" s="2" t="s">
        <v>482</v>
      </c>
    </row>
    <row r="417" spans="1:9" ht="17.25" hidden="1" thickBot="1" x14ac:dyDescent="0.35">
      <c r="A417" s="13" t="s">
        <v>1</v>
      </c>
      <c r="B417" s="12"/>
      <c r="C417" s="2">
        <v>1.5025999999999999</v>
      </c>
      <c r="D417" s="2">
        <v>2.6499999999999999E-2</v>
      </c>
      <c r="E417" s="2">
        <v>56.69</v>
      </c>
      <c r="F417" s="2" t="s">
        <v>482</v>
      </c>
    </row>
    <row r="418" spans="1:9" ht="17.25" hidden="1" thickBot="1" x14ac:dyDescent="0.35">
      <c r="A418" s="13" t="s">
        <v>5</v>
      </c>
      <c r="B418" s="12"/>
      <c r="C418" s="16">
        <v>-0.24390000000000001</v>
      </c>
      <c r="D418" s="2">
        <v>3.0200000000000001E-2</v>
      </c>
      <c r="E418" s="16">
        <v>-8.07</v>
      </c>
      <c r="F418" s="2" t="s">
        <v>482</v>
      </c>
    </row>
    <row r="419" spans="1:9" ht="17.25" hidden="1" thickBot="1" x14ac:dyDescent="0.35">
      <c r="A419" s="13" t="s">
        <v>6</v>
      </c>
      <c r="B419" s="12"/>
      <c r="C419" s="16">
        <v>-3.9600000000000003E-2</v>
      </c>
      <c r="D419" s="2">
        <v>3.5200000000000002E-2</v>
      </c>
      <c r="E419" s="16">
        <v>-1.1299999999999999</v>
      </c>
      <c r="F419" s="2">
        <v>0.2606</v>
      </c>
    </row>
    <row r="420" spans="1:9" ht="17.25" hidden="1" thickBot="1" x14ac:dyDescent="0.35">
      <c r="A420" s="13" t="s">
        <v>7</v>
      </c>
      <c r="B420" s="12"/>
      <c r="C420" s="16">
        <v>-0.22589999999999999</v>
      </c>
      <c r="D420" s="2">
        <v>1.47E-2</v>
      </c>
      <c r="E420" s="16">
        <v>-15.41</v>
      </c>
      <c r="F420" s="2" t="s">
        <v>482</v>
      </c>
    </row>
    <row r="421" spans="1:9" ht="17.25" hidden="1" thickBot="1" x14ac:dyDescent="0.35">
      <c r="A421" s="13" t="s">
        <v>8</v>
      </c>
      <c r="B421" s="12"/>
      <c r="C421" s="16">
        <v>-3.2000000000000002E-3</v>
      </c>
      <c r="D421" s="2">
        <v>1.3899999999999999E-2</v>
      </c>
      <c r="E421" s="16">
        <v>-0.23</v>
      </c>
      <c r="F421" s="2">
        <v>0.81799999999999995</v>
      </c>
    </row>
    <row r="422" spans="1:9" ht="17.25" hidden="1" thickBot="1" x14ac:dyDescent="0.35">
      <c r="A422" s="13" t="s">
        <v>10</v>
      </c>
      <c r="B422" s="12"/>
      <c r="C422" s="16">
        <v>-0.50490000000000002</v>
      </c>
      <c r="D422" s="2">
        <v>6.5199999999999994E-2</v>
      </c>
      <c r="E422" s="16">
        <v>-7.74</v>
      </c>
      <c r="F422" s="2" t="s">
        <v>482</v>
      </c>
    </row>
    <row r="423" spans="1:9" ht="17.25" hidden="1" thickBot="1" x14ac:dyDescent="0.35">
      <c r="A423" s="13" t="s">
        <v>11</v>
      </c>
      <c r="B423" s="12"/>
      <c r="C423" s="2">
        <v>0.47</v>
      </c>
      <c r="D423" s="2">
        <v>1.9699999999999999E-2</v>
      </c>
      <c r="E423" s="2">
        <v>23.84</v>
      </c>
      <c r="F423" s="2" t="s">
        <v>482</v>
      </c>
    </row>
    <row r="424" spans="1:9" ht="17.25" hidden="1" thickBot="1" x14ac:dyDescent="0.35">
      <c r="A424" s="13" t="s">
        <v>12</v>
      </c>
      <c r="B424" s="12"/>
      <c r="C424" s="2">
        <v>7.9799999999999996E-2</v>
      </c>
      <c r="D424" s="2">
        <v>2.1399999999999999E-2</v>
      </c>
      <c r="E424" s="2">
        <v>3.72</v>
      </c>
      <c r="F424" s="2">
        <v>2.0000000000000001E-4</v>
      </c>
    </row>
    <row r="425" spans="1:9" ht="17.25" hidden="1" thickBot="1" x14ac:dyDescent="0.35">
      <c r="A425" s="13" t="s">
        <v>13</v>
      </c>
      <c r="B425" s="12"/>
      <c r="C425" s="2">
        <v>0.13830000000000001</v>
      </c>
      <c r="D425" s="2">
        <v>1.7500000000000002E-2</v>
      </c>
      <c r="E425" s="2">
        <v>7.91</v>
      </c>
      <c r="F425" s="2" t="s">
        <v>482</v>
      </c>
    </row>
    <row r="426" spans="1:9" ht="25.5" hidden="1" x14ac:dyDescent="0.3">
      <c r="A426" s="14" t="s">
        <v>14</v>
      </c>
      <c r="B426" s="15"/>
      <c r="C426" s="16">
        <v>-0.24610000000000001</v>
      </c>
      <c r="D426" s="2">
        <v>3.4299999999999997E-2</v>
      </c>
      <c r="E426" s="16">
        <v>-7.17</v>
      </c>
      <c r="F426" s="2" t="s">
        <v>482</v>
      </c>
    </row>
    <row r="427" spans="1:9" hidden="1" x14ac:dyDescent="0.3"/>
    <row r="428" spans="1:9" ht="16.5" hidden="1" customHeight="1" x14ac:dyDescent="0.3">
      <c r="A428" s="24" t="s">
        <v>496</v>
      </c>
      <c r="B428" s="26"/>
      <c r="C428" s="26"/>
      <c r="D428" s="26"/>
    </row>
    <row r="429" spans="1:9" ht="33" hidden="1" customHeight="1" x14ac:dyDescent="0.3">
      <c r="A429" s="6" t="s">
        <v>486</v>
      </c>
      <c r="B429" s="3" t="s">
        <v>497</v>
      </c>
      <c r="C429" s="27" t="s">
        <v>91</v>
      </c>
      <c r="D429" s="27"/>
    </row>
    <row r="430" spans="1:9" ht="49.5" hidden="1" customHeight="1" x14ac:dyDescent="0.3">
      <c r="A430" s="25" t="s">
        <v>498</v>
      </c>
      <c r="B430" s="30"/>
      <c r="C430" s="30"/>
      <c r="D430" s="30"/>
    </row>
    <row r="431" spans="1:9" ht="26.25" thickBot="1" x14ac:dyDescent="0.35">
      <c r="A431" s="13" t="s">
        <v>525</v>
      </c>
      <c r="B431" s="2">
        <v>1.66</v>
      </c>
      <c r="C431" s="2">
        <v>1.51</v>
      </c>
      <c r="D431" s="2">
        <v>1.8240000000000001</v>
      </c>
      <c r="H431" s="8" t="str">
        <f>TEXT(B431,"0.00")&amp;" ("&amp;TEXT(C431,"0.00")&amp;" to "&amp;TEXT(D431,"0.00")&amp;")"</f>
        <v>1.66 (1.51 to 1.82)</v>
      </c>
      <c r="I431" s="2" t="s">
        <v>482</v>
      </c>
    </row>
    <row r="432" spans="1:9" ht="26.25" thickBot="1" x14ac:dyDescent="0.35">
      <c r="A432" s="13" t="s">
        <v>526</v>
      </c>
      <c r="B432" s="2">
        <v>2.7869999999999999</v>
      </c>
      <c r="C432" s="2">
        <v>2.5489999999999999</v>
      </c>
      <c r="D432" s="2">
        <v>3.0470000000000002</v>
      </c>
      <c r="H432" s="8" t="str">
        <f t="shared" ref="H432:H433" si="3">TEXT(B432,"0.00")&amp;" ("&amp;TEXT(C432,"0.00")&amp;" to "&amp;TEXT(D432,"0.00")&amp;")"</f>
        <v>2.79 (2.55 to 3.05)</v>
      </c>
      <c r="I432" s="2" t="s">
        <v>482</v>
      </c>
    </row>
    <row r="433" spans="1:9" ht="26.25" thickBot="1" x14ac:dyDescent="0.35">
      <c r="A433" s="13" t="s">
        <v>527</v>
      </c>
      <c r="B433" s="2">
        <v>4.8630000000000004</v>
      </c>
      <c r="C433" s="2">
        <v>4.4390000000000001</v>
      </c>
      <c r="D433" s="2">
        <v>5.327</v>
      </c>
      <c r="H433" s="8" t="str">
        <f t="shared" si="3"/>
        <v>4.86 (4.44 to 5.33)</v>
      </c>
      <c r="I433" s="2" t="s">
        <v>482</v>
      </c>
    </row>
    <row r="434" spans="1:9" ht="17.25" hidden="1" thickBot="1" x14ac:dyDescent="0.35">
      <c r="A434" s="13" t="s">
        <v>1</v>
      </c>
      <c r="B434" s="2">
        <v>4.4930000000000003</v>
      </c>
      <c r="C434" s="2">
        <v>4.266</v>
      </c>
      <c r="D434" s="2">
        <v>4.7329999999999997</v>
      </c>
    </row>
    <row r="435" spans="1:9" ht="17.25" hidden="1" thickBot="1" x14ac:dyDescent="0.35">
      <c r="A435" s="13" t="s">
        <v>5</v>
      </c>
      <c r="B435" s="2">
        <v>0.78400000000000003</v>
      </c>
      <c r="C435" s="2">
        <v>0.73799999999999999</v>
      </c>
      <c r="D435" s="2">
        <v>0.83099999999999996</v>
      </c>
    </row>
    <row r="436" spans="1:9" ht="17.25" hidden="1" thickBot="1" x14ac:dyDescent="0.35">
      <c r="A436" s="13" t="s">
        <v>6</v>
      </c>
      <c r="B436" s="2">
        <v>0.96099999999999997</v>
      </c>
      <c r="C436" s="2">
        <v>0.89700000000000002</v>
      </c>
      <c r="D436" s="2">
        <v>1.03</v>
      </c>
    </row>
    <row r="437" spans="1:9" ht="17.25" hidden="1" thickBot="1" x14ac:dyDescent="0.35">
      <c r="A437" s="13" t="s">
        <v>7</v>
      </c>
      <c r="B437" s="2">
        <v>0.79800000000000004</v>
      </c>
      <c r="C437" s="2">
        <v>0.77500000000000002</v>
      </c>
      <c r="D437" s="2">
        <v>0.82099999999999995</v>
      </c>
    </row>
    <row r="438" spans="1:9" ht="17.25" hidden="1" thickBot="1" x14ac:dyDescent="0.35">
      <c r="A438" s="13" t="s">
        <v>8</v>
      </c>
      <c r="B438" s="2">
        <v>0.997</v>
      </c>
      <c r="C438" s="2">
        <v>0.97</v>
      </c>
      <c r="D438" s="2">
        <v>1.024</v>
      </c>
    </row>
    <row r="439" spans="1:9" ht="17.25" hidden="1" thickBot="1" x14ac:dyDescent="0.35">
      <c r="A439" s="13" t="s">
        <v>10</v>
      </c>
      <c r="B439" s="2">
        <v>0.60399999999999998</v>
      </c>
      <c r="C439" s="2">
        <v>0.53100000000000003</v>
      </c>
      <c r="D439" s="2">
        <v>0.68600000000000005</v>
      </c>
    </row>
    <row r="440" spans="1:9" ht="17.25" hidden="1" thickBot="1" x14ac:dyDescent="0.35">
      <c r="A440" s="13" t="s">
        <v>11</v>
      </c>
      <c r="B440" s="2">
        <v>1.6</v>
      </c>
      <c r="C440" s="2">
        <v>1.5389999999999999</v>
      </c>
      <c r="D440" s="2">
        <v>1.663</v>
      </c>
    </row>
    <row r="441" spans="1:9" ht="17.25" hidden="1" thickBot="1" x14ac:dyDescent="0.35">
      <c r="A441" s="13" t="s">
        <v>12</v>
      </c>
      <c r="B441" s="2">
        <v>1.083</v>
      </c>
      <c r="C441" s="2">
        <v>1.038</v>
      </c>
      <c r="D441" s="2">
        <v>1.1299999999999999</v>
      </c>
    </row>
    <row r="442" spans="1:9" ht="17.25" hidden="1" thickBot="1" x14ac:dyDescent="0.35">
      <c r="A442" s="13" t="s">
        <v>13</v>
      </c>
      <c r="B442" s="2">
        <v>1.1479999999999999</v>
      </c>
      <c r="C442" s="2">
        <v>1.1100000000000001</v>
      </c>
      <c r="D442" s="2">
        <v>1.1879999999999999</v>
      </c>
    </row>
    <row r="443" spans="1:9" ht="25.5" hidden="1" x14ac:dyDescent="0.3">
      <c r="A443" s="14" t="s">
        <v>14</v>
      </c>
      <c r="B443" s="2">
        <v>0.78200000000000003</v>
      </c>
      <c r="C443" s="2">
        <v>0.73099999999999998</v>
      </c>
      <c r="D443" s="2">
        <v>0.83599999999999997</v>
      </c>
    </row>
    <row r="444" spans="1:9" hidden="1" x14ac:dyDescent="0.3"/>
    <row r="445" spans="1:9" ht="33" hidden="1" customHeight="1" x14ac:dyDescent="0.3">
      <c r="A445" s="24" t="s">
        <v>502</v>
      </c>
      <c r="B445" s="26"/>
      <c r="C445" s="26"/>
      <c r="D445" s="26"/>
    </row>
    <row r="446" spans="1:9" ht="39" hidden="1" thickBot="1" x14ac:dyDescent="0.35">
      <c r="A446" s="13" t="s">
        <v>503</v>
      </c>
      <c r="B446" s="2">
        <v>83.3</v>
      </c>
      <c r="C446" s="12" t="s">
        <v>504</v>
      </c>
      <c r="D446" s="2">
        <v>0.66800000000000004</v>
      </c>
    </row>
    <row r="447" spans="1:9" ht="26.25" hidden="1" thickBot="1" x14ac:dyDescent="0.35">
      <c r="A447" s="13" t="s">
        <v>505</v>
      </c>
      <c r="B447" s="2">
        <v>16.5</v>
      </c>
      <c r="C447" s="12" t="s">
        <v>506</v>
      </c>
      <c r="D447" s="2">
        <v>0.66900000000000004</v>
      </c>
    </row>
    <row r="448" spans="1:9" ht="26.25" hidden="1" thickBot="1" x14ac:dyDescent="0.35">
      <c r="A448" s="13" t="s">
        <v>507</v>
      </c>
      <c r="B448" s="2">
        <v>0.2</v>
      </c>
      <c r="C448" s="12" t="s">
        <v>508</v>
      </c>
      <c r="D448" s="2">
        <v>0.22500000000000001</v>
      </c>
    </row>
    <row r="449" spans="1:4" hidden="1" x14ac:dyDescent="0.3">
      <c r="A449" s="14" t="s">
        <v>509</v>
      </c>
      <c r="B449" s="2">
        <v>793824750</v>
      </c>
      <c r="C449" s="15" t="s">
        <v>510</v>
      </c>
      <c r="D449" s="2">
        <v>0.83399999999999996</v>
      </c>
    </row>
  </sheetData>
  <autoFilter ref="A1:A449" xr:uid="{FD1E5401-D066-48A6-9D90-6F372AB24201}">
    <filterColumn colId="0">
      <filters>
        <filter val="aip_g"/>
        <filter val="aip_g 2 vs 1"/>
        <filter val="aip_g 3 vs 1"/>
        <filter val="aip_g 4 vs 1"/>
        <filter val="mets_ir_g"/>
        <filter val="mets_ir_g 2 vs 1"/>
        <filter val="mets_ir_g 3 vs 1"/>
        <filter val="mets_ir_g 4 vs 1"/>
        <filter val="tyg_absi_g"/>
        <filter val="tyg_absi_g 2 vs 1"/>
        <filter val="tyg_absi_g 3 vs 1"/>
        <filter val="tyg_absi_g 4 vs 1"/>
        <filter val="tyg_g"/>
        <filter val="tyg_g 2 vs 1"/>
        <filter val="tyg_g 3 vs 1"/>
        <filter val="tyg_g 4 vs 1"/>
      </filters>
    </filterColumn>
  </autoFilter>
  <mergeCells count="84">
    <mergeCell ref="A412:F412"/>
    <mergeCell ref="A428:D428"/>
    <mergeCell ref="C429:D429"/>
    <mergeCell ref="A430:D430"/>
    <mergeCell ref="A445:D445"/>
    <mergeCell ref="A388:E388"/>
    <mergeCell ref="A390:E390"/>
    <mergeCell ref="A395:E395"/>
    <mergeCell ref="A409:F409"/>
    <mergeCell ref="A410:A411"/>
    <mergeCell ref="B410:B411"/>
    <mergeCell ref="C410:C411"/>
    <mergeCell ref="E410:E411"/>
    <mergeCell ref="F410:F411"/>
    <mergeCell ref="A355:B355"/>
    <mergeCell ref="A364:D364"/>
    <mergeCell ref="B365:B366"/>
    <mergeCell ref="A372:E372"/>
    <mergeCell ref="C373:E373"/>
    <mergeCell ref="A382:C382"/>
    <mergeCell ref="A299:F299"/>
    <mergeCell ref="A315:D315"/>
    <mergeCell ref="C316:D316"/>
    <mergeCell ref="A317:D317"/>
    <mergeCell ref="A332:D332"/>
    <mergeCell ref="A342:B342"/>
    <mergeCell ref="A296:F296"/>
    <mergeCell ref="A297:A298"/>
    <mergeCell ref="B297:B298"/>
    <mergeCell ref="C297:C298"/>
    <mergeCell ref="E297:E298"/>
    <mergeCell ref="F297:F298"/>
    <mergeCell ref="A219:D219"/>
    <mergeCell ref="A229:B229"/>
    <mergeCell ref="A242:B242"/>
    <mergeCell ref="A251:D251"/>
    <mergeCell ref="B252:B253"/>
    <mergeCell ref="A259:E259"/>
    <mergeCell ref="E184:E185"/>
    <mergeCell ref="F184:F185"/>
    <mergeCell ref="A186:F186"/>
    <mergeCell ref="A202:D202"/>
    <mergeCell ref="C203:D203"/>
    <mergeCell ref="A204:D204"/>
    <mergeCell ref="A146:E146"/>
    <mergeCell ref="C147:E147"/>
    <mergeCell ref="A156:C156"/>
    <mergeCell ref="A164:E164"/>
    <mergeCell ref="A169:E169"/>
    <mergeCell ref="A269:C269"/>
    <mergeCell ref="A275:E275"/>
    <mergeCell ref="A277:E277"/>
    <mergeCell ref="A282:E282"/>
    <mergeCell ref="C260:E260"/>
    <mergeCell ref="A183:F183"/>
    <mergeCell ref="A184:A185"/>
    <mergeCell ref="B184:B185"/>
    <mergeCell ref="C184:C185"/>
    <mergeCell ref="A162:E162"/>
    <mergeCell ref="A129:B129"/>
    <mergeCell ref="A138:D138"/>
    <mergeCell ref="B139:B140"/>
    <mergeCell ref="A73:F73"/>
    <mergeCell ref="A89:D89"/>
    <mergeCell ref="C90:D90"/>
    <mergeCell ref="A91:D91"/>
    <mergeCell ref="A106:D106"/>
    <mergeCell ref="A116:B116"/>
    <mergeCell ref="A43:C43"/>
    <mergeCell ref="A49:E49"/>
    <mergeCell ref="A51:E51"/>
    <mergeCell ref="A56:E56"/>
    <mergeCell ref="A70:F70"/>
    <mergeCell ref="A71:A72"/>
    <mergeCell ref="B71:B72"/>
    <mergeCell ref="C71:C72"/>
    <mergeCell ref="E71:E72"/>
    <mergeCell ref="F71:F72"/>
    <mergeCell ref="A3:B3"/>
    <mergeCell ref="A16:B16"/>
    <mergeCell ref="A25:D25"/>
    <mergeCell ref="B26:B27"/>
    <mergeCell ref="A33:E33"/>
    <mergeCell ref="C34:E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Sheet16</vt:lpstr>
      <vt:lpstr>Sheet17</vt:lpstr>
      <vt:lpstr>Sheet18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2026-02-02T02:56:16Z</dcterms:created>
  <dcterms:modified xsi:type="dcterms:W3CDTF">2026-02-02T13:51:31Z</dcterms:modified>
</cp:coreProperties>
</file>