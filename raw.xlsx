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2_cvd_tyg\"/>
    </mc:Choice>
  </mc:AlternateContent>
  <xr:revisionPtr revIDLastSave="0" documentId="13_ncr:1_{4EB40CA2-BAAD-4477-A3AA-F6CDCB531D96}" xr6:coauthVersionLast="47" xr6:coauthVersionMax="47" xr10:uidLastSave="{00000000-0000-0000-0000-000000000000}"/>
  <bookViews>
    <workbookView xWindow="-28920" yWindow="-120" windowWidth="29040" windowHeight="15720" activeTab="7" xr2:uid="{548E1A33-AFB5-4127-B3C8-59D1810DFD65}"/>
  </bookViews>
  <sheets>
    <sheet name="Sheet1" sheetId="6" r:id="rId1"/>
    <sheet name="Sheet2" sheetId="7" r:id="rId2"/>
    <sheet name="Sheet3" sheetId="8" r:id="rId3"/>
    <sheet name="Sheet4" sheetId="9" r:id="rId4"/>
    <sheet name="Sheet5" sheetId="10" r:id="rId5"/>
    <sheet name="Sheet6" sheetId="11" r:id="rId6"/>
    <sheet name="Sheet7" sheetId="12" r:id="rId7"/>
    <sheet name="Sheet8" sheetId="13" r:id="rId8"/>
    <sheet name="Sheet9" sheetId="14" r:id="rId9"/>
    <sheet name="Sheet10" sheetId="15" r:id="rId10"/>
  </sheets>
  <definedNames>
    <definedName name="_xlnm._FilterDatabase" localSheetId="0" hidden="1">Sheet1!$A$1:$A$101</definedName>
    <definedName name="_xlnm._FilterDatabase" localSheetId="2" hidden="1">Sheet3!$B$1:$B$311</definedName>
    <definedName name="_xlnm._FilterDatabase" localSheetId="3" hidden="1">Sheet4!$B$1:$B$311</definedName>
    <definedName name="_xlnm._FilterDatabase" localSheetId="4" hidden="1">Sheet5!$B$1:$B$311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3" l="1"/>
  <c r="K5" i="13"/>
  <c r="M5" i="13"/>
  <c r="J6" i="13"/>
  <c r="M6" i="13" s="1"/>
  <c r="K6" i="13"/>
  <c r="J7" i="13"/>
  <c r="K7" i="13"/>
  <c r="M7" i="13"/>
  <c r="J8" i="13"/>
  <c r="M8" i="13" s="1"/>
  <c r="K8" i="13"/>
  <c r="J9" i="13"/>
  <c r="K9" i="13"/>
  <c r="M9" i="13"/>
  <c r="J10" i="13"/>
  <c r="M10" i="13" s="1"/>
  <c r="K10" i="13"/>
  <c r="J11" i="13"/>
  <c r="M11" i="13" s="1"/>
  <c r="K11" i="13"/>
  <c r="J12" i="13"/>
  <c r="K12" i="13"/>
  <c r="M12" i="13"/>
  <c r="J13" i="13"/>
  <c r="K13" i="13"/>
  <c r="M13" i="13"/>
  <c r="J14" i="13"/>
  <c r="K14" i="13"/>
  <c r="M14" i="13"/>
  <c r="J15" i="13"/>
  <c r="M15" i="13" s="1"/>
  <c r="K15" i="13"/>
  <c r="J16" i="13"/>
  <c r="K16" i="13"/>
  <c r="M16" i="13" s="1"/>
  <c r="J17" i="13"/>
  <c r="K17" i="13"/>
  <c r="M17" i="13"/>
  <c r="J18" i="13"/>
  <c r="K18" i="13"/>
  <c r="M18" i="13"/>
  <c r="J19" i="13"/>
  <c r="M19" i="13" s="1"/>
  <c r="K19" i="13"/>
  <c r="J20" i="13"/>
  <c r="K20" i="13"/>
  <c r="M20" i="13"/>
  <c r="J21" i="13"/>
  <c r="K21" i="13"/>
  <c r="M21" i="13"/>
  <c r="J22" i="13"/>
  <c r="M22" i="13" s="1"/>
  <c r="K22" i="13"/>
  <c r="J23" i="13"/>
  <c r="K23" i="13"/>
  <c r="M23" i="13"/>
  <c r="J24" i="13"/>
  <c r="M24" i="13" s="1"/>
  <c r="K24" i="13"/>
  <c r="J25" i="13"/>
  <c r="K25" i="13"/>
  <c r="M25" i="13"/>
  <c r="J26" i="13"/>
  <c r="M26" i="13" s="1"/>
  <c r="K26" i="13"/>
  <c r="J27" i="13"/>
  <c r="M27" i="13" s="1"/>
  <c r="K27" i="13"/>
  <c r="J28" i="13"/>
  <c r="K28" i="13"/>
  <c r="M28" i="13"/>
  <c r="J29" i="13"/>
  <c r="K29" i="13"/>
  <c r="M29" i="13"/>
  <c r="J30" i="13"/>
  <c r="K30" i="13"/>
  <c r="M30" i="13"/>
  <c r="J31" i="13"/>
  <c r="M31" i="13" s="1"/>
  <c r="K31" i="13"/>
  <c r="J32" i="13"/>
  <c r="K32" i="13"/>
  <c r="M32" i="13" s="1"/>
  <c r="J33" i="13"/>
  <c r="K33" i="13"/>
  <c r="M33" i="13"/>
  <c r="J34" i="13"/>
  <c r="K34" i="13"/>
  <c r="M34" i="13"/>
  <c r="J35" i="13"/>
  <c r="M35" i="13" s="1"/>
  <c r="K35" i="13"/>
  <c r="J36" i="13"/>
  <c r="K36" i="13"/>
  <c r="M36" i="13"/>
  <c r="J37" i="13"/>
  <c r="K37" i="13"/>
  <c r="M37" i="13"/>
  <c r="J38" i="13"/>
  <c r="M38" i="13" s="1"/>
  <c r="K38" i="13"/>
  <c r="J39" i="13"/>
  <c r="K39" i="13"/>
  <c r="M39" i="13"/>
  <c r="J40" i="13"/>
  <c r="M40" i="13" s="1"/>
  <c r="K40" i="13"/>
  <c r="J41" i="13"/>
  <c r="K41" i="13"/>
  <c r="M41" i="13"/>
  <c r="J42" i="13"/>
  <c r="M42" i="13" s="1"/>
  <c r="K42" i="13"/>
  <c r="J43" i="13"/>
  <c r="M43" i="13" s="1"/>
  <c r="K43" i="13"/>
  <c r="J44" i="13"/>
  <c r="K44" i="13"/>
  <c r="M44" i="13"/>
  <c r="J45" i="13"/>
  <c r="K45" i="13"/>
  <c r="M45" i="13"/>
  <c r="J46" i="13"/>
  <c r="K46" i="13"/>
  <c r="M46" i="13"/>
  <c r="J47" i="13"/>
  <c r="M47" i="13" s="1"/>
  <c r="K47" i="13"/>
  <c r="J48" i="13"/>
  <c r="K48" i="13"/>
  <c r="M48" i="13" s="1"/>
  <c r="J49" i="13"/>
  <c r="K49" i="13"/>
  <c r="M49" i="13"/>
  <c r="J50" i="13"/>
  <c r="K50" i="13"/>
  <c r="M50" i="13"/>
  <c r="J51" i="13"/>
  <c r="M51" i="13" s="1"/>
  <c r="K51" i="13"/>
  <c r="J52" i="13"/>
  <c r="K52" i="13"/>
  <c r="M52" i="13"/>
  <c r="J53" i="13"/>
  <c r="K53" i="13"/>
  <c r="M53" i="13"/>
  <c r="J54" i="13"/>
  <c r="M54" i="13" s="1"/>
  <c r="K54" i="13"/>
  <c r="J55" i="13"/>
  <c r="K55" i="13"/>
  <c r="M55" i="13"/>
  <c r="J56" i="13"/>
  <c r="M56" i="13" s="1"/>
  <c r="K56" i="13"/>
  <c r="J57" i="13"/>
  <c r="K57" i="13"/>
  <c r="M57" i="13"/>
  <c r="J58" i="13"/>
  <c r="M58" i="13" s="1"/>
  <c r="K58" i="13"/>
  <c r="J59" i="13"/>
  <c r="M59" i="13" s="1"/>
  <c r="K59" i="13"/>
  <c r="J60" i="13"/>
  <c r="K60" i="13"/>
  <c r="M60" i="13"/>
  <c r="J61" i="13"/>
  <c r="K61" i="13"/>
  <c r="M61" i="13"/>
  <c r="J62" i="13"/>
  <c r="K62" i="13"/>
  <c r="M62" i="13"/>
  <c r="J63" i="13"/>
  <c r="M63" i="13" s="1"/>
  <c r="K63" i="13"/>
  <c r="J64" i="13"/>
  <c r="K64" i="13"/>
  <c r="M64" i="13" s="1"/>
  <c r="J65" i="13"/>
  <c r="K65" i="13"/>
  <c r="M65" i="13"/>
  <c r="J66" i="13"/>
  <c r="K66" i="13"/>
  <c r="M66" i="13"/>
  <c r="J67" i="13"/>
  <c r="M67" i="13" s="1"/>
  <c r="K67" i="13"/>
  <c r="J68" i="13"/>
  <c r="K68" i="13"/>
  <c r="M68" i="13"/>
  <c r="J69" i="13"/>
  <c r="K69" i="13"/>
  <c r="M69" i="13"/>
  <c r="J70" i="13"/>
  <c r="M70" i="13" s="1"/>
  <c r="K70" i="13"/>
  <c r="J71" i="13"/>
  <c r="K71" i="13"/>
  <c r="M71" i="13"/>
  <c r="J72" i="13"/>
  <c r="M72" i="13" s="1"/>
  <c r="K72" i="13"/>
  <c r="J73" i="13"/>
  <c r="K73" i="13"/>
  <c r="M73" i="13"/>
  <c r="J74" i="13"/>
  <c r="M74" i="13" s="1"/>
  <c r="K74" i="13"/>
  <c r="J75" i="13"/>
  <c r="M75" i="13" s="1"/>
  <c r="K75" i="13"/>
  <c r="M4" i="13"/>
  <c r="K4" i="13"/>
  <c r="J4" i="13"/>
  <c r="J5" i="12"/>
  <c r="K5" i="12"/>
  <c r="M5" i="12" s="1"/>
  <c r="J6" i="12"/>
  <c r="K6" i="12"/>
  <c r="M6" i="12"/>
  <c r="J7" i="12"/>
  <c r="K7" i="12"/>
  <c r="M7" i="12"/>
  <c r="J8" i="12"/>
  <c r="M8" i="12" s="1"/>
  <c r="K8" i="12"/>
  <c r="J9" i="12"/>
  <c r="K9" i="12"/>
  <c r="M9" i="12"/>
  <c r="J10" i="12"/>
  <c r="M10" i="12" s="1"/>
  <c r="K10" i="12"/>
  <c r="J11" i="12"/>
  <c r="K11" i="12"/>
  <c r="M11" i="12"/>
  <c r="J12" i="12"/>
  <c r="M12" i="12" s="1"/>
  <c r="K12" i="12"/>
  <c r="J13" i="12"/>
  <c r="K13" i="12"/>
  <c r="M13" i="12"/>
  <c r="J14" i="12"/>
  <c r="K14" i="12"/>
  <c r="M14" i="12"/>
  <c r="J15" i="12"/>
  <c r="M15" i="12" s="1"/>
  <c r="K15" i="12"/>
  <c r="J16" i="12"/>
  <c r="M16" i="12" s="1"/>
  <c r="K16" i="12"/>
  <c r="J17" i="12"/>
  <c r="M17" i="12" s="1"/>
  <c r="K17" i="12"/>
  <c r="J18" i="12"/>
  <c r="K18" i="12"/>
  <c r="M18" i="12"/>
  <c r="J19" i="12"/>
  <c r="M19" i="12" s="1"/>
  <c r="K19" i="12"/>
  <c r="J20" i="12"/>
  <c r="K20" i="12"/>
  <c r="M20" i="12"/>
  <c r="J21" i="12"/>
  <c r="K21" i="12"/>
  <c r="M21" i="12" s="1"/>
  <c r="J22" i="12"/>
  <c r="K22" i="12"/>
  <c r="M22" i="12"/>
  <c r="J23" i="12"/>
  <c r="K23" i="12"/>
  <c r="M23" i="12"/>
  <c r="J24" i="12"/>
  <c r="M24" i="12" s="1"/>
  <c r="K24" i="12"/>
  <c r="J25" i="12"/>
  <c r="K25" i="12"/>
  <c r="M25" i="12"/>
  <c r="J26" i="12"/>
  <c r="M26" i="12" s="1"/>
  <c r="K26" i="12"/>
  <c r="J27" i="12"/>
  <c r="K27" i="12"/>
  <c r="M27" i="12"/>
  <c r="J28" i="12"/>
  <c r="M28" i="12" s="1"/>
  <c r="K28" i="12"/>
  <c r="J29" i="12"/>
  <c r="K29" i="12"/>
  <c r="M29" i="12"/>
  <c r="J30" i="12"/>
  <c r="K30" i="12"/>
  <c r="M30" i="12"/>
  <c r="J31" i="12"/>
  <c r="M31" i="12" s="1"/>
  <c r="K31" i="12"/>
  <c r="J32" i="12"/>
  <c r="M32" i="12" s="1"/>
  <c r="K32" i="12"/>
  <c r="J33" i="12"/>
  <c r="M33" i="12" s="1"/>
  <c r="K33" i="12"/>
  <c r="J34" i="12"/>
  <c r="K34" i="12"/>
  <c r="M34" i="12"/>
  <c r="J35" i="12"/>
  <c r="M35" i="12" s="1"/>
  <c r="K35" i="12"/>
  <c r="J36" i="12"/>
  <c r="K36" i="12"/>
  <c r="M36" i="12"/>
  <c r="J37" i="12"/>
  <c r="K37" i="12"/>
  <c r="M37" i="12" s="1"/>
  <c r="J38" i="12"/>
  <c r="K38" i="12"/>
  <c r="M38" i="12"/>
  <c r="J39" i="12"/>
  <c r="K39" i="12"/>
  <c r="M39" i="12"/>
  <c r="J40" i="12"/>
  <c r="M40" i="12" s="1"/>
  <c r="K40" i="12"/>
  <c r="J41" i="12"/>
  <c r="K41" i="12"/>
  <c r="M41" i="12"/>
  <c r="J42" i="12"/>
  <c r="M42" i="12" s="1"/>
  <c r="K42" i="12"/>
  <c r="J43" i="12"/>
  <c r="K43" i="12"/>
  <c r="M43" i="12"/>
  <c r="J44" i="12"/>
  <c r="M44" i="12" s="1"/>
  <c r="K44" i="12"/>
  <c r="J45" i="12"/>
  <c r="K45" i="12"/>
  <c r="M45" i="12"/>
  <c r="J46" i="12"/>
  <c r="K46" i="12"/>
  <c r="M46" i="12"/>
  <c r="J47" i="12"/>
  <c r="M47" i="12" s="1"/>
  <c r="K47" i="12"/>
  <c r="J48" i="12"/>
  <c r="M48" i="12" s="1"/>
  <c r="K48" i="12"/>
  <c r="J49" i="12"/>
  <c r="M49" i="12" s="1"/>
  <c r="K49" i="12"/>
  <c r="J50" i="12"/>
  <c r="K50" i="12"/>
  <c r="M50" i="12"/>
  <c r="J51" i="12"/>
  <c r="M51" i="12" s="1"/>
  <c r="K51" i="12"/>
  <c r="J52" i="12"/>
  <c r="K52" i="12"/>
  <c r="M52" i="12"/>
  <c r="J53" i="12"/>
  <c r="K53" i="12"/>
  <c r="M53" i="12" s="1"/>
  <c r="J54" i="12"/>
  <c r="K54" i="12"/>
  <c r="M54" i="12"/>
  <c r="J55" i="12"/>
  <c r="K55" i="12"/>
  <c r="M55" i="12"/>
  <c r="J56" i="12"/>
  <c r="M56" i="12" s="1"/>
  <c r="K56" i="12"/>
  <c r="J57" i="12"/>
  <c r="K57" i="12"/>
  <c r="M57" i="12"/>
  <c r="K4" i="12"/>
  <c r="J4" i="12"/>
  <c r="M4" i="12" s="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4" i="11"/>
  <c r="L306" i="10"/>
  <c r="K306" i="10"/>
  <c r="J306" i="10"/>
  <c r="I306" i="10"/>
  <c r="L305" i="10"/>
  <c r="Q302" i="10" s="1"/>
  <c r="K305" i="10"/>
  <c r="P302" i="10" s="1"/>
  <c r="J305" i="10"/>
  <c r="O302" i="10" s="1"/>
  <c r="I305" i="10"/>
  <c r="N302" i="10" s="1"/>
  <c r="L302" i="10"/>
  <c r="K302" i="10"/>
  <c r="J302" i="10"/>
  <c r="I302" i="10"/>
  <c r="L301" i="10"/>
  <c r="Q301" i="10" s="1"/>
  <c r="K301" i="10"/>
  <c r="P301" i="10" s="1"/>
  <c r="J301" i="10"/>
  <c r="O301" i="10" s="1"/>
  <c r="I301" i="10"/>
  <c r="N301" i="10" s="1"/>
  <c r="L291" i="10"/>
  <c r="K291" i="10"/>
  <c r="J291" i="10"/>
  <c r="I291" i="10"/>
  <c r="L290" i="10"/>
  <c r="Q287" i="10" s="1"/>
  <c r="K290" i="10"/>
  <c r="J290" i="10"/>
  <c r="I290" i="10"/>
  <c r="N287" i="10"/>
  <c r="L287" i="10"/>
  <c r="K287" i="10"/>
  <c r="J287" i="10"/>
  <c r="I287" i="10"/>
  <c r="N286" i="10" s="1"/>
  <c r="L286" i="10"/>
  <c r="K286" i="10"/>
  <c r="J286" i="10"/>
  <c r="I286" i="10"/>
  <c r="L276" i="10"/>
  <c r="K276" i="10"/>
  <c r="J276" i="10"/>
  <c r="I276" i="10"/>
  <c r="L275" i="10"/>
  <c r="Q272" i="10" s="1"/>
  <c r="K275" i="10"/>
  <c r="P272" i="10" s="1"/>
  <c r="J275" i="10"/>
  <c r="O272" i="10" s="1"/>
  <c r="I275" i="10"/>
  <c r="N272" i="10" s="1"/>
  <c r="L272" i="10"/>
  <c r="K272" i="10"/>
  <c r="J272" i="10"/>
  <c r="I272" i="10"/>
  <c r="L271" i="10"/>
  <c r="Q271" i="10" s="1"/>
  <c r="K271" i="10"/>
  <c r="P271" i="10" s="1"/>
  <c r="J271" i="10"/>
  <c r="O271" i="10" s="1"/>
  <c r="I271" i="10"/>
  <c r="L261" i="10"/>
  <c r="K261" i="10"/>
  <c r="J261" i="10"/>
  <c r="I261" i="10"/>
  <c r="L260" i="10"/>
  <c r="Q257" i="10" s="1"/>
  <c r="K260" i="10"/>
  <c r="J260" i="10"/>
  <c r="I260" i="10"/>
  <c r="N257" i="10"/>
  <c r="L257" i="10"/>
  <c r="K257" i="10"/>
  <c r="J257" i="10"/>
  <c r="O256" i="10" s="1"/>
  <c r="I257" i="10"/>
  <c r="N256" i="10" s="1"/>
  <c r="L256" i="10"/>
  <c r="K256" i="10"/>
  <c r="J256" i="10"/>
  <c r="I256" i="10"/>
  <c r="L246" i="10"/>
  <c r="K246" i="10"/>
  <c r="J246" i="10"/>
  <c r="I246" i="10"/>
  <c r="L245" i="10"/>
  <c r="Q242" i="10" s="1"/>
  <c r="K245" i="10"/>
  <c r="P242" i="10" s="1"/>
  <c r="J245" i="10"/>
  <c r="O242" i="10" s="1"/>
  <c r="I245" i="10"/>
  <c r="N242" i="10" s="1"/>
  <c r="L242" i="10"/>
  <c r="K242" i="10"/>
  <c r="J242" i="10"/>
  <c r="I242" i="10"/>
  <c r="L241" i="10"/>
  <c r="Q241" i="10" s="1"/>
  <c r="K241" i="10"/>
  <c r="P241" i="10" s="1"/>
  <c r="J241" i="10"/>
  <c r="I241" i="10"/>
  <c r="L231" i="10"/>
  <c r="K231" i="10"/>
  <c r="J231" i="10"/>
  <c r="I231" i="10"/>
  <c r="L230" i="10"/>
  <c r="Q227" i="10" s="1"/>
  <c r="K230" i="10"/>
  <c r="J230" i="10"/>
  <c r="I230" i="10"/>
  <c r="N227" i="10"/>
  <c r="L227" i="10"/>
  <c r="K227" i="10"/>
  <c r="P226" i="10" s="1"/>
  <c r="J227" i="10"/>
  <c r="O226" i="10" s="1"/>
  <c r="I227" i="10"/>
  <c r="N226" i="10" s="1"/>
  <c r="L226" i="10"/>
  <c r="K226" i="10"/>
  <c r="J226" i="10"/>
  <c r="I226" i="10"/>
  <c r="L216" i="10"/>
  <c r="K216" i="10"/>
  <c r="J216" i="10"/>
  <c r="I216" i="10"/>
  <c r="L215" i="10"/>
  <c r="Q212" i="10" s="1"/>
  <c r="K215" i="10"/>
  <c r="P212" i="10" s="1"/>
  <c r="J215" i="10"/>
  <c r="O212" i="10" s="1"/>
  <c r="I215" i="10"/>
  <c r="N212" i="10" s="1"/>
  <c r="L212" i="10"/>
  <c r="K212" i="10"/>
  <c r="J212" i="10"/>
  <c r="I212" i="10"/>
  <c r="L211" i="10"/>
  <c r="Q211" i="10" s="1"/>
  <c r="K211" i="10"/>
  <c r="J211" i="10"/>
  <c r="I211" i="10"/>
  <c r="L201" i="10"/>
  <c r="K201" i="10"/>
  <c r="J201" i="10"/>
  <c r="I201" i="10"/>
  <c r="L200" i="10"/>
  <c r="K200" i="10"/>
  <c r="J200" i="10"/>
  <c r="I200" i="10"/>
  <c r="N197" i="10"/>
  <c r="L197" i="10"/>
  <c r="Q196" i="10" s="1"/>
  <c r="K197" i="10"/>
  <c r="P196" i="10" s="1"/>
  <c r="J197" i="10"/>
  <c r="O196" i="10" s="1"/>
  <c r="I197" i="10"/>
  <c r="N196" i="10" s="1"/>
  <c r="L196" i="10"/>
  <c r="K196" i="10"/>
  <c r="J196" i="10"/>
  <c r="I196" i="10"/>
  <c r="L186" i="10"/>
  <c r="K186" i="10"/>
  <c r="J186" i="10"/>
  <c r="I186" i="10"/>
  <c r="L185" i="10"/>
  <c r="Q179" i="10" s="1"/>
  <c r="K185" i="10"/>
  <c r="P179" i="10" s="1"/>
  <c r="J185" i="10"/>
  <c r="O179" i="10" s="1"/>
  <c r="I185" i="10"/>
  <c r="N179" i="10" s="1"/>
  <c r="L182" i="10"/>
  <c r="Q178" i="10" s="1"/>
  <c r="K182" i="10"/>
  <c r="P178" i="10" s="1"/>
  <c r="J182" i="10"/>
  <c r="O178" i="10" s="1"/>
  <c r="I182" i="10"/>
  <c r="N178" i="10" s="1"/>
  <c r="L181" i="10"/>
  <c r="K181" i="10"/>
  <c r="J181" i="10"/>
  <c r="I181" i="10"/>
  <c r="L178" i="10"/>
  <c r="K178" i="10"/>
  <c r="J178" i="10"/>
  <c r="I178" i="10"/>
  <c r="L177" i="10"/>
  <c r="K177" i="10"/>
  <c r="P177" i="10" s="1"/>
  <c r="J177" i="10"/>
  <c r="O177" i="10" s="1"/>
  <c r="I177" i="10"/>
  <c r="N177" i="10" s="1"/>
  <c r="L167" i="10"/>
  <c r="K167" i="10"/>
  <c r="J167" i="10"/>
  <c r="I167" i="10"/>
  <c r="L166" i="10"/>
  <c r="Q160" i="10" s="1"/>
  <c r="K166" i="10"/>
  <c r="P160" i="10" s="1"/>
  <c r="J166" i="10"/>
  <c r="O160" i="10" s="1"/>
  <c r="I166" i="10"/>
  <c r="L163" i="10"/>
  <c r="K163" i="10"/>
  <c r="J163" i="10"/>
  <c r="I163" i="10"/>
  <c r="L162" i="10"/>
  <c r="Q159" i="10" s="1"/>
  <c r="K162" i="10"/>
  <c r="P159" i="10" s="1"/>
  <c r="J162" i="10"/>
  <c r="O159" i="10" s="1"/>
  <c r="I162" i="10"/>
  <c r="N159" i="10" s="1"/>
  <c r="L159" i="10"/>
  <c r="K159" i="10"/>
  <c r="J159" i="10"/>
  <c r="I159" i="10"/>
  <c r="L158" i="10"/>
  <c r="Q158" i="10" s="1"/>
  <c r="K158" i="10"/>
  <c r="P158" i="10" s="1"/>
  <c r="J158" i="10"/>
  <c r="O158" i="10" s="1"/>
  <c r="I158" i="10"/>
  <c r="N158" i="10" s="1"/>
  <c r="L148" i="10"/>
  <c r="K148" i="10"/>
  <c r="J148" i="10"/>
  <c r="I148" i="10"/>
  <c r="L147" i="10"/>
  <c r="K147" i="10"/>
  <c r="J147" i="10"/>
  <c r="O141" i="10" s="1"/>
  <c r="I147" i="10"/>
  <c r="N141" i="10" s="1"/>
  <c r="L144" i="10"/>
  <c r="K144" i="10"/>
  <c r="J144" i="10"/>
  <c r="I144" i="10"/>
  <c r="L143" i="10"/>
  <c r="Q140" i="10" s="1"/>
  <c r="K143" i="10"/>
  <c r="P140" i="10" s="1"/>
  <c r="J143" i="10"/>
  <c r="O140" i="10" s="1"/>
  <c r="I143" i="10"/>
  <c r="N140" i="10" s="1"/>
  <c r="Q141" i="10"/>
  <c r="P141" i="10"/>
  <c r="L140" i="10"/>
  <c r="K140" i="10"/>
  <c r="J140" i="10"/>
  <c r="I140" i="10"/>
  <c r="L139" i="10"/>
  <c r="Q139" i="10" s="1"/>
  <c r="K139" i="10"/>
  <c r="P139" i="10" s="1"/>
  <c r="J139" i="10"/>
  <c r="O139" i="10" s="1"/>
  <c r="I139" i="10"/>
  <c r="N139" i="10" s="1"/>
  <c r="L129" i="10"/>
  <c r="Q125" i="10" s="1"/>
  <c r="K129" i="10"/>
  <c r="P125" i="10" s="1"/>
  <c r="J129" i="10"/>
  <c r="O125" i="10" s="1"/>
  <c r="I129" i="10"/>
  <c r="L128" i="10"/>
  <c r="K128" i="10"/>
  <c r="J128" i="10"/>
  <c r="I128" i="10"/>
  <c r="N125" i="10"/>
  <c r="L125" i="10"/>
  <c r="K125" i="10"/>
  <c r="J125" i="10"/>
  <c r="I125" i="10"/>
  <c r="L124" i="10"/>
  <c r="K124" i="10"/>
  <c r="P124" i="10" s="1"/>
  <c r="J124" i="10"/>
  <c r="O124" i="10" s="1"/>
  <c r="I124" i="10"/>
  <c r="L114" i="10"/>
  <c r="K114" i="10"/>
  <c r="J114" i="10"/>
  <c r="I114" i="10"/>
  <c r="L113" i="10"/>
  <c r="Q104" i="10" s="1"/>
  <c r="K113" i="10"/>
  <c r="P104" i="10" s="1"/>
  <c r="J113" i="10"/>
  <c r="O104" i="10" s="1"/>
  <c r="I113" i="10"/>
  <c r="N104" i="10" s="1"/>
  <c r="L110" i="10"/>
  <c r="K110" i="10"/>
  <c r="J110" i="10"/>
  <c r="I110" i="10"/>
  <c r="N103" i="10" s="1"/>
  <c r="L109" i="10"/>
  <c r="K109" i="10"/>
  <c r="P103" i="10" s="1"/>
  <c r="J109" i="10"/>
  <c r="O103" i="10" s="1"/>
  <c r="I109" i="10"/>
  <c r="L106" i="10"/>
  <c r="K106" i="10"/>
  <c r="J106" i="10"/>
  <c r="I106" i="10"/>
  <c r="L105" i="10"/>
  <c r="K105" i="10"/>
  <c r="P102" i="10" s="1"/>
  <c r="J105" i="10"/>
  <c r="I105" i="10"/>
  <c r="Q102" i="10"/>
  <c r="O102" i="10"/>
  <c r="L102" i="10"/>
  <c r="Q101" i="10" s="1"/>
  <c r="K102" i="10"/>
  <c r="J102" i="10"/>
  <c r="I102" i="10"/>
  <c r="L101" i="10"/>
  <c r="K101" i="10"/>
  <c r="J101" i="10"/>
  <c r="O101" i="10" s="1"/>
  <c r="I101" i="10"/>
  <c r="N101" i="10" s="1"/>
  <c r="L91" i="10"/>
  <c r="K91" i="10"/>
  <c r="J91" i="10"/>
  <c r="I91" i="10"/>
  <c r="L90" i="10"/>
  <c r="Q81" i="10" s="1"/>
  <c r="K90" i="10"/>
  <c r="P81" i="10" s="1"/>
  <c r="J90" i="10"/>
  <c r="O81" i="10" s="1"/>
  <c r="I90" i="10"/>
  <c r="N81" i="10" s="1"/>
  <c r="L87" i="10"/>
  <c r="Q80" i="10" s="1"/>
  <c r="K87" i="10"/>
  <c r="P80" i="10" s="1"/>
  <c r="J87" i="10"/>
  <c r="I87" i="10"/>
  <c r="L86" i="10"/>
  <c r="K86" i="10"/>
  <c r="J86" i="10"/>
  <c r="I86" i="10"/>
  <c r="N80" i="10" s="1"/>
  <c r="L83" i="10"/>
  <c r="K83" i="10"/>
  <c r="J83" i="10"/>
  <c r="I83" i="10"/>
  <c r="L82" i="10"/>
  <c r="Q79" i="10" s="1"/>
  <c r="K82" i="10"/>
  <c r="P79" i="10" s="1"/>
  <c r="J82" i="10"/>
  <c r="O79" i="10" s="1"/>
  <c r="I82" i="10"/>
  <c r="N79" i="10" s="1"/>
  <c r="O80" i="10"/>
  <c r="L79" i="10"/>
  <c r="K79" i="10"/>
  <c r="J79" i="10"/>
  <c r="I79" i="10"/>
  <c r="L78" i="10"/>
  <c r="K78" i="10"/>
  <c r="P78" i="10" s="1"/>
  <c r="J78" i="10"/>
  <c r="O78" i="10" s="1"/>
  <c r="I78" i="10"/>
  <c r="N78" i="10" s="1"/>
  <c r="L68" i="10"/>
  <c r="K68" i="10"/>
  <c r="J68" i="10"/>
  <c r="I68" i="10"/>
  <c r="L67" i="10"/>
  <c r="K67" i="10"/>
  <c r="J67" i="10"/>
  <c r="I67" i="10"/>
  <c r="L64" i="10"/>
  <c r="K64" i="10"/>
  <c r="J64" i="10"/>
  <c r="I64" i="10"/>
  <c r="L63" i="10"/>
  <c r="K63" i="10"/>
  <c r="P57" i="10" s="1"/>
  <c r="J63" i="10"/>
  <c r="O57" i="10" s="1"/>
  <c r="I63" i="10"/>
  <c r="N57" i="10" s="1"/>
  <c r="L60" i="10"/>
  <c r="Q56" i="10" s="1"/>
  <c r="K60" i="10"/>
  <c r="P56" i="10" s="1"/>
  <c r="J60" i="10"/>
  <c r="O56" i="10" s="1"/>
  <c r="I60" i="10"/>
  <c r="N56" i="10" s="1"/>
  <c r="L59" i="10"/>
  <c r="K59" i="10"/>
  <c r="J59" i="10"/>
  <c r="I59" i="10"/>
  <c r="L56" i="10"/>
  <c r="K56" i="10"/>
  <c r="J56" i="10"/>
  <c r="I56" i="10"/>
  <c r="L55" i="10"/>
  <c r="K55" i="10"/>
  <c r="J55" i="10"/>
  <c r="I55" i="10"/>
  <c r="L45" i="10"/>
  <c r="K45" i="10"/>
  <c r="P41" i="10" s="1"/>
  <c r="J45" i="10"/>
  <c r="O41" i="10" s="1"/>
  <c r="I45" i="10"/>
  <c r="N41" i="10" s="1"/>
  <c r="L44" i="10"/>
  <c r="Q41" i="10" s="1"/>
  <c r="K44" i="10"/>
  <c r="J44" i="10"/>
  <c r="I44" i="10"/>
  <c r="L41" i="10"/>
  <c r="K41" i="10"/>
  <c r="J41" i="10"/>
  <c r="I41" i="10"/>
  <c r="L40" i="10"/>
  <c r="K40" i="10"/>
  <c r="P40" i="10" s="1"/>
  <c r="J40" i="10"/>
  <c r="O40" i="10" s="1"/>
  <c r="I40" i="10"/>
  <c r="N40" i="10" s="1"/>
  <c r="L30" i="10"/>
  <c r="K30" i="10"/>
  <c r="J30" i="10"/>
  <c r="I30" i="10"/>
  <c r="L29" i="10"/>
  <c r="K29" i="10"/>
  <c r="P26" i="10" s="1"/>
  <c r="J29" i="10"/>
  <c r="O26" i="10" s="1"/>
  <c r="I29" i="10"/>
  <c r="N26" i="10" s="1"/>
  <c r="L26" i="10"/>
  <c r="K26" i="10"/>
  <c r="J26" i="10"/>
  <c r="I26" i="10"/>
  <c r="O25" i="10"/>
  <c r="N25" i="10"/>
  <c r="L25" i="10"/>
  <c r="Q25" i="10" s="1"/>
  <c r="K25" i="10"/>
  <c r="P25" i="10" s="1"/>
  <c r="J25" i="10"/>
  <c r="I25" i="10"/>
  <c r="L15" i="10"/>
  <c r="K15" i="10"/>
  <c r="J15" i="10"/>
  <c r="I15" i="10"/>
  <c r="L14" i="10"/>
  <c r="Q8" i="10" s="1"/>
  <c r="K14" i="10"/>
  <c r="P8" i="10" s="1"/>
  <c r="J14" i="10"/>
  <c r="O8" i="10" s="1"/>
  <c r="I14" i="10"/>
  <c r="N8" i="10" s="1"/>
  <c r="L11" i="10"/>
  <c r="K11" i="10"/>
  <c r="J11" i="10"/>
  <c r="I11" i="10"/>
  <c r="N7" i="10" s="1"/>
  <c r="L10" i="10"/>
  <c r="Q7" i="10" s="1"/>
  <c r="K10" i="10"/>
  <c r="P7" i="10" s="1"/>
  <c r="J10" i="10"/>
  <c r="I10" i="10"/>
  <c r="L7" i="10"/>
  <c r="K7" i="10"/>
  <c r="J7" i="10"/>
  <c r="I7" i="10"/>
  <c r="L6" i="10"/>
  <c r="K6" i="10"/>
  <c r="P6" i="10" s="1"/>
  <c r="J6" i="10"/>
  <c r="I6" i="10"/>
  <c r="L306" i="9"/>
  <c r="K306" i="9"/>
  <c r="J306" i="9"/>
  <c r="I306" i="9"/>
  <c r="L305" i="9"/>
  <c r="Q302" i="9" s="1"/>
  <c r="K305" i="9"/>
  <c r="P302" i="9" s="1"/>
  <c r="J305" i="9"/>
  <c r="O302" i="9" s="1"/>
  <c r="I305" i="9"/>
  <c r="N302" i="9" s="1"/>
  <c r="L302" i="9"/>
  <c r="K302" i="9"/>
  <c r="J302" i="9"/>
  <c r="I302" i="9"/>
  <c r="L301" i="9"/>
  <c r="Q301" i="9" s="1"/>
  <c r="K301" i="9"/>
  <c r="P301" i="9" s="1"/>
  <c r="J301" i="9"/>
  <c r="O301" i="9" s="1"/>
  <c r="I301" i="9"/>
  <c r="N301" i="9" s="1"/>
  <c r="L291" i="9"/>
  <c r="K291" i="9"/>
  <c r="J291" i="9"/>
  <c r="I291" i="9"/>
  <c r="N287" i="9" s="1"/>
  <c r="L290" i="9"/>
  <c r="Q287" i="9" s="1"/>
  <c r="K290" i="9"/>
  <c r="P287" i="9" s="1"/>
  <c r="J290" i="9"/>
  <c r="O287" i="9" s="1"/>
  <c r="I290" i="9"/>
  <c r="L287" i="9"/>
  <c r="K287" i="9"/>
  <c r="J287" i="9"/>
  <c r="I287" i="9"/>
  <c r="L286" i="9"/>
  <c r="Q286" i="9" s="1"/>
  <c r="K286" i="9"/>
  <c r="P286" i="9" s="1"/>
  <c r="J286" i="9"/>
  <c r="O286" i="9" s="1"/>
  <c r="I286" i="9"/>
  <c r="N286" i="9" s="1"/>
  <c r="L276" i="9"/>
  <c r="K276" i="9"/>
  <c r="J276" i="9"/>
  <c r="I276" i="9"/>
  <c r="L275" i="9"/>
  <c r="Q272" i="9" s="1"/>
  <c r="K275" i="9"/>
  <c r="P272" i="9" s="1"/>
  <c r="J275" i="9"/>
  <c r="O272" i="9" s="1"/>
  <c r="I275" i="9"/>
  <c r="N272" i="9"/>
  <c r="L272" i="9"/>
  <c r="K272" i="9"/>
  <c r="J272" i="9"/>
  <c r="I272" i="9"/>
  <c r="L271" i="9"/>
  <c r="Q271" i="9" s="1"/>
  <c r="K271" i="9"/>
  <c r="P271" i="9" s="1"/>
  <c r="J271" i="9"/>
  <c r="O271" i="9" s="1"/>
  <c r="I271" i="9"/>
  <c r="N271" i="9" s="1"/>
  <c r="L261" i="9"/>
  <c r="K261" i="9"/>
  <c r="J261" i="9"/>
  <c r="I261" i="9"/>
  <c r="L260" i="9"/>
  <c r="Q257" i="9" s="1"/>
  <c r="K260" i="9"/>
  <c r="P257" i="9" s="1"/>
  <c r="J260" i="9"/>
  <c r="O257" i="9" s="1"/>
  <c r="I260" i="9"/>
  <c r="N257" i="9" s="1"/>
  <c r="L257" i="9"/>
  <c r="K257" i="9"/>
  <c r="J257" i="9"/>
  <c r="I257" i="9"/>
  <c r="L256" i="9"/>
  <c r="Q256" i="9" s="1"/>
  <c r="K256" i="9"/>
  <c r="P256" i="9" s="1"/>
  <c r="J256" i="9"/>
  <c r="O256" i="9" s="1"/>
  <c r="I256" i="9"/>
  <c r="N256" i="9" s="1"/>
  <c r="L246" i="9"/>
  <c r="K246" i="9"/>
  <c r="J246" i="9"/>
  <c r="I246" i="9"/>
  <c r="L245" i="9"/>
  <c r="K245" i="9"/>
  <c r="P242" i="9" s="1"/>
  <c r="J245" i="9"/>
  <c r="O242" i="9" s="1"/>
  <c r="I245" i="9"/>
  <c r="N242" i="9"/>
  <c r="L242" i="9"/>
  <c r="K242" i="9"/>
  <c r="J242" i="9"/>
  <c r="I242" i="9"/>
  <c r="L241" i="9"/>
  <c r="Q241" i="9" s="1"/>
  <c r="K241" i="9"/>
  <c r="P241" i="9" s="1"/>
  <c r="J241" i="9"/>
  <c r="O241" i="9" s="1"/>
  <c r="I241" i="9"/>
  <c r="N241" i="9" s="1"/>
  <c r="L231" i="9"/>
  <c r="K231" i="9"/>
  <c r="J231" i="9"/>
  <c r="I231" i="9"/>
  <c r="L230" i="9"/>
  <c r="Q227" i="9" s="1"/>
  <c r="K230" i="9"/>
  <c r="P227" i="9" s="1"/>
  <c r="J230" i="9"/>
  <c r="O227" i="9" s="1"/>
  <c r="I230" i="9"/>
  <c r="N227" i="9" s="1"/>
  <c r="L227" i="9"/>
  <c r="K227" i="9"/>
  <c r="J227" i="9"/>
  <c r="I227" i="9"/>
  <c r="L226" i="9"/>
  <c r="Q226" i="9" s="1"/>
  <c r="K226" i="9"/>
  <c r="P226" i="9" s="1"/>
  <c r="J226" i="9"/>
  <c r="O226" i="9" s="1"/>
  <c r="I226" i="9"/>
  <c r="N226" i="9" s="1"/>
  <c r="L216" i="9"/>
  <c r="K216" i="9"/>
  <c r="J216" i="9"/>
  <c r="I216" i="9"/>
  <c r="L215" i="9"/>
  <c r="Q212" i="9" s="1"/>
  <c r="K215" i="9"/>
  <c r="P212" i="9" s="1"/>
  <c r="J215" i="9"/>
  <c r="O212" i="9" s="1"/>
  <c r="I215" i="9"/>
  <c r="N212" i="9"/>
  <c r="L212" i="9"/>
  <c r="K212" i="9"/>
  <c r="J212" i="9"/>
  <c r="I212" i="9"/>
  <c r="L211" i="9"/>
  <c r="Q211" i="9" s="1"/>
  <c r="K211" i="9"/>
  <c r="P211" i="9" s="1"/>
  <c r="J211" i="9"/>
  <c r="O211" i="9" s="1"/>
  <c r="I211" i="9"/>
  <c r="N211" i="9" s="1"/>
  <c r="L201" i="9"/>
  <c r="K201" i="9"/>
  <c r="J201" i="9"/>
  <c r="I201" i="9"/>
  <c r="L200" i="9"/>
  <c r="Q197" i="9" s="1"/>
  <c r="K200" i="9"/>
  <c r="P197" i="9" s="1"/>
  <c r="J200" i="9"/>
  <c r="O197" i="9" s="1"/>
  <c r="I200" i="9"/>
  <c r="N197" i="9" s="1"/>
  <c r="L197" i="9"/>
  <c r="K197" i="9"/>
  <c r="J197" i="9"/>
  <c r="I197" i="9"/>
  <c r="L196" i="9"/>
  <c r="Q196" i="9" s="1"/>
  <c r="K196" i="9"/>
  <c r="P196" i="9" s="1"/>
  <c r="J196" i="9"/>
  <c r="O196" i="9" s="1"/>
  <c r="I196" i="9"/>
  <c r="N196" i="9" s="1"/>
  <c r="L186" i="9"/>
  <c r="K186" i="9"/>
  <c r="J186" i="9"/>
  <c r="I186" i="9"/>
  <c r="L185" i="9"/>
  <c r="K185" i="9"/>
  <c r="J185" i="9"/>
  <c r="I185" i="9"/>
  <c r="L182" i="9"/>
  <c r="K182" i="9"/>
  <c r="J182" i="9"/>
  <c r="I182" i="9"/>
  <c r="L181" i="9"/>
  <c r="Q178" i="9" s="1"/>
  <c r="K181" i="9"/>
  <c r="P178" i="9" s="1"/>
  <c r="J181" i="9"/>
  <c r="O178" i="9" s="1"/>
  <c r="I181" i="9"/>
  <c r="N178" i="9" s="1"/>
  <c r="Q179" i="9"/>
  <c r="P179" i="9"/>
  <c r="O179" i="9"/>
  <c r="N179" i="9"/>
  <c r="L178" i="9"/>
  <c r="K178" i="9"/>
  <c r="J178" i="9"/>
  <c r="I178" i="9"/>
  <c r="L177" i="9"/>
  <c r="Q177" i="9" s="1"/>
  <c r="K177" i="9"/>
  <c r="P177" i="9" s="1"/>
  <c r="J177" i="9"/>
  <c r="O177" i="9" s="1"/>
  <c r="I177" i="9"/>
  <c r="N177" i="9" s="1"/>
  <c r="L167" i="9"/>
  <c r="K167" i="9"/>
  <c r="J167" i="9"/>
  <c r="I167" i="9"/>
  <c r="L166" i="9"/>
  <c r="Q160" i="9" s="1"/>
  <c r="K166" i="9"/>
  <c r="P160" i="9" s="1"/>
  <c r="J166" i="9"/>
  <c r="O160" i="9" s="1"/>
  <c r="I166" i="9"/>
  <c r="N160" i="9" s="1"/>
  <c r="L163" i="9"/>
  <c r="K163" i="9"/>
  <c r="J163" i="9"/>
  <c r="I163" i="9"/>
  <c r="N159" i="9" s="1"/>
  <c r="L162" i="9"/>
  <c r="Q159" i="9" s="1"/>
  <c r="K162" i="9"/>
  <c r="P159" i="9" s="1"/>
  <c r="J162" i="9"/>
  <c r="O159" i="9" s="1"/>
  <c r="I162" i="9"/>
  <c r="L159" i="9"/>
  <c r="K159" i="9"/>
  <c r="J159" i="9"/>
  <c r="I159" i="9"/>
  <c r="L158" i="9"/>
  <c r="Q158" i="9" s="1"/>
  <c r="K158" i="9"/>
  <c r="P158" i="9" s="1"/>
  <c r="J158" i="9"/>
  <c r="O158" i="9" s="1"/>
  <c r="I158" i="9"/>
  <c r="N158" i="9" s="1"/>
  <c r="L148" i="9"/>
  <c r="K148" i="9"/>
  <c r="J148" i="9"/>
  <c r="I148" i="9"/>
  <c r="L147" i="9"/>
  <c r="K147" i="9"/>
  <c r="P141" i="9" s="1"/>
  <c r="J147" i="9"/>
  <c r="O141" i="9" s="1"/>
  <c r="I147" i="9"/>
  <c r="N141" i="9" s="1"/>
  <c r="L144" i="9"/>
  <c r="K144" i="9"/>
  <c r="J144" i="9"/>
  <c r="I144" i="9"/>
  <c r="L143" i="9"/>
  <c r="K143" i="9"/>
  <c r="P140" i="9" s="1"/>
  <c r="J143" i="9"/>
  <c r="O140" i="9" s="1"/>
  <c r="I143" i="9"/>
  <c r="Q141" i="9"/>
  <c r="N140" i="9"/>
  <c r="L140" i="9"/>
  <c r="K140" i="9"/>
  <c r="J140" i="9"/>
  <c r="I140" i="9"/>
  <c r="L139" i="9"/>
  <c r="K139" i="9"/>
  <c r="P139" i="9" s="1"/>
  <c r="J139" i="9"/>
  <c r="O139" i="9" s="1"/>
  <c r="I139" i="9"/>
  <c r="N139" i="9" s="1"/>
  <c r="L129" i="9"/>
  <c r="K129" i="9"/>
  <c r="J129" i="9"/>
  <c r="I129" i="9"/>
  <c r="L128" i="9"/>
  <c r="Q125" i="9" s="1"/>
  <c r="K128" i="9"/>
  <c r="P125" i="9" s="1"/>
  <c r="J128" i="9"/>
  <c r="O125" i="9" s="1"/>
  <c r="I128" i="9"/>
  <c r="N125" i="9" s="1"/>
  <c r="L125" i="9"/>
  <c r="K125" i="9"/>
  <c r="J125" i="9"/>
  <c r="I125" i="9"/>
  <c r="L124" i="9"/>
  <c r="Q124" i="9" s="1"/>
  <c r="K124" i="9"/>
  <c r="P124" i="9" s="1"/>
  <c r="J124" i="9"/>
  <c r="O124" i="9" s="1"/>
  <c r="I124" i="9"/>
  <c r="N124" i="9" s="1"/>
  <c r="L114" i="9"/>
  <c r="K114" i="9"/>
  <c r="J114" i="9"/>
  <c r="I114" i="9"/>
  <c r="L113" i="9"/>
  <c r="K113" i="9"/>
  <c r="J113" i="9"/>
  <c r="I113" i="9"/>
  <c r="L110" i="9"/>
  <c r="K110" i="9"/>
  <c r="J110" i="9"/>
  <c r="I110" i="9"/>
  <c r="L109" i="9"/>
  <c r="K109" i="9"/>
  <c r="P103" i="9" s="1"/>
  <c r="J109" i="9"/>
  <c r="O103" i="9" s="1"/>
  <c r="I109" i="9"/>
  <c r="N103" i="9" s="1"/>
  <c r="L106" i="9"/>
  <c r="K106" i="9"/>
  <c r="J106" i="9"/>
  <c r="I106" i="9"/>
  <c r="L105" i="9"/>
  <c r="Q102" i="9" s="1"/>
  <c r="K105" i="9"/>
  <c r="P102" i="9" s="1"/>
  <c r="J105" i="9"/>
  <c r="O102" i="9" s="1"/>
  <c r="I105" i="9"/>
  <c r="Q104" i="9"/>
  <c r="P104" i="9"/>
  <c r="O104" i="9"/>
  <c r="N104" i="9"/>
  <c r="Q103" i="9"/>
  <c r="N102" i="9"/>
  <c r="L102" i="9"/>
  <c r="K102" i="9"/>
  <c r="J102" i="9"/>
  <c r="I102" i="9"/>
  <c r="L101" i="9"/>
  <c r="K101" i="9"/>
  <c r="P101" i="9" s="1"/>
  <c r="J101" i="9"/>
  <c r="O101" i="9" s="1"/>
  <c r="I101" i="9"/>
  <c r="N101" i="9" s="1"/>
  <c r="L91" i="9"/>
  <c r="K91" i="9"/>
  <c r="J91" i="9"/>
  <c r="I91" i="9"/>
  <c r="L90" i="9"/>
  <c r="K90" i="9"/>
  <c r="P81" i="9" s="1"/>
  <c r="J90" i="9"/>
  <c r="O81" i="9" s="1"/>
  <c r="I90" i="9"/>
  <c r="N81" i="9" s="1"/>
  <c r="L87" i="9"/>
  <c r="K87" i="9"/>
  <c r="J87" i="9"/>
  <c r="I87" i="9"/>
  <c r="L86" i="9"/>
  <c r="K86" i="9"/>
  <c r="P80" i="9" s="1"/>
  <c r="J86" i="9"/>
  <c r="O80" i="9" s="1"/>
  <c r="I86" i="9"/>
  <c r="N80" i="9" s="1"/>
  <c r="L83" i="9"/>
  <c r="K83" i="9"/>
  <c r="J83" i="9"/>
  <c r="I83" i="9"/>
  <c r="L82" i="9"/>
  <c r="Q79" i="9" s="1"/>
  <c r="K82" i="9"/>
  <c r="P79" i="9" s="1"/>
  <c r="J82" i="9"/>
  <c r="O79" i="9" s="1"/>
  <c r="I82" i="9"/>
  <c r="N79" i="9" s="1"/>
  <c r="Q81" i="9"/>
  <c r="L79" i="9"/>
  <c r="K79" i="9"/>
  <c r="J79" i="9"/>
  <c r="I79" i="9"/>
  <c r="L78" i="9"/>
  <c r="Q78" i="9" s="1"/>
  <c r="K78" i="9"/>
  <c r="P78" i="9" s="1"/>
  <c r="J78" i="9"/>
  <c r="O78" i="9" s="1"/>
  <c r="I78" i="9"/>
  <c r="N78" i="9" s="1"/>
  <c r="L68" i="9"/>
  <c r="Q58" i="9" s="1"/>
  <c r="K68" i="9"/>
  <c r="J68" i="9"/>
  <c r="I68" i="9"/>
  <c r="L67" i="9"/>
  <c r="K67" i="9"/>
  <c r="J67" i="9"/>
  <c r="I67" i="9"/>
  <c r="L64" i="9"/>
  <c r="K64" i="9"/>
  <c r="J64" i="9"/>
  <c r="I64" i="9"/>
  <c r="L63" i="9"/>
  <c r="K63" i="9"/>
  <c r="J63" i="9"/>
  <c r="I63" i="9"/>
  <c r="L60" i="9"/>
  <c r="K60" i="9"/>
  <c r="J60" i="9"/>
  <c r="I60" i="9"/>
  <c r="L59" i="9"/>
  <c r="K59" i="9"/>
  <c r="P56" i="9" s="1"/>
  <c r="J59" i="9"/>
  <c r="O56" i="9" s="1"/>
  <c r="I59" i="9"/>
  <c r="P58" i="9"/>
  <c r="O58" i="9"/>
  <c r="N58" i="9"/>
  <c r="Q57" i="9"/>
  <c r="P57" i="9"/>
  <c r="O57" i="9"/>
  <c r="N57" i="9"/>
  <c r="N56" i="9"/>
  <c r="L56" i="9"/>
  <c r="K56" i="9"/>
  <c r="J56" i="9"/>
  <c r="I56" i="9"/>
  <c r="L55" i="9"/>
  <c r="Q55" i="9" s="1"/>
  <c r="K55" i="9"/>
  <c r="P55" i="9" s="1"/>
  <c r="J55" i="9"/>
  <c r="O55" i="9" s="1"/>
  <c r="I55" i="9"/>
  <c r="N55" i="9" s="1"/>
  <c r="L49" i="9"/>
  <c r="K49" i="9"/>
  <c r="J49" i="9"/>
  <c r="I49" i="9"/>
  <c r="L48" i="9"/>
  <c r="K48" i="9"/>
  <c r="J48" i="9"/>
  <c r="I48" i="9"/>
  <c r="L45" i="9"/>
  <c r="K45" i="9"/>
  <c r="J45" i="9"/>
  <c r="I45" i="9"/>
  <c r="L44" i="9"/>
  <c r="Q41" i="9" s="1"/>
  <c r="K44" i="9"/>
  <c r="P41" i="9" s="1"/>
  <c r="J44" i="9"/>
  <c r="O41" i="9" s="1"/>
  <c r="I44" i="9"/>
  <c r="N41" i="9" s="1"/>
  <c r="L41" i="9"/>
  <c r="K41" i="9"/>
  <c r="J41" i="9"/>
  <c r="I41" i="9"/>
  <c r="Q40" i="9"/>
  <c r="P40" i="9"/>
  <c r="O40" i="9"/>
  <c r="L40" i="9"/>
  <c r="K40" i="9"/>
  <c r="J40" i="9"/>
  <c r="I40" i="9"/>
  <c r="N40" i="9" s="1"/>
  <c r="L30" i="9"/>
  <c r="K30" i="9"/>
  <c r="J30" i="9"/>
  <c r="I30" i="9"/>
  <c r="L29" i="9"/>
  <c r="K29" i="9"/>
  <c r="J29" i="9"/>
  <c r="I29" i="9"/>
  <c r="N26" i="9" s="1"/>
  <c r="Q26" i="9"/>
  <c r="P26" i="9"/>
  <c r="O26" i="9"/>
  <c r="L26" i="9"/>
  <c r="K26" i="9"/>
  <c r="J26" i="9"/>
  <c r="I26" i="9"/>
  <c r="L25" i="9"/>
  <c r="Q25" i="9" s="1"/>
  <c r="K25" i="9"/>
  <c r="P25" i="9" s="1"/>
  <c r="J25" i="9"/>
  <c r="O25" i="9" s="1"/>
  <c r="I25" i="9"/>
  <c r="N25" i="9" s="1"/>
  <c r="L15" i="9"/>
  <c r="K15" i="9"/>
  <c r="J15" i="9"/>
  <c r="I15" i="9"/>
  <c r="L14" i="9"/>
  <c r="Q8" i="9" s="1"/>
  <c r="K14" i="9"/>
  <c r="P8" i="9" s="1"/>
  <c r="J14" i="9"/>
  <c r="O8" i="9" s="1"/>
  <c r="I14" i="9"/>
  <c r="L11" i="9"/>
  <c r="K11" i="9"/>
  <c r="J11" i="9"/>
  <c r="I11" i="9"/>
  <c r="L10" i="9"/>
  <c r="Q7" i="9" s="1"/>
  <c r="K10" i="9"/>
  <c r="P7" i="9" s="1"/>
  <c r="J10" i="9"/>
  <c r="O7" i="9" s="1"/>
  <c r="I10" i="9"/>
  <c r="N7" i="9" s="1"/>
  <c r="N8" i="9"/>
  <c r="L7" i="9"/>
  <c r="K7" i="9"/>
  <c r="J7" i="9"/>
  <c r="I7" i="9"/>
  <c r="L6" i="9"/>
  <c r="K6" i="9"/>
  <c r="J6" i="9"/>
  <c r="I6" i="9"/>
  <c r="N6" i="9" s="1"/>
  <c r="L314" i="8"/>
  <c r="K314" i="8"/>
  <c r="J314" i="8"/>
  <c r="I314" i="8"/>
  <c r="L313" i="8"/>
  <c r="K313" i="8"/>
  <c r="J313" i="8"/>
  <c r="I313" i="8"/>
  <c r="L310" i="8"/>
  <c r="K310" i="8"/>
  <c r="J310" i="8"/>
  <c r="I310" i="8"/>
  <c r="L309" i="8"/>
  <c r="K309" i="8"/>
  <c r="J309" i="8"/>
  <c r="I309" i="8"/>
  <c r="L306" i="8"/>
  <c r="K306" i="8"/>
  <c r="J306" i="8"/>
  <c r="I306" i="8"/>
  <c r="L305" i="8"/>
  <c r="Q302" i="8" s="1"/>
  <c r="K305" i="8"/>
  <c r="P302" i="8" s="1"/>
  <c r="J305" i="8"/>
  <c r="O302" i="8" s="1"/>
  <c r="I305" i="8"/>
  <c r="N302" i="8" s="1"/>
  <c r="Q304" i="8"/>
  <c r="P304" i="8"/>
  <c r="O304" i="8"/>
  <c r="N304" i="8"/>
  <c r="Q303" i="8"/>
  <c r="P303" i="8"/>
  <c r="O303" i="8"/>
  <c r="N303" i="8"/>
  <c r="L302" i="8"/>
  <c r="K302" i="8"/>
  <c r="J302" i="8"/>
  <c r="I302" i="8"/>
  <c r="L301" i="8"/>
  <c r="Q301" i="8" s="1"/>
  <c r="K301" i="8"/>
  <c r="P301" i="8" s="1"/>
  <c r="J301" i="8"/>
  <c r="O301" i="8" s="1"/>
  <c r="I301" i="8"/>
  <c r="N301" i="8" s="1"/>
  <c r="L299" i="8"/>
  <c r="Q289" i="8" s="1"/>
  <c r="K299" i="8"/>
  <c r="P289" i="8" s="1"/>
  <c r="J299" i="8"/>
  <c r="O289" i="8" s="1"/>
  <c r="I299" i="8"/>
  <c r="N289" i="8" s="1"/>
  <c r="L298" i="8"/>
  <c r="K298" i="8"/>
  <c r="J298" i="8"/>
  <c r="I298" i="8"/>
  <c r="L295" i="8"/>
  <c r="K295" i="8"/>
  <c r="J295" i="8"/>
  <c r="I295" i="8"/>
  <c r="L294" i="8"/>
  <c r="K294" i="8"/>
  <c r="P288" i="8" s="1"/>
  <c r="J294" i="8"/>
  <c r="I294" i="8"/>
  <c r="L291" i="8"/>
  <c r="K291" i="8"/>
  <c r="J291" i="8"/>
  <c r="I291" i="8"/>
  <c r="L290" i="8"/>
  <c r="K290" i="8"/>
  <c r="J290" i="8"/>
  <c r="I290" i="8"/>
  <c r="Q288" i="8"/>
  <c r="O288" i="8"/>
  <c r="N288" i="8"/>
  <c r="L287" i="8"/>
  <c r="K287" i="8"/>
  <c r="J287" i="8"/>
  <c r="I287" i="8"/>
  <c r="L286" i="8"/>
  <c r="K286" i="8"/>
  <c r="J286" i="8"/>
  <c r="I286" i="8"/>
  <c r="L284" i="8"/>
  <c r="K284" i="8"/>
  <c r="J284" i="8"/>
  <c r="I284" i="8"/>
  <c r="L283" i="8"/>
  <c r="K283" i="8"/>
  <c r="J283" i="8"/>
  <c r="I283" i="8"/>
  <c r="L280" i="8"/>
  <c r="K280" i="8"/>
  <c r="P273" i="8" s="1"/>
  <c r="J280" i="8"/>
  <c r="I280" i="8"/>
  <c r="L279" i="8"/>
  <c r="K279" i="8"/>
  <c r="J279" i="8"/>
  <c r="I279" i="8"/>
  <c r="L276" i="8"/>
  <c r="K276" i="8"/>
  <c r="J276" i="8"/>
  <c r="I276" i="8"/>
  <c r="L275" i="8"/>
  <c r="Q272" i="8" s="1"/>
  <c r="K275" i="8"/>
  <c r="P272" i="8" s="1"/>
  <c r="J275" i="8"/>
  <c r="O272" i="8" s="1"/>
  <c r="I275" i="8"/>
  <c r="N272" i="8" s="1"/>
  <c r="Q274" i="8"/>
  <c r="P274" i="8"/>
  <c r="O274" i="8"/>
  <c r="N274" i="8"/>
  <c r="L272" i="8"/>
  <c r="K272" i="8"/>
  <c r="J272" i="8"/>
  <c r="I272" i="8"/>
  <c r="L271" i="8"/>
  <c r="Q271" i="8" s="1"/>
  <c r="K271" i="8"/>
  <c r="P271" i="8" s="1"/>
  <c r="J271" i="8"/>
  <c r="O271" i="8" s="1"/>
  <c r="I271" i="8"/>
  <c r="N271" i="8" s="1"/>
  <c r="L269" i="8"/>
  <c r="K269" i="8"/>
  <c r="J269" i="8"/>
  <c r="I269" i="8"/>
  <c r="L268" i="8"/>
  <c r="Q259" i="8" s="1"/>
  <c r="K268" i="8"/>
  <c r="P259" i="8" s="1"/>
  <c r="J268" i="8"/>
  <c r="O259" i="8" s="1"/>
  <c r="I268" i="8"/>
  <c r="N259" i="8" s="1"/>
  <c r="L265" i="8"/>
  <c r="K265" i="8"/>
  <c r="J265" i="8"/>
  <c r="I265" i="8"/>
  <c r="L264" i="8"/>
  <c r="K264" i="8"/>
  <c r="P258" i="8" s="1"/>
  <c r="J264" i="8"/>
  <c r="O258" i="8" s="1"/>
  <c r="I264" i="8"/>
  <c r="N258" i="8" s="1"/>
  <c r="L261" i="8"/>
  <c r="K261" i="8"/>
  <c r="J261" i="8"/>
  <c r="I261" i="8"/>
  <c r="L260" i="8"/>
  <c r="Q257" i="8" s="1"/>
  <c r="K260" i="8"/>
  <c r="P257" i="8" s="1"/>
  <c r="J260" i="8"/>
  <c r="O257" i="8" s="1"/>
  <c r="I260" i="8"/>
  <c r="Q258" i="8"/>
  <c r="L257" i="8"/>
  <c r="K257" i="8"/>
  <c r="J257" i="8"/>
  <c r="I257" i="8"/>
  <c r="L256" i="8"/>
  <c r="Q256" i="8" s="1"/>
  <c r="K256" i="8"/>
  <c r="P256" i="8" s="1"/>
  <c r="J256" i="8"/>
  <c r="O256" i="8" s="1"/>
  <c r="I256" i="8"/>
  <c r="N256" i="8" s="1"/>
  <c r="L254" i="8"/>
  <c r="K254" i="8"/>
  <c r="J254" i="8"/>
  <c r="I254" i="8"/>
  <c r="L253" i="8"/>
  <c r="K253" i="8"/>
  <c r="J253" i="8"/>
  <c r="I253" i="8"/>
  <c r="L250" i="8"/>
  <c r="K250" i="8"/>
  <c r="J250" i="8"/>
  <c r="I250" i="8"/>
  <c r="L249" i="8"/>
  <c r="K249" i="8"/>
  <c r="J249" i="8"/>
  <c r="I249" i="8"/>
  <c r="L246" i="8"/>
  <c r="K246" i="8"/>
  <c r="J246" i="8"/>
  <c r="I246" i="8"/>
  <c r="L245" i="8"/>
  <c r="K245" i="8"/>
  <c r="P242" i="8" s="1"/>
  <c r="J245" i="8"/>
  <c r="O242" i="8" s="1"/>
  <c r="I245" i="8"/>
  <c r="N242" i="8" s="1"/>
  <c r="Q244" i="8"/>
  <c r="P244" i="8"/>
  <c r="O244" i="8"/>
  <c r="N244" i="8"/>
  <c r="Q243" i="8"/>
  <c r="P243" i="8"/>
  <c r="O243" i="8"/>
  <c r="N243" i="8"/>
  <c r="L242" i="8"/>
  <c r="K242" i="8"/>
  <c r="J242" i="8"/>
  <c r="I242" i="8"/>
  <c r="L241" i="8"/>
  <c r="K241" i="8"/>
  <c r="P241" i="8" s="1"/>
  <c r="J241" i="8"/>
  <c r="O241" i="8" s="1"/>
  <c r="I241" i="8"/>
  <c r="N241" i="8" s="1"/>
  <c r="L239" i="8"/>
  <c r="K239" i="8"/>
  <c r="J239" i="8"/>
  <c r="I239" i="8"/>
  <c r="L238" i="8"/>
  <c r="Q229" i="8" s="1"/>
  <c r="K238" i="8"/>
  <c r="P229" i="8" s="1"/>
  <c r="J238" i="8"/>
  <c r="O229" i="8" s="1"/>
  <c r="I238" i="8"/>
  <c r="N229" i="8" s="1"/>
  <c r="L235" i="8"/>
  <c r="K235" i="8"/>
  <c r="J235" i="8"/>
  <c r="I235" i="8"/>
  <c r="L234" i="8"/>
  <c r="K234" i="8"/>
  <c r="J234" i="8"/>
  <c r="I234" i="8"/>
  <c r="N228" i="8" s="1"/>
  <c r="L231" i="8"/>
  <c r="K231" i="8"/>
  <c r="J231" i="8"/>
  <c r="I231" i="8"/>
  <c r="L230" i="8"/>
  <c r="Q227" i="8" s="1"/>
  <c r="K230" i="8"/>
  <c r="P227" i="8" s="1"/>
  <c r="J230" i="8"/>
  <c r="O227" i="8" s="1"/>
  <c r="I230" i="8"/>
  <c r="N227" i="8" s="1"/>
  <c r="Q228" i="8"/>
  <c r="P228" i="8"/>
  <c r="O228" i="8"/>
  <c r="L227" i="8"/>
  <c r="K227" i="8"/>
  <c r="J227" i="8"/>
  <c r="I227" i="8"/>
  <c r="L226" i="8"/>
  <c r="Q226" i="8" s="1"/>
  <c r="K226" i="8"/>
  <c r="P226" i="8" s="1"/>
  <c r="J226" i="8"/>
  <c r="O226" i="8" s="1"/>
  <c r="I226" i="8"/>
  <c r="N226" i="8" s="1"/>
  <c r="L224" i="8"/>
  <c r="K224" i="8"/>
  <c r="J224" i="8"/>
  <c r="I224" i="8"/>
  <c r="L223" i="8"/>
  <c r="K223" i="8"/>
  <c r="J223" i="8"/>
  <c r="I223" i="8"/>
  <c r="L220" i="8"/>
  <c r="K220" i="8"/>
  <c r="J220" i="8"/>
  <c r="I220" i="8"/>
  <c r="L219" i="8"/>
  <c r="K219" i="8"/>
  <c r="J219" i="8"/>
  <c r="I219" i="8"/>
  <c r="L216" i="8"/>
  <c r="K216" i="8"/>
  <c r="J216" i="8"/>
  <c r="I216" i="8"/>
  <c r="L215" i="8"/>
  <c r="Q212" i="8" s="1"/>
  <c r="K215" i="8"/>
  <c r="P212" i="8" s="1"/>
  <c r="J215" i="8"/>
  <c r="O212" i="8" s="1"/>
  <c r="I215" i="8"/>
  <c r="N212" i="8" s="1"/>
  <c r="Q214" i="8"/>
  <c r="P214" i="8"/>
  <c r="O214" i="8"/>
  <c r="N214" i="8"/>
  <c r="Q213" i="8"/>
  <c r="P213" i="8"/>
  <c r="O213" i="8"/>
  <c r="N213" i="8"/>
  <c r="L212" i="8"/>
  <c r="K212" i="8"/>
  <c r="J212" i="8"/>
  <c r="I212" i="8"/>
  <c r="L211" i="8"/>
  <c r="Q211" i="8" s="1"/>
  <c r="K211" i="8"/>
  <c r="P211" i="8" s="1"/>
  <c r="J211" i="8"/>
  <c r="O211" i="8" s="1"/>
  <c r="I211" i="8"/>
  <c r="N211" i="8" s="1"/>
  <c r="L209" i="8"/>
  <c r="K209" i="8"/>
  <c r="J209" i="8"/>
  <c r="I209" i="8"/>
  <c r="L208" i="8"/>
  <c r="Q199" i="8" s="1"/>
  <c r="K208" i="8"/>
  <c r="P199" i="8" s="1"/>
  <c r="J208" i="8"/>
  <c r="O199" i="8" s="1"/>
  <c r="I208" i="8"/>
  <c r="N199" i="8" s="1"/>
  <c r="L205" i="8"/>
  <c r="K205" i="8"/>
  <c r="J205" i="8"/>
  <c r="I205" i="8"/>
  <c r="L204" i="8"/>
  <c r="K204" i="8"/>
  <c r="J204" i="8"/>
  <c r="I204" i="8"/>
  <c r="L201" i="8"/>
  <c r="K201" i="8"/>
  <c r="J201" i="8"/>
  <c r="I201" i="8"/>
  <c r="L200" i="8"/>
  <c r="Q197" i="8" s="1"/>
  <c r="K200" i="8"/>
  <c r="P197" i="8" s="1"/>
  <c r="J200" i="8"/>
  <c r="O197" i="8" s="1"/>
  <c r="I200" i="8"/>
  <c r="N197" i="8" s="1"/>
  <c r="Q198" i="8"/>
  <c r="P198" i="8"/>
  <c r="O198" i="8"/>
  <c r="N198" i="8"/>
  <c r="L197" i="8"/>
  <c r="K197" i="8"/>
  <c r="J197" i="8"/>
  <c r="I197" i="8"/>
  <c r="L196" i="8"/>
  <c r="Q196" i="8" s="1"/>
  <c r="K196" i="8"/>
  <c r="P196" i="8" s="1"/>
  <c r="J196" i="8"/>
  <c r="O196" i="8" s="1"/>
  <c r="I196" i="8"/>
  <c r="N196" i="8" s="1"/>
  <c r="L190" i="8"/>
  <c r="K190" i="8"/>
  <c r="J190" i="8"/>
  <c r="I190" i="8"/>
  <c r="L189" i="8"/>
  <c r="K189" i="8"/>
  <c r="J189" i="8"/>
  <c r="I189" i="8"/>
  <c r="L186" i="8"/>
  <c r="K186" i="8"/>
  <c r="J186" i="8"/>
  <c r="I186" i="8"/>
  <c r="L185" i="8"/>
  <c r="K185" i="8"/>
  <c r="J185" i="8"/>
  <c r="I185" i="8"/>
  <c r="L182" i="8"/>
  <c r="K182" i="8"/>
  <c r="J182" i="8"/>
  <c r="I182" i="8"/>
  <c r="L181" i="8"/>
  <c r="Q178" i="8" s="1"/>
  <c r="K181" i="8"/>
  <c r="P178" i="8" s="1"/>
  <c r="J181" i="8"/>
  <c r="O178" i="8" s="1"/>
  <c r="I181" i="8"/>
  <c r="N178" i="8" s="1"/>
  <c r="Q180" i="8"/>
  <c r="P180" i="8"/>
  <c r="O180" i="8"/>
  <c r="N180" i="8"/>
  <c r="Q179" i="8"/>
  <c r="P179" i="8"/>
  <c r="O179" i="8"/>
  <c r="N179" i="8"/>
  <c r="L178" i="8"/>
  <c r="K178" i="8"/>
  <c r="J178" i="8"/>
  <c r="I178" i="8"/>
  <c r="L177" i="8"/>
  <c r="Q177" i="8" s="1"/>
  <c r="K177" i="8"/>
  <c r="P177" i="8" s="1"/>
  <c r="J177" i="8"/>
  <c r="O177" i="8" s="1"/>
  <c r="I177" i="8"/>
  <c r="N177" i="8" s="1"/>
  <c r="L171" i="8"/>
  <c r="K171" i="8"/>
  <c r="J171" i="8"/>
  <c r="I171" i="8"/>
  <c r="L170" i="8"/>
  <c r="Q161" i="8" s="1"/>
  <c r="K170" i="8"/>
  <c r="P161" i="8" s="1"/>
  <c r="J170" i="8"/>
  <c r="O161" i="8" s="1"/>
  <c r="I170" i="8"/>
  <c r="N161" i="8" s="1"/>
  <c r="L167" i="8"/>
  <c r="K167" i="8"/>
  <c r="J167" i="8"/>
  <c r="I167" i="8"/>
  <c r="L166" i="8"/>
  <c r="K166" i="8"/>
  <c r="J166" i="8"/>
  <c r="I166" i="8"/>
  <c r="L163" i="8"/>
  <c r="K163" i="8"/>
  <c r="J163" i="8"/>
  <c r="I163" i="8"/>
  <c r="L162" i="8"/>
  <c r="Q159" i="8" s="1"/>
  <c r="K162" i="8"/>
  <c r="P159" i="8" s="1"/>
  <c r="J162" i="8"/>
  <c r="O159" i="8" s="1"/>
  <c r="I162" i="8"/>
  <c r="N159" i="8" s="1"/>
  <c r="Q160" i="8"/>
  <c r="P160" i="8"/>
  <c r="O160" i="8"/>
  <c r="N160" i="8"/>
  <c r="L159" i="8"/>
  <c r="K159" i="8"/>
  <c r="J159" i="8"/>
  <c r="I159" i="8"/>
  <c r="L158" i="8"/>
  <c r="Q158" i="8" s="1"/>
  <c r="K158" i="8"/>
  <c r="P158" i="8" s="1"/>
  <c r="J158" i="8"/>
  <c r="O158" i="8" s="1"/>
  <c r="I158" i="8"/>
  <c r="N158" i="8" s="1"/>
  <c r="L152" i="8"/>
  <c r="K152" i="8"/>
  <c r="J152" i="8"/>
  <c r="I152" i="8"/>
  <c r="L151" i="8"/>
  <c r="K151" i="8"/>
  <c r="J151" i="8"/>
  <c r="I151" i="8"/>
  <c r="L148" i="8"/>
  <c r="K148" i="8"/>
  <c r="J148" i="8"/>
  <c r="I148" i="8"/>
  <c r="L147" i="8"/>
  <c r="K147" i="8"/>
  <c r="J147" i="8"/>
  <c r="I147" i="8"/>
  <c r="L144" i="8"/>
  <c r="K144" i="8"/>
  <c r="J144" i="8"/>
  <c r="I144" i="8"/>
  <c r="L143" i="8"/>
  <c r="Q140" i="8" s="1"/>
  <c r="K143" i="8"/>
  <c r="P140" i="8" s="1"/>
  <c r="J143" i="8"/>
  <c r="O140" i="8" s="1"/>
  <c r="I143" i="8"/>
  <c r="N140" i="8" s="1"/>
  <c r="Q142" i="8"/>
  <c r="P142" i="8"/>
  <c r="O142" i="8"/>
  <c r="N142" i="8"/>
  <c r="Q141" i="8"/>
  <c r="P141" i="8"/>
  <c r="O141" i="8"/>
  <c r="N141" i="8"/>
  <c r="L140" i="8"/>
  <c r="K140" i="8"/>
  <c r="J140" i="8"/>
  <c r="I140" i="8"/>
  <c r="L139" i="8"/>
  <c r="Q139" i="8" s="1"/>
  <c r="K139" i="8"/>
  <c r="P139" i="8" s="1"/>
  <c r="J139" i="8"/>
  <c r="O139" i="8" s="1"/>
  <c r="I139" i="8"/>
  <c r="N139" i="8" s="1"/>
  <c r="L137" i="8"/>
  <c r="K137" i="8"/>
  <c r="J137" i="8"/>
  <c r="I137" i="8"/>
  <c r="L136" i="8"/>
  <c r="Q127" i="8" s="1"/>
  <c r="K136" i="8"/>
  <c r="P127" i="8" s="1"/>
  <c r="J136" i="8"/>
  <c r="O127" i="8" s="1"/>
  <c r="I136" i="8"/>
  <c r="N127" i="8" s="1"/>
  <c r="L133" i="8"/>
  <c r="K133" i="8"/>
  <c r="J133" i="8"/>
  <c r="I133" i="8"/>
  <c r="L132" i="8"/>
  <c r="Q126" i="8" s="1"/>
  <c r="K132" i="8"/>
  <c r="J132" i="8"/>
  <c r="I132" i="8"/>
  <c r="L129" i="8"/>
  <c r="K129" i="8"/>
  <c r="J129" i="8"/>
  <c r="I129" i="8"/>
  <c r="L128" i="8"/>
  <c r="Q125" i="8" s="1"/>
  <c r="K128" i="8"/>
  <c r="P125" i="8" s="1"/>
  <c r="J128" i="8"/>
  <c r="O125" i="8" s="1"/>
  <c r="I128" i="8"/>
  <c r="N125" i="8" s="1"/>
  <c r="P126" i="8"/>
  <c r="O126" i="8"/>
  <c r="N126" i="8"/>
  <c r="L125" i="8"/>
  <c r="K125" i="8"/>
  <c r="J125" i="8"/>
  <c r="I125" i="8"/>
  <c r="L124" i="8"/>
  <c r="Q124" i="8" s="1"/>
  <c r="K124" i="8"/>
  <c r="P124" i="8" s="1"/>
  <c r="J124" i="8"/>
  <c r="O124" i="8" s="1"/>
  <c r="I124" i="8"/>
  <c r="N124" i="8" s="1"/>
  <c r="L114" i="8"/>
  <c r="K114" i="8"/>
  <c r="J114" i="8"/>
  <c r="I114" i="8"/>
  <c r="L113" i="8"/>
  <c r="K113" i="8"/>
  <c r="J113" i="8"/>
  <c r="I113" i="8"/>
  <c r="L110" i="8"/>
  <c r="K110" i="8"/>
  <c r="J110" i="8"/>
  <c r="I110" i="8"/>
  <c r="L109" i="8"/>
  <c r="K109" i="8"/>
  <c r="J109" i="8"/>
  <c r="I109" i="8"/>
  <c r="L106" i="8"/>
  <c r="K106" i="8"/>
  <c r="J106" i="8"/>
  <c r="I106" i="8"/>
  <c r="L105" i="8"/>
  <c r="Q102" i="8" s="1"/>
  <c r="K105" i="8"/>
  <c r="P102" i="8" s="1"/>
  <c r="J105" i="8"/>
  <c r="O102" i="8" s="1"/>
  <c r="I105" i="8"/>
  <c r="N102" i="8" s="1"/>
  <c r="Q104" i="8"/>
  <c r="P104" i="8"/>
  <c r="O104" i="8"/>
  <c r="N104" i="8"/>
  <c r="Q103" i="8"/>
  <c r="P103" i="8"/>
  <c r="O103" i="8"/>
  <c r="N103" i="8"/>
  <c r="L102" i="8"/>
  <c r="K102" i="8"/>
  <c r="J102" i="8"/>
  <c r="I102" i="8"/>
  <c r="L101" i="8"/>
  <c r="Q101" i="8" s="1"/>
  <c r="K101" i="8"/>
  <c r="P101" i="8" s="1"/>
  <c r="J101" i="8"/>
  <c r="O101" i="8" s="1"/>
  <c r="I101" i="8"/>
  <c r="N101" i="8" s="1"/>
  <c r="L91" i="8"/>
  <c r="K91" i="8"/>
  <c r="J91" i="8"/>
  <c r="I91" i="8"/>
  <c r="L90" i="8"/>
  <c r="Q81" i="8" s="1"/>
  <c r="K90" i="8"/>
  <c r="P81" i="8" s="1"/>
  <c r="J90" i="8"/>
  <c r="O81" i="8" s="1"/>
  <c r="I90" i="8"/>
  <c r="N81" i="8" s="1"/>
  <c r="L87" i="8"/>
  <c r="K87" i="8"/>
  <c r="J87" i="8"/>
  <c r="I87" i="8"/>
  <c r="L86" i="8"/>
  <c r="K86" i="8"/>
  <c r="J86" i="8"/>
  <c r="I86" i="8"/>
  <c r="L83" i="8"/>
  <c r="K83" i="8"/>
  <c r="J83" i="8"/>
  <c r="I83" i="8"/>
  <c r="L82" i="8"/>
  <c r="Q79" i="8" s="1"/>
  <c r="K82" i="8"/>
  <c r="P79" i="8" s="1"/>
  <c r="J82" i="8"/>
  <c r="O79" i="8" s="1"/>
  <c r="I82" i="8"/>
  <c r="N79" i="8" s="1"/>
  <c r="Q80" i="8"/>
  <c r="P80" i="8"/>
  <c r="O80" i="8"/>
  <c r="N80" i="8"/>
  <c r="L79" i="8"/>
  <c r="K79" i="8"/>
  <c r="J79" i="8"/>
  <c r="I79" i="8"/>
  <c r="L78" i="8"/>
  <c r="Q78" i="8" s="1"/>
  <c r="K78" i="8"/>
  <c r="P78" i="8" s="1"/>
  <c r="J78" i="8"/>
  <c r="O78" i="8" s="1"/>
  <c r="I78" i="8"/>
  <c r="N78" i="8" s="1"/>
  <c r="L68" i="8"/>
  <c r="K68" i="8"/>
  <c r="J68" i="8"/>
  <c r="I68" i="8"/>
  <c r="L67" i="8"/>
  <c r="Q58" i="8" s="1"/>
  <c r="K67" i="8"/>
  <c r="P58" i="8" s="1"/>
  <c r="J67" i="8"/>
  <c r="O58" i="8" s="1"/>
  <c r="I67" i="8"/>
  <c r="N58" i="8" s="1"/>
  <c r="L64" i="8"/>
  <c r="K64" i="8"/>
  <c r="P57" i="8" s="1"/>
  <c r="J64" i="8"/>
  <c r="I64" i="8"/>
  <c r="L63" i="8"/>
  <c r="K63" i="8"/>
  <c r="J63" i="8"/>
  <c r="I63" i="8"/>
  <c r="L60" i="8"/>
  <c r="K60" i="8"/>
  <c r="J60" i="8"/>
  <c r="I60" i="8"/>
  <c r="L59" i="8"/>
  <c r="Q56" i="8" s="1"/>
  <c r="K59" i="8"/>
  <c r="P56" i="8" s="1"/>
  <c r="J59" i="8"/>
  <c r="O56" i="8" s="1"/>
  <c r="I59" i="8"/>
  <c r="N56" i="8" s="1"/>
  <c r="L56" i="8"/>
  <c r="K56" i="8"/>
  <c r="J56" i="8"/>
  <c r="I56" i="8"/>
  <c r="L55" i="8"/>
  <c r="Q55" i="8" s="1"/>
  <c r="K55" i="8"/>
  <c r="P55" i="8" s="1"/>
  <c r="J55" i="8"/>
  <c r="O55" i="8" s="1"/>
  <c r="I55" i="8"/>
  <c r="N55" i="8" s="1"/>
  <c r="L49" i="8"/>
  <c r="K49" i="8"/>
  <c r="J49" i="8"/>
  <c r="I49" i="8"/>
  <c r="L48" i="8"/>
  <c r="Q42" i="8" s="1"/>
  <c r="K48" i="8"/>
  <c r="P42" i="8" s="1"/>
  <c r="J48" i="8"/>
  <c r="O42" i="8" s="1"/>
  <c r="I48" i="8"/>
  <c r="N42" i="8" s="1"/>
  <c r="L45" i="8"/>
  <c r="K45" i="8"/>
  <c r="J45" i="8"/>
  <c r="I45" i="8"/>
  <c r="L44" i="8"/>
  <c r="Q41" i="8" s="1"/>
  <c r="K44" i="8"/>
  <c r="P41" i="8" s="1"/>
  <c r="J44" i="8"/>
  <c r="O41" i="8" s="1"/>
  <c r="I44" i="8"/>
  <c r="N41" i="8" s="1"/>
  <c r="L41" i="8"/>
  <c r="K41" i="8"/>
  <c r="J41" i="8"/>
  <c r="I41" i="8"/>
  <c r="Q40" i="8"/>
  <c r="P40" i="8"/>
  <c r="O40" i="8"/>
  <c r="N40" i="8"/>
  <c r="L40" i="8"/>
  <c r="K40" i="8"/>
  <c r="J40" i="8"/>
  <c r="I40" i="8"/>
  <c r="L30" i="8"/>
  <c r="K30" i="8"/>
  <c r="J30" i="8"/>
  <c r="I30" i="8"/>
  <c r="L29" i="8"/>
  <c r="Q26" i="8" s="1"/>
  <c r="K29" i="8"/>
  <c r="P26" i="8" s="1"/>
  <c r="J29" i="8"/>
  <c r="O26" i="8" s="1"/>
  <c r="I29" i="8"/>
  <c r="N26" i="8" s="1"/>
  <c r="L26" i="8"/>
  <c r="K26" i="8"/>
  <c r="J26" i="8"/>
  <c r="I26" i="8"/>
  <c r="L25" i="8"/>
  <c r="Q25" i="8" s="1"/>
  <c r="K25" i="8"/>
  <c r="P25" i="8" s="1"/>
  <c r="J25" i="8"/>
  <c r="O25" i="8" s="1"/>
  <c r="I25" i="8"/>
  <c r="N25" i="8" s="1"/>
  <c r="O8" i="8"/>
  <c r="P8" i="8"/>
  <c r="Q8" i="8"/>
  <c r="N8" i="8"/>
  <c r="Q7" i="8"/>
  <c r="L15" i="8"/>
  <c r="K15" i="8"/>
  <c r="J15" i="8"/>
  <c r="I15" i="8"/>
  <c r="L14" i="8"/>
  <c r="K14" i="8"/>
  <c r="J14" i="8"/>
  <c r="I14" i="8"/>
  <c r="L11" i="8"/>
  <c r="K11" i="8"/>
  <c r="J11" i="8"/>
  <c r="I11" i="8"/>
  <c r="L10" i="8"/>
  <c r="K10" i="8"/>
  <c r="P7" i="8" s="1"/>
  <c r="J10" i="8"/>
  <c r="O7" i="8" s="1"/>
  <c r="I10" i="8"/>
  <c r="N7" i="8" s="1"/>
  <c r="L7" i="8"/>
  <c r="K7" i="8"/>
  <c r="J7" i="8"/>
  <c r="I7" i="8"/>
  <c r="J6" i="8"/>
  <c r="O6" i="8" s="1"/>
  <c r="K6" i="8"/>
  <c r="P6" i="8" s="1"/>
  <c r="L6" i="8"/>
  <c r="Q6" i="8" s="1"/>
  <c r="I6" i="8"/>
  <c r="N6" i="8" s="1"/>
  <c r="I338" i="7"/>
  <c r="H338" i="7"/>
  <c r="K338" i="7" s="1"/>
  <c r="I337" i="7"/>
  <c r="H337" i="7"/>
  <c r="K337" i="7" s="1"/>
  <c r="I334" i="7"/>
  <c r="H334" i="7"/>
  <c r="K334" i="7" s="1"/>
  <c r="I333" i="7"/>
  <c r="H333" i="7"/>
  <c r="K333" i="7" s="1"/>
  <c r="I330" i="7"/>
  <c r="H330" i="7"/>
  <c r="K330" i="7" s="1"/>
  <c r="K329" i="7"/>
  <c r="I329" i="7"/>
  <c r="H329" i="7"/>
  <c r="I319" i="7"/>
  <c r="H319" i="7"/>
  <c r="K319" i="7" s="1"/>
  <c r="I318" i="7"/>
  <c r="H318" i="7"/>
  <c r="K318" i="7" s="1"/>
  <c r="I315" i="7"/>
  <c r="H315" i="7"/>
  <c r="K315" i="7" s="1"/>
  <c r="I314" i="7"/>
  <c r="H314" i="7"/>
  <c r="K314" i="7" s="1"/>
  <c r="I311" i="7"/>
  <c r="H311" i="7"/>
  <c r="K311" i="7" s="1"/>
  <c r="K310" i="7"/>
  <c r="I310" i="7"/>
  <c r="H310" i="7"/>
  <c r="I300" i="7"/>
  <c r="H300" i="7"/>
  <c r="K300" i="7" s="1"/>
  <c r="I299" i="7"/>
  <c r="H299" i="7"/>
  <c r="K299" i="7" s="1"/>
  <c r="I296" i="7"/>
  <c r="H296" i="7"/>
  <c r="K296" i="7" s="1"/>
  <c r="I295" i="7"/>
  <c r="H295" i="7"/>
  <c r="K295" i="7" s="1"/>
  <c r="I292" i="7"/>
  <c r="H292" i="7"/>
  <c r="K292" i="7" s="1"/>
  <c r="K291" i="7"/>
  <c r="I291" i="7"/>
  <c r="H291" i="7"/>
  <c r="I281" i="7"/>
  <c r="H281" i="7"/>
  <c r="K281" i="7" s="1"/>
  <c r="I280" i="7"/>
  <c r="H280" i="7"/>
  <c r="K280" i="7" s="1"/>
  <c r="I277" i="7"/>
  <c r="H277" i="7"/>
  <c r="K277" i="7" s="1"/>
  <c r="I276" i="7"/>
  <c r="H276" i="7"/>
  <c r="K276" i="7" s="1"/>
  <c r="I273" i="7"/>
  <c r="H273" i="7"/>
  <c r="K273" i="7" s="1"/>
  <c r="K272" i="7"/>
  <c r="I272" i="7"/>
  <c r="H272" i="7"/>
  <c r="I262" i="7"/>
  <c r="H262" i="7"/>
  <c r="K262" i="7" s="1"/>
  <c r="I261" i="7"/>
  <c r="H261" i="7"/>
  <c r="K261" i="7" s="1"/>
  <c r="I258" i="7"/>
  <c r="H258" i="7"/>
  <c r="K258" i="7" s="1"/>
  <c r="I257" i="7"/>
  <c r="H257" i="7"/>
  <c r="K257" i="7" s="1"/>
  <c r="I254" i="7"/>
  <c r="H254" i="7"/>
  <c r="K254" i="7" s="1"/>
  <c r="K253" i="7"/>
  <c r="I253" i="7"/>
  <c r="H253" i="7"/>
  <c r="I243" i="7"/>
  <c r="H243" i="7"/>
  <c r="K243" i="7" s="1"/>
  <c r="K242" i="7"/>
  <c r="I242" i="7"/>
  <c r="H242" i="7"/>
  <c r="I239" i="7"/>
  <c r="H239" i="7"/>
  <c r="K239" i="7" s="1"/>
  <c r="I238" i="7"/>
  <c r="H238" i="7"/>
  <c r="K238" i="7" s="1"/>
  <c r="I235" i="7"/>
  <c r="H235" i="7"/>
  <c r="K235" i="7" s="1"/>
  <c r="K234" i="7"/>
  <c r="I234" i="7"/>
  <c r="H234" i="7"/>
  <c r="I224" i="7"/>
  <c r="H224" i="7"/>
  <c r="K224" i="7" s="1"/>
  <c r="I223" i="7"/>
  <c r="H223" i="7"/>
  <c r="K223" i="7" s="1"/>
  <c r="I220" i="7"/>
  <c r="H220" i="7"/>
  <c r="K220" i="7" s="1"/>
  <c r="I219" i="7"/>
  <c r="H219" i="7"/>
  <c r="K219" i="7" s="1"/>
  <c r="I216" i="7"/>
  <c r="H216" i="7"/>
  <c r="K216" i="7" s="1"/>
  <c r="K215" i="7"/>
  <c r="I215" i="7"/>
  <c r="H215" i="7"/>
  <c r="I205" i="7"/>
  <c r="H205" i="7"/>
  <c r="K205" i="7" s="1"/>
  <c r="I204" i="7"/>
  <c r="H204" i="7"/>
  <c r="K204" i="7" s="1"/>
  <c r="I201" i="7"/>
  <c r="H201" i="7"/>
  <c r="K201" i="7" s="1"/>
  <c r="I200" i="7"/>
  <c r="H200" i="7"/>
  <c r="K200" i="7" s="1"/>
  <c r="I197" i="7"/>
  <c r="H197" i="7"/>
  <c r="K197" i="7" s="1"/>
  <c r="K196" i="7"/>
  <c r="I196" i="7"/>
  <c r="H196" i="7"/>
  <c r="I187" i="7"/>
  <c r="H187" i="7"/>
  <c r="K187" i="7" s="1"/>
  <c r="I186" i="7"/>
  <c r="H186" i="7"/>
  <c r="K186" i="7" s="1"/>
  <c r="I185" i="7"/>
  <c r="H185" i="7"/>
  <c r="K185" i="7" s="1"/>
  <c r="I183" i="7"/>
  <c r="H183" i="7"/>
  <c r="K183" i="7" s="1"/>
  <c r="I182" i="7"/>
  <c r="H182" i="7"/>
  <c r="K182" i="7" s="1"/>
  <c r="K181" i="7"/>
  <c r="I181" i="7"/>
  <c r="H181" i="7"/>
  <c r="I179" i="7"/>
  <c r="H179" i="7"/>
  <c r="K179" i="7" s="1"/>
  <c r="I178" i="7"/>
  <c r="H178" i="7"/>
  <c r="K178" i="7" s="1"/>
  <c r="I177" i="7"/>
  <c r="H177" i="7"/>
  <c r="K177" i="7" s="1"/>
  <c r="I168" i="7"/>
  <c r="H168" i="7"/>
  <c r="K168" i="7" s="1"/>
  <c r="I167" i="7"/>
  <c r="H167" i="7"/>
  <c r="K167" i="7" s="1"/>
  <c r="I166" i="7"/>
  <c r="H166" i="7"/>
  <c r="K166" i="7" s="1"/>
  <c r="I164" i="7"/>
  <c r="H164" i="7"/>
  <c r="K164" i="7" s="1"/>
  <c r="I163" i="7"/>
  <c r="H163" i="7"/>
  <c r="K163" i="7" s="1"/>
  <c r="K162" i="7"/>
  <c r="I162" i="7"/>
  <c r="H162" i="7"/>
  <c r="I160" i="7"/>
  <c r="H160" i="7"/>
  <c r="K160" i="7" s="1"/>
  <c r="I159" i="7"/>
  <c r="H159" i="7"/>
  <c r="K159" i="7" s="1"/>
  <c r="I158" i="7"/>
  <c r="H158" i="7"/>
  <c r="K158" i="7" s="1"/>
  <c r="I149" i="7"/>
  <c r="H149" i="7"/>
  <c r="K149" i="7" s="1"/>
  <c r="I148" i="7"/>
  <c r="H148" i="7"/>
  <c r="K148" i="7" s="1"/>
  <c r="I147" i="7"/>
  <c r="H147" i="7"/>
  <c r="K147" i="7" s="1"/>
  <c r="I145" i="7"/>
  <c r="H145" i="7"/>
  <c r="K145" i="7" s="1"/>
  <c r="I144" i="7"/>
  <c r="H144" i="7"/>
  <c r="K144" i="7" s="1"/>
  <c r="K143" i="7"/>
  <c r="I143" i="7"/>
  <c r="H143" i="7"/>
  <c r="I141" i="7"/>
  <c r="H141" i="7"/>
  <c r="K141" i="7" s="1"/>
  <c r="I140" i="7"/>
  <c r="H140" i="7"/>
  <c r="K140" i="7" s="1"/>
  <c r="I139" i="7"/>
  <c r="H139" i="7"/>
  <c r="K139" i="7" s="1"/>
  <c r="I129" i="7"/>
  <c r="H129" i="7"/>
  <c r="K129" i="7" s="1"/>
  <c r="I128" i="7"/>
  <c r="H128" i="7"/>
  <c r="K128" i="7" s="1"/>
  <c r="I125" i="7"/>
  <c r="H125" i="7"/>
  <c r="K125" i="7" s="1"/>
  <c r="I124" i="7"/>
  <c r="H124" i="7"/>
  <c r="K124" i="7" s="1"/>
  <c r="I121" i="7"/>
  <c r="H121" i="7"/>
  <c r="K121" i="7" s="1"/>
  <c r="K120" i="7"/>
  <c r="I120" i="7"/>
  <c r="H120" i="7"/>
  <c r="I112" i="7"/>
  <c r="H112" i="7"/>
  <c r="K112" i="7" s="1"/>
  <c r="I111" i="7"/>
  <c r="H111" i="7"/>
  <c r="K111" i="7" s="1"/>
  <c r="I110" i="7"/>
  <c r="H110" i="7"/>
  <c r="K110" i="7" s="1"/>
  <c r="I109" i="7"/>
  <c r="H109" i="7"/>
  <c r="K109" i="7" s="1"/>
  <c r="I108" i="7"/>
  <c r="H108" i="7"/>
  <c r="K108" i="7" s="1"/>
  <c r="K107" i="7"/>
  <c r="I107" i="7"/>
  <c r="H107" i="7"/>
  <c r="I106" i="7"/>
  <c r="H106" i="7"/>
  <c r="K106" i="7" s="1"/>
  <c r="I105" i="7"/>
  <c r="H105" i="7"/>
  <c r="K105" i="7" s="1"/>
  <c r="I104" i="7"/>
  <c r="H104" i="7"/>
  <c r="K104" i="7" s="1"/>
  <c r="I103" i="7"/>
  <c r="H103" i="7"/>
  <c r="K103" i="7" s="1"/>
  <c r="I102" i="7"/>
  <c r="K102" i="7" s="1"/>
  <c r="H102" i="7"/>
  <c r="I101" i="7"/>
  <c r="H101" i="7"/>
  <c r="K101" i="7" s="1"/>
  <c r="I93" i="7"/>
  <c r="H93" i="7"/>
  <c r="K93" i="7" s="1"/>
  <c r="I92" i="7"/>
  <c r="H92" i="7"/>
  <c r="K92" i="7" s="1"/>
  <c r="I91" i="7"/>
  <c r="H91" i="7"/>
  <c r="K91" i="7" s="1"/>
  <c r="I90" i="7"/>
  <c r="H90" i="7"/>
  <c r="K90" i="7" s="1"/>
  <c r="K89" i="7"/>
  <c r="I89" i="7"/>
  <c r="H89" i="7"/>
  <c r="I88" i="7"/>
  <c r="H88" i="7"/>
  <c r="K88" i="7" s="1"/>
  <c r="I87" i="7"/>
  <c r="H87" i="7"/>
  <c r="K87" i="7" s="1"/>
  <c r="I86" i="7"/>
  <c r="H86" i="7"/>
  <c r="K86" i="7" s="1"/>
  <c r="I85" i="7"/>
  <c r="H85" i="7"/>
  <c r="K85" i="7" s="1"/>
  <c r="I84" i="7"/>
  <c r="H84" i="7"/>
  <c r="K84" i="7" s="1"/>
  <c r="I83" i="7"/>
  <c r="H83" i="7"/>
  <c r="K83" i="7" s="1"/>
  <c r="I82" i="7"/>
  <c r="H82" i="7"/>
  <c r="K82" i="7" s="1"/>
  <c r="I74" i="7"/>
  <c r="H74" i="7"/>
  <c r="K74" i="7" s="1"/>
  <c r="I73" i="7"/>
  <c r="H73" i="7"/>
  <c r="K73" i="7" s="1"/>
  <c r="I72" i="7"/>
  <c r="H72" i="7"/>
  <c r="K72" i="7" s="1"/>
  <c r="I71" i="7"/>
  <c r="H71" i="7"/>
  <c r="K71" i="7" s="1"/>
  <c r="I70" i="7"/>
  <c r="H70" i="7"/>
  <c r="K70" i="7" s="1"/>
  <c r="I69" i="7"/>
  <c r="H69" i="7"/>
  <c r="K69" i="7" s="1"/>
  <c r="I68" i="7"/>
  <c r="H68" i="7"/>
  <c r="K68" i="7" s="1"/>
  <c r="I67" i="7"/>
  <c r="H67" i="7"/>
  <c r="K67" i="7" s="1"/>
  <c r="K65" i="7"/>
  <c r="K66" i="7"/>
  <c r="I66" i="7"/>
  <c r="I65" i="7"/>
  <c r="H66" i="7"/>
  <c r="H65" i="7"/>
  <c r="I64" i="7"/>
  <c r="H64" i="7"/>
  <c r="K64" i="7" s="1"/>
  <c r="I63" i="7"/>
  <c r="H63" i="7"/>
  <c r="K63" i="7" s="1"/>
  <c r="I53" i="7"/>
  <c r="H53" i="7"/>
  <c r="K53" i="7" s="1"/>
  <c r="I52" i="7"/>
  <c r="H52" i="7"/>
  <c r="K52" i="7" s="1"/>
  <c r="I49" i="7"/>
  <c r="H49" i="7"/>
  <c r="K49" i="7" s="1"/>
  <c r="I48" i="7"/>
  <c r="H48" i="7"/>
  <c r="K48" i="7" s="1"/>
  <c r="I45" i="7"/>
  <c r="H45" i="7"/>
  <c r="K45" i="7" s="1"/>
  <c r="K44" i="7"/>
  <c r="I44" i="7"/>
  <c r="H44" i="7"/>
  <c r="K34" i="7"/>
  <c r="I34" i="7"/>
  <c r="H34" i="7"/>
  <c r="I33" i="7"/>
  <c r="H33" i="7"/>
  <c r="K33" i="7" s="1"/>
  <c r="I30" i="7"/>
  <c r="H30" i="7"/>
  <c r="K30" i="7" s="1"/>
  <c r="I29" i="7"/>
  <c r="H29" i="7"/>
  <c r="K29" i="7" s="1"/>
  <c r="I26" i="7"/>
  <c r="H26" i="7"/>
  <c r="K26" i="7" s="1"/>
  <c r="I25" i="7"/>
  <c r="H25" i="7"/>
  <c r="K25" i="7" s="1"/>
  <c r="I16" i="7"/>
  <c r="H16" i="7"/>
  <c r="K16" i="7" s="1"/>
  <c r="I15" i="7"/>
  <c r="H15" i="7"/>
  <c r="K15" i="7" s="1"/>
  <c r="I14" i="7"/>
  <c r="H14" i="7"/>
  <c r="K14" i="7" s="1"/>
  <c r="K12" i="7"/>
  <c r="K11" i="7"/>
  <c r="K10" i="7"/>
  <c r="I12" i="7"/>
  <c r="H12" i="7"/>
  <c r="I11" i="7"/>
  <c r="H11" i="7"/>
  <c r="I10" i="7"/>
  <c r="H10" i="7"/>
  <c r="K7" i="7"/>
  <c r="K8" i="7"/>
  <c r="I8" i="7"/>
  <c r="I7" i="7"/>
  <c r="I6" i="7"/>
  <c r="H8" i="7"/>
  <c r="H7" i="7"/>
  <c r="H6" i="7"/>
  <c r="I101" i="6"/>
  <c r="G101" i="6"/>
  <c r="I100" i="6"/>
  <c r="G100" i="6"/>
  <c r="I96" i="6"/>
  <c r="G96" i="6"/>
  <c r="I95" i="6"/>
  <c r="G95" i="6"/>
  <c r="I91" i="6"/>
  <c r="G91" i="6"/>
  <c r="I90" i="6"/>
  <c r="G90" i="6"/>
  <c r="I86" i="6"/>
  <c r="G86" i="6"/>
  <c r="I85" i="6"/>
  <c r="G85" i="6"/>
  <c r="I81" i="6"/>
  <c r="G81" i="6"/>
  <c r="I80" i="6"/>
  <c r="G80" i="6"/>
  <c r="I76" i="6"/>
  <c r="G76" i="6"/>
  <c r="I75" i="6"/>
  <c r="G75" i="6"/>
  <c r="I71" i="6"/>
  <c r="G71" i="6"/>
  <c r="I70" i="6"/>
  <c r="G70" i="6"/>
  <c r="I66" i="6"/>
  <c r="G66" i="6"/>
  <c r="I65" i="6"/>
  <c r="G65" i="6"/>
  <c r="I61" i="6"/>
  <c r="G61" i="6"/>
  <c r="I60" i="6"/>
  <c r="G60" i="6"/>
  <c r="I59" i="6"/>
  <c r="G59" i="6"/>
  <c r="I55" i="6"/>
  <c r="G55" i="6"/>
  <c r="I54" i="6"/>
  <c r="G54" i="6"/>
  <c r="I53" i="6"/>
  <c r="G53" i="6"/>
  <c r="I49" i="6"/>
  <c r="G49" i="6"/>
  <c r="I48" i="6"/>
  <c r="G48" i="6"/>
  <c r="I47" i="6"/>
  <c r="G47" i="6"/>
  <c r="I43" i="6"/>
  <c r="G43" i="6"/>
  <c r="I42" i="6"/>
  <c r="G42" i="6"/>
  <c r="I38" i="6"/>
  <c r="G38" i="6"/>
  <c r="I37" i="6"/>
  <c r="G37" i="6"/>
  <c r="I36" i="6"/>
  <c r="G36" i="6"/>
  <c r="I35" i="6"/>
  <c r="G35" i="6"/>
  <c r="I31" i="6"/>
  <c r="G31" i="6"/>
  <c r="I30" i="6"/>
  <c r="G30" i="6"/>
  <c r="I29" i="6"/>
  <c r="G29" i="6"/>
  <c r="I28" i="6"/>
  <c r="G28" i="6"/>
  <c r="I24" i="6"/>
  <c r="G24" i="6"/>
  <c r="I23" i="6"/>
  <c r="G23" i="6"/>
  <c r="I22" i="6"/>
  <c r="G22" i="6"/>
  <c r="I21" i="6"/>
  <c r="G21" i="6"/>
  <c r="I17" i="6"/>
  <c r="G17" i="6"/>
  <c r="I16" i="6"/>
  <c r="G16" i="6"/>
  <c r="I12" i="6"/>
  <c r="G12" i="6"/>
  <c r="I11" i="6"/>
  <c r="G11" i="6"/>
  <c r="I7" i="6"/>
  <c r="G7" i="6"/>
  <c r="I6" i="6"/>
  <c r="G6" i="6"/>
  <c r="I5" i="6"/>
  <c r="G5" i="6"/>
  <c r="P256" i="10" l="1"/>
  <c r="Q256" i="10"/>
  <c r="O197" i="10"/>
  <c r="Q57" i="10"/>
  <c r="Q78" i="10"/>
  <c r="N102" i="10"/>
  <c r="P197" i="10"/>
  <c r="O227" i="10"/>
  <c r="Q6" i="10"/>
  <c r="Q26" i="10"/>
  <c r="N58" i="10"/>
  <c r="P101" i="10"/>
  <c r="N160" i="10"/>
  <c r="Q197" i="10"/>
  <c r="P227" i="10"/>
  <c r="O257" i="10"/>
  <c r="Q55" i="10"/>
  <c r="Q124" i="10"/>
  <c r="Q286" i="10"/>
  <c r="N6" i="10"/>
  <c r="N55" i="10"/>
  <c r="O55" i="10"/>
  <c r="P58" i="10"/>
  <c r="O211" i="10"/>
  <c r="N241" i="10"/>
  <c r="P287" i="10"/>
  <c r="Q226" i="10"/>
  <c r="O286" i="10"/>
  <c r="P286" i="10"/>
  <c r="Q103" i="10"/>
  <c r="Q177" i="10"/>
  <c r="Q40" i="10"/>
  <c r="O6" i="10"/>
  <c r="O58" i="10"/>
  <c r="N211" i="10"/>
  <c r="P257" i="10"/>
  <c r="O287" i="10"/>
  <c r="O7" i="10"/>
  <c r="P55" i="10"/>
  <c r="Q58" i="10"/>
  <c r="N124" i="10"/>
  <c r="P211" i="10"/>
  <c r="O241" i="10"/>
  <c r="N271" i="10"/>
  <c r="O6" i="9"/>
  <c r="Q56" i="9"/>
  <c r="Q80" i="9"/>
  <c r="Q101" i="9"/>
  <c r="Q139" i="9"/>
  <c r="Q140" i="9"/>
  <c r="Q242" i="9"/>
  <c r="P6" i="9"/>
  <c r="Q6" i="9"/>
  <c r="N287" i="8"/>
  <c r="Q241" i="8"/>
  <c r="Q242" i="8"/>
  <c r="N57" i="8"/>
  <c r="N273" i="8"/>
  <c r="N286" i="8"/>
  <c r="O57" i="8"/>
  <c r="O273" i="8"/>
  <c r="O286" i="8"/>
  <c r="O287" i="8"/>
  <c r="P286" i="8"/>
  <c r="P287" i="8"/>
  <c r="Q57" i="8"/>
  <c r="N257" i="8"/>
  <c r="Q273" i="8"/>
  <c r="Q286" i="8"/>
  <c r="Q287" i="8"/>
</calcChain>
</file>

<file path=xl/sharedStrings.xml><?xml version="1.0" encoding="utf-8"?>
<sst xmlns="http://schemas.openxmlformats.org/spreadsheetml/2006/main" count="1274" uniqueCount="159">
  <si>
    <t>FREQ 프로시저</t>
  </si>
  <si>
    <t>age_g</t>
  </si>
  <si>
    <t>빈도</t>
  </si>
  <si>
    <t>백분율</t>
  </si>
  <si>
    <t>sex</t>
  </si>
  <si>
    <t>town_t</t>
  </si>
  <si>
    <t>educ_g</t>
  </si>
  <si>
    <t>ho_incm</t>
  </si>
  <si>
    <t>bmi_g</t>
  </si>
  <si>
    <t>marri_g</t>
  </si>
  <si>
    <t>health_g</t>
  </si>
  <si>
    <t>stress_g</t>
  </si>
  <si>
    <t>drinking_g</t>
  </si>
  <si>
    <t>smoking_g</t>
  </si>
  <si>
    <t>hypertension_g</t>
  </si>
  <si>
    <t>dyslipidemia_g</t>
  </si>
  <si>
    <t>stroke_g</t>
  </si>
  <si>
    <t>mi_g</t>
  </si>
  <si>
    <t>angina_g</t>
  </si>
  <si>
    <t>행 백분율</t>
  </si>
  <si>
    <t>칼럼 백분율</t>
  </si>
  <si>
    <t>frs_g</t>
  </si>
  <si>
    <t>합계</t>
  </si>
  <si>
    <t>tyg_g</t>
  </si>
  <si>
    <t>tyg_bmi_g</t>
  </si>
  <si>
    <r>
      <t xml:space="preserve">FREQ </t>
    </r>
    <r>
      <rPr>
        <sz val="12"/>
        <color theme="1"/>
        <rFont val="맑은 고딕"/>
        <family val="2"/>
        <charset val="129"/>
      </rPr>
      <t>프로시저</t>
    </r>
  </si>
  <si>
    <r>
      <rPr>
        <b/>
        <sz val="12"/>
        <color theme="1"/>
        <rFont val="맑은 고딕"/>
        <family val="3"/>
        <charset val="129"/>
      </rPr>
      <t>누적</t>
    </r>
  </si>
  <si>
    <t>drug_g</t>
  </si>
  <si>
    <t>diabetes_g</t>
  </si>
  <si>
    <t>테이블 age_g * tyg_g</t>
  </si>
  <si>
    <t>테이블 sex * tyg_g</t>
  </si>
  <si>
    <t>테이블 town_t * tyg_g</t>
  </si>
  <si>
    <t>테이블 educ_g * tyg_g</t>
  </si>
  <si>
    <t>테이블 ho_incm * tyg_g</t>
  </si>
  <si>
    <t>테이블 bmi_g * tyg_g</t>
  </si>
  <si>
    <t>테이블 marri_g * tyg_g</t>
  </si>
  <si>
    <t>테이블 health_g * tyg_g</t>
  </si>
  <si>
    <t>테이블 stress_g * tyg_g</t>
  </si>
  <si>
    <t>테이블 drinking_g * tyg_g</t>
  </si>
  <si>
    <t>테이블 smoking_g * tyg_g</t>
  </si>
  <si>
    <t>테이블 drug_g * tyg_g</t>
  </si>
  <si>
    <t>테이블 diabetes_g * tyg_g</t>
  </si>
  <si>
    <t>테이블 hypertension_g * tyg_g</t>
  </si>
  <si>
    <t>테이블 dyslipidemia_g * tyg_g</t>
  </si>
  <si>
    <t>테이블 stroke_g * tyg_g</t>
  </si>
  <si>
    <t>테이블 mi_g * tyg_g</t>
  </si>
  <si>
    <t>테이블 angina_g * tyg_g</t>
  </si>
  <si>
    <r>
      <rPr>
        <b/>
        <sz val="12"/>
        <color theme="1"/>
        <rFont val="맑은 고딕"/>
        <family val="3"/>
        <charset val="129"/>
      </rPr>
      <t>빈도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</si>
  <si>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age_g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</si>
  <si>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age_g * frs_g</t>
    </r>
  </si>
  <si>
    <r>
      <rPr>
        <b/>
        <sz val="12"/>
        <color theme="1"/>
        <rFont val="맑은 고딕"/>
        <family val="3"/>
        <charset val="129"/>
      </rPr>
      <t>백분율</t>
    </r>
  </si>
  <si>
    <r>
      <rPr>
        <b/>
        <sz val="12"/>
        <color theme="1"/>
        <rFont val="맑은 고딕"/>
        <family val="3"/>
        <charset val="129"/>
      </rPr>
      <t>행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맑은 고딕"/>
        <family val="3"/>
        <charset val="129"/>
      </rPr>
      <t>백분율</t>
    </r>
  </si>
  <si>
    <r>
      <rPr>
        <b/>
        <sz val="12"/>
        <color theme="1"/>
        <rFont val="맑은 고딕"/>
        <family val="3"/>
        <charset val="129"/>
      </rPr>
      <t>합계</t>
    </r>
  </si>
  <si>
    <r>
      <rPr>
        <b/>
        <sz val="12"/>
        <color theme="1"/>
        <rFont val="맑은 고딕"/>
        <family val="3"/>
        <charset val="129"/>
      </rPr>
      <t>칼럼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맑은 고딕"/>
        <family val="3"/>
        <charset val="129"/>
      </rPr>
      <t>백분율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</si>
  <si>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sex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</si>
  <si>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sex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</si>
  <si>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town_t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</si>
  <si>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town_t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</si>
  <si>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educ_g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</si>
  <si>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educ_g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</si>
  <si>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ho_incm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</si>
  <si>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ho_incm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</si>
  <si>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bmi_g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</si>
  <si>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bmi_g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</si>
  <si>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marri_g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</si>
  <si>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marri_g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</si>
  <si>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health_g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</si>
  <si>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health_g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</si>
  <si>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stress_g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</si>
  <si>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stress_g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</si>
  <si>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drinking_g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</si>
  <si>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drinking_g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</si>
  <si>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smoking_g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</si>
  <si>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smoking_g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</si>
  <si>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drug_g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</si>
  <si>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drug_g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</si>
  <si>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diabetes_g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</si>
  <si>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diabetes_g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</si>
  <si>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hypertension_g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</si>
  <si>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hypertension_g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</si>
  <si>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dyslipidemia_g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</si>
  <si>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stroke_g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</si>
  <si>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dyslipidemia_g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</si>
  <si>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mi_g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</si>
  <si>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stroke_g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</si>
  <si>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angina_g * frs_g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</si>
  <si>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mi_g</t>
    </r>
  </si>
  <si>
    <r>
      <rPr>
        <b/>
        <sz val="12"/>
        <color theme="1"/>
        <rFont val="맑은 고딕"/>
        <family val="3"/>
        <charset val="129"/>
      </rPr>
      <t>테이블</t>
    </r>
    <r>
      <rPr>
        <b/>
        <sz val="12"/>
        <color theme="1"/>
        <rFont val="Times New Roman"/>
        <family val="1"/>
      </rPr>
      <t> frs_g * angina_g</t>
    </r>
  </si>
  <si>
    <t xml:space="preserve"> </t>
    <phoneticPr fontId="1" type="noConversion"/>
  </si>
  <si>
    <t>테이블 age_g * tyg_bmi_g</t>
  </si>
  <si>
    <t>테이블 sex * tyg_bmi_g</t>
  </si>
  <si>
    <t>테이블 town_t * tyg_bmi_g</t>
  </si>
  <si>
    <t>테이블 educ_g * tyg_bmi_g</t>
  </si>
  <si>
    <t>테이블 ho_incm * tyg_bmi_g</t>
  </si>
  <si>
    <t>테이블 bmi_g * tyg_bmi_g</t>
  </si>
  <si>
    <t>테이블 marri_g * tyg_bmi_g</t>
  </si>
  <si>
    <t>테이블 health_g * tyg_bmi_g</t>
  </si>
  <si>
    <t>테이블 stress_g * tyg_bmi_g</t>
  </si>
  <si>
    <t>테이블 drinking_g * tyg_bmi_g</t>
  </si>
  <si>
    <t>테이블 smoking_g * tyg_bmi_g</t>
  </si>
  <si>
    <t>테이블 drug_g * tyg_bmi_g</t>
  </si>
  <si>
    <t>테이블 diabetes_g * tyg_bmi_g</t>
  </si>
  <si>
    <t>테이블 hypertension_g * tyg_bmi_g</t>
  </si>
  <si>
    <t>테이블 dyslipidemia_g * tyg_bmi_g</t>
  </si>
  <si>
    <t>테이블 stroke_g * tyg_bmi_g</t>
  </si>
  <si>
    <t>테이블 mi_g * tyg_bmi_g</t>
  </si>
  <si>
    <t>테이블 angina_g * tyg_bmi_g</t>
  </si>
  <si>
    <t>테이블 age_g * tyg_absi_g</t>
  </si>
  <si>
    <t>tyg_absi_g</t>
  </si>
  <si>
    <t>테이블 sex * tyg_absi_g</t>
  </si>
  <si>
    <t>테이블 town_t * tyg_absi_g</t>
  </si>
  <si>
    <t>테이블 educ_g * tyg_absi_g</t>
  </si>
  <si>
    <t>테이블 ho_incm * tyg_absi_g</t>
  </si>
  <si>
    <t>테이블 bmi_g * tyg_absi_g</t>
  </si>
  <si>
    <t>테이블 marri_g * tyg_absi_g</t>
  </si>
  <si>
    <t>테이블 health_g * tyg_absi_g</t>
  </si>
  <si>
    <t>테이블 stress_g * tyg_absi_g</t>
  </si>
  <si>
    <t>테이블 drinking_g * tyg_absi_g</t>
  </si>
  <si>
    <t>테이블 smoking_g * tyg_absi_g</t>
  </si>
  <si>
    <t>테이블 drug_g * tyg_absi_g</t>
  </si>
  <si>
    <t>테이블 diabetes_g * tyg_absi_g</t>
  </si>
  <si>
    <t>테이블 hypertension_g * tyg_absi_g</t>
  </si>
  <si>
    <t>테이블 dyslipidemia_g * tyg_absi_g</t>
  </si>
  <si>
    <t>테이블 stroke_g * tyg_absi_g</t>
  </si>
  <si>
    <t>테이블 mi_g * tyg_absi_g</t>
  </si>
  <si>
    <t>테이블 angina_g * tyg_absi_g</t>
  </si>
  <si>
    <t>MEANS 프로시저</t>
  </si>
  <si>
    <t>변수</t>
  </si>
  <si>
    <t>N</t>
  </si>
  <si>
    <t>평균</t>
  </si>
  <si>
    <t>표준편차</t>
  </si>
  <si>
    <t>최솟값</t>
  </si>
  <si>
    <t>최댓값</t>
  </si>
  <si>
    <t>age</t>
  </si>
  <si>
    <t>HE_wc</t>
  </si>
  <si>
    <t>HE_BMI</t>
  </si>
  <si>
    <t>HE_sbp</t>
  </si>
  <si>
    <t>HE_glu</t>
  </si>
  <si>
    <t>HE_TG</t>
  </si>
  <si>
    <t>HE_HDL_st2</t>
  </si>
  <si>
    <t>HE_chol</t>
  </si>
  <si>
    <t>HE_ast</t>
  </si>
  <si>
    <t>HE_alt</t>
  </si>
  <si>
    <t>HE_HB</t>
  </si>
  <si>
    <t>HE_BUN</t>
  </si>
  <si>
    <t>HE_crea</t>
  </si>
  <si>
    <t>tyg</t>
  </si>
  <si>
    <t>tyg_bmi</t>
  </si>
  <si>
    <t>absi</t>
  </si>
  <si>
    <t>tyg_absi</t>
  </si>
  <si>
    <t>frs</t>
  </si>
  <si>
    <t>관측값 수</t>
  </si>
  <si>
    <r>
      <t xml:space="preserve">MEANS </t>
    </r>
    <r>
      <rPr>
        <sz val="12"/>
        <color theme="1"/>
        <rFont val="맑은 고딕"/>
        <family val="2"/>
        <charset val="129"/>
      </rPr>
      <t>프로시저</t>
    </r>
  </si>
  <si>
    <r>
      <rPr>
        <b/>
        <sz val="12"/>
        <color theme="1"/>
        <rFont val="맑은 고딕"/>
        <family val="3"/>
        <charset val="129"/>
      </rPr>
      <t>변수</t>
    </r>
  </si>
  <si>
    <r>
      <rPr>
        <b/>
        <sz val="12"/>
        <color theme="1"/>
        <rFont val="맑은 고딕"/>
        <family val="3"/>
        <charset val="129"/>
      </rPr>
      <t>평균</t>
    </r>
  </si>
  <si>
    <r>
      <rPr>
        <b/>
        <sz val="12"/>
        <color theme="1"/>
        <rFont val="맑은 고딕"/>
        <family val="3"/>
        <charset val="129"/>
      </rPr>
      <t>표준편차</t>
    </r>
  </si>
  <si>
    <r>
      <rPr>
        <b/>
        <sz val="12"/>
        <color theme="1"/>
        <rFont val="맑은 고딕"/>
        <family val="3"/>
        <charset val="129"/>
      </rPr>
      <t>최솟값</t>
    </r>
  </si>
  <si>
    <r>
      <rPr>
        <b/>
        <sz val="12"/>
        <color theme="1"/>
        <rFont val="맑은 고딕"/>
        <family val="3"/>
        <charset val="129"/>
      </rPr>
      <t>최댓값</t>
    </r>
  </si>
  <si>
    <r>
      <rPr>
        <b/>
        <sz val="12"/>
        <color theme="1"/>
        <rFont val="맑은 고딕"/>
        <family val="3"/>
        <charset val="129"/>
      </rPr>
      <t>관측값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맑은 고딕"/>
        <family val="3"/>
        <charset val="129"/>
      </rPr>
      <t>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</si>
</sst>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Times New Roman"/>
      <family val="1"/>
    </font>
    <font>
      <sz val="12"/>
      <color theme="1"/>
      <name val="맑은 고딕"/>
      <family val="2"/>
      <charset val="129"/>
    </font>
    <font>
      <b/>
      <sz val="12"/>
      <color theme="1"/>
      <name val="Times New Roman"/>
      <family val="1"/>
    </font>
    <font>
      <b/>
      <sz val="12"/>
      <color theme="1"/>
      <name val="맑은 고딕"/>
      <family val="3"/>
      <charset val="129"/>
    </font>
    <font>
      <sz val="11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/>
      <right style="medium">
        <color rgb="FFC1C1C1"/>
      </right>
      <top/>
      <bottom/>
      <diagonal/>
    </border>
    <border>
      <left style="medium">
        <color rgb="FFC1C1C1"/>
      </left>
      <right style="medium">
        <color rgb="FFC1C1C1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7" fillId="0" borderId="0" xfId="0" applyFont="1">
      <alignment vertical="center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239C-D964-4D6D-8B71-1F8FA93AD0AA}">
  <sheetPr filterMode="1"/>
  <dimension ref="A1:I101"/>
  <sheetViews>
    <sheetView workbookViewId="0">
      <selection activeCell="E12" sqref="E12"/>
    </sheetView>
  </sheetViews>
  <sheetFormatPr defaultRowHeight="15.75" x14ac:dyDescent="0.3"/>
  <cols>
    <col min="1" max="16384" width="9" style="8"/>
  </cols>
  <sheetData>
    <row r="1" spans="1:9" ht="18" thickBot="1" x14ac:dyDescent="0.35">
      <c r="A1" s="7" t="s">
        <v>25</v>
      </c>
    </row>
    <row r="2" spans="1:9" customFormat="1" ht="17.25" hidden="1" thickBot="1" x14ac:dyDescent="0.35"/>
    <row r="3" spans="1:9" ht="17.25" x14ac:dyDescent="0.3">
      <c r="A3" s="17" t="s">
        <v>1</v>
      </c>
      <c r="B3" s="19" t="s">
        <v>2</v>
      </c>
      <c r="C3" s="19" t="s">
        <v>3</v>
      </c>
      <c r="D3" s="9" t="s">
        <v>26</v>
      </c>
      <c r="E3" s="9" t="s">
        <v>26</v>
      </c>
    </row>
    <row r="4" spans="1:9" customFormat="1" ht="16.5" hidden="1" x14ac:dyDescent="0.3">
      <c r="A4" s="18"/>
      <c r="B4" s="20"/>
      <c r="C4" s="20"/>
      <c r="D4" s="3" t="s">
        <v>2</v>
      </c>
      <c r="E4" s="3" t="s">
        <v>3</v>
      </c>
    </row>
    <row r="5" spans="1:9" x14ac:dyDescent="0.3">
      <c r="A5" s="10">
        <v>1</v>
      </c>
      <c r="B5" s="11">
        <v>20701</v>
      </c>
      <c r="C5" s="11">
        <v>35.270000000000003</v>
      </c>
      <c r="D5" s="11">
        <v>20701</v>
      </c>
      <c r="E5" s="11">
        <v>35.270000000000003</v>
      </c>
      <c r="G5" s="8">
        <f>B5</f>
        <v>20701</v>
      </c>
      <c r="I5" s="8" t="str">
        <f>TEXT(B5,"#,##0")&amp;" ("&amp;TEXT(C5,"0.00")&amp;")"</f>
        <v>20,701 (35.27)</v>
      </c>
    </row>
    <row r="6" spans="1:9" x14ac:dyDescent="0.3">
      <c r="A6" s="10">
        <v>2</v>
      </c>
      <c r="B6" s="11">
        <v>21201</v>
      </c>
      <c r="C6" s="11">
        <v>36.130000000000003</v>
      </c>
      <c r="D6" s="11">
        <v>41902</v>
      </c>
      <c r="E6" s="11">
        <v>71.400000000000006</v>
      </c>
      <c r="G6" s="8">
        <f t="shared" ref="G6:G7" si="0">B6</f>
        <v>21201</v>
      </c>
      <c r="I6" s="8" t="str">
        <f t="shared" ref="I6:I7" si="1">TEXT(B6,"#,##0")&amp;" ("&amp;TEXT(C6,"0.00")&amp;")"</f>
        <v>21,201 (36.13)</v>
      </c>
    </row>
    <row r="7" spans="1:9" ht="16.5" thickBot="1" x14ac:dyDescent="0.35">
      <c r="A7" s="10">
        <v>3</v>
      </c>
      <c r="B7" s="11">
        <v>16784</v>
      </c>
      <c r="C7" s="11">
        <v>28.6</v>
      </c>
      <c r="D7" s="11">
        <v>58686</v>
      </c>
      <c r="E7" s="11">
        <v>100</v>
      </c>
      <c r="G7" s="8">
        <f t="shared" si="0"/>
        <v>16784</v>
      </c>
      <c r="I7" s="8" t="str">
        <f t="shared" si="1"/>
        <v>16,784 (28.60)</v>
      </c>
    </row>
    <row r="8" spans="1:9" customFormat="1" ht="17.25" hidden="1" thickBot="1" x14ac:dyDescent="0.35"/>
    <row r="9" spans="1:9" ht="17.25" x14ac:dyDescent="0.3">
      <c r="A9" s="17" t="s">
        <v>4</v>
      </c>
      <c r="B9" s="19" t="s">
        <v>2</v>
      </c>
      <c r="C9" s="19" t="s">
        <v>3</v>
      </c>
      <c r="D9" s="9" t="s">
        <v>26</v>
      </c>
      <c r="E9" s="9" t="s">
        <v>26</v>
      </c>
    </row>
    <row r="10" spans="1:9" customFormat="1" ht="16.5" hidden="1" x14ac:dyDescent="0.3">
      <c r="A10" s="18"/>
      <c r="B10" s="20"/>
      <c r="C10" s="20"/>
      <c r="D10" s="3" t="s">
        <v>2</v>
      </c>
      <c r="E10" s="3" t="s">
        <v>3</v>
      </c>
    </row>
    <row r="11" spans="1:9" x14ac:dyDescent="0.3">
      <c r="A11" s="10">
        <v>1</v>
      </c>
      <c r="B11" s="11">
        <v>27396</v>
      </c>
      <c r="C11" s="11">
        <v>46.68</v>
      </c>
      <c r="D11" s="11">
        <v>27396</v>
      </c>
      <c r="E11" s="11">
        <v>46.68</v>
      </c>
      <c r="G11" s="8">
        <f t="shared" ref="G11:G12" si="2">B11</f>
        <v>27396</v>
      </c>
      <c r="I11" s="8" t="str">
        <f t="shared" ref="I11:I12" si="3">TEXT(B11,"#,##0")&amp;" ("&amp;TEXT(C11,"0.00")&amp;")"</f>
        <v>27,396 (46.68)</v>
      </c>
    </row>
    <row r="12" spans="1:9" ht="16.5" thickBot="1" x14ac:dyDescent="0.35">
      <c r="A12" s="10">
        <v>2</v>
      </c>
      <c r="B12" s="11">
        <v>31290</v>
      </c>
      <c r="C12" s="11">
        <v>53.32</v>
      </c>
      <c r="D12" s="11">
        <v>58686</v>
      </c>
      <c r="E12" s="11">
        <v>100</v>
      </c>
      <c r="G12" s="8">
        <f t="shared" si="2"/>
        <v>31290</v>
      </c>
      <c r="I12" s="8" t="str">
        <f t="shared" si="3"/>
        <v>31,290 (53.32)</v>
      </c>
    </row>
    <row r="13" spans="1:9" customFormat="1" ht="17.25" hidden="1" thickBot="1" x14ac:dyDescent="0.35"/>
    <row r="14" spans="1:9" ht="17.25" x14ac:dyDescent="0.3">
      <c r="A14" s="17" t="s">
        <v>5</v>
      </c>
      <c r="B14" s="19" t="s">
        <v>2</v>
      </c>
      <c r="C14" s="19" t="s">
        <v>3</v>
      </c>
      <c r="D14" s="9" t="s">
        <v>26</v>
      </c>
      <c r="E14" s="9" t="s">
        <v>26</v>
      </c>
    </row>
    <row r="15" spans="1:9" customFormat="1" ht="16.5" hidden="1" x14ac:dyDescent="0.3">
      <c r="A15" s="18"/>
      <c r="B15" s="20"/>
      <c r="C15" s="20"/>
      <c r="D15" s="3" t="s">
        <v>2</v>
      </c>
      <c r="E15" s="3" t="s">
        <v>3</v>
      </c>
    </row>
    <row r="16" spans="1:9" x14ac:dyDescent="0.3">
      <c r="A16" s="10">
        <v>1</v>
      </c>
      <c r="B16" s="11">
        <v>47101</v>
      </c>
      <c r="C16" s="11">
        <v>80.260000000000005</v>
      </c>
      <c r="D16" s="11">
        <v>47101</v>
      </c>
      <c r="E16" s="11">
        <v>80.260000000000005</v>
      </c>
      <c r="G16" s="8">
        <f t="shared" ref="G16:G17" si="4">B16</f>
        <v>47101</v>
      </c>
      <c r="I16" s="8" t="str">
        <f t="shared" ref="I16:I17" si="5">TEXT(B16,"#,##0")&amp;" ("&amp;TEXT(C16,"0.00")&amp;")"</f>
        <v>47,101 (80.26)</v>
      </c>
    </row>
    <row r="17" spans="1:9" ht="16.5" thickBot="1" x14ac:dyDescent="0.35">
      <c r="A17" s="10">
        <v>2</v>
      </c>
      <c r="B17" s="11">
        <v>11585</v>
      </c>
      <c r="C17" s="11">
        <v>19.739999999999998</v>
      </c>
      <c r="D17" s="11">
        <v>58686</v>
      </c>
      <c r="E17" s="11">
        <v>100</v>
      </c>
      <c r="G17" s="8">
        <f t="shared" si="4"/>
        <v>11585</v>
      </c>
      <c r="I17" s="8" t="str">
        <f t="shared" si="5"/>
        <v>11,585 (19.74)</v>
      </c>
    </row>
    <row r="18" spans="1:9" customFormat="1" ht="17.25" hidden="1" thickBot="1" x14ac:dyDescent="0.35"/>
    <row r="19" spans="1:9" ht="17.25" x14ac:dyDescent="0.3">
      <c r="A19" s="17" t="s">
        <v>6</v>
      </c>
      <c r="B19" s="19" t="s">
        <v>2</v>
      </c>
      <c r="C19" s="19" t="s">
        <v>3</v>
      </c>
      <c r="D19" s="9" t="s">
        <v>26</v>
      </c>
      <c r="E19" s="9" t="s">
        <v>26</v>
      </c>
    </row>
    <row r="20" spans="1:9" customFormat="1" ht="16.5" hidden="1" x14ac:dyDescent="0.3">
      <c r="A20" s="18"/>
      <c r="B20" s="20"/>
      <c r="C20" s="20"/>
      <c r="D20" s="3" t="s">
        <v>2</v>
      </c>
      <c r="E20" s="3" t="s">
        <v>3</v>
      </c>
    </row>
    <row r="21" spans="1:9" x14ac:dyDescent="0.3">
      <c r="A21" s="10">
        <v>1</v>
      </c>
      <c r="B21" s="11">
        <v>7178</v>
      </c>
      <c r="C21" s="11">
        <v>12.23</v>
      </c>
      <c r="D21" s="11">
        <v>7178</v>
      </c>
      <c r="E21" s="11">
        <v>12.23</v>
      </c>
      <c r="G21" s="8">
        <f t="shared" ref="G21:G24" si="6">B21</f>
        <v>7178</v>
      </c>
      <c r="I21" s="8" t="str">
        <f t="shared" ref="I21:I24" si="7">TEXT(B21,"#,##0")&amp;" ("&amp;TEXT(C21,"0.00")&amp;")"</f>
        <v>7,178 (12.23)</v>
      </c>
    </row>
    <row r="22" spans="1:9" x14ac:dyDescent="0.3">
      <c r="A22" s="10">
        <v>2</v>
      </c>
      <c r="B22" s="11">
        <v>7518</v>
      </c>
      <c r="C22" s="11">
        <v>12.81</v>
      </c>
      <c r="D22" s="11">
        <v>14696</v>
      </c>
      <c r="E22" s="11">
        <v>25.04</v>
      </c>
      <c r="G22" s="8">
        <f t="shared" si="6"/>
        <v>7518</v>
      </c>
      <c r="I22" s="8" t="str">
        <f t="shared" si="7"/>
        <v>7,518 (12.81)</v>
      </c>
    </row>
    <row r="23" spans="1:9" x14ac:dyDescent="0.3">
      <c r="A23" s="10">
        <v>3</v>
      </c>
      <c r="B23" s="11">
        <v>16960</v>
      </c>
      <c r="C23" s="11">
        <v>28.9</v>
      </c>
      <c r="D23" s="11">
        <v>31656</v>
      </c>
      <c r="E23" s="11">
        <v>53.94</v>
      </c>
      <c r="G23" s="8">
        <f t="shared" si="6"/>
        <v>16960</v>
      </c>
      <c r="I23" s="8" t="str">
        <f t="shared" si="7"/>
        <v>16,960 (28.90)</v>
      </c>
    </row>
    <row r="24" spans="1:9" ht="16.5" thickBot="1" x14ac:dyDescent="0.35">
      <c r="A24" s="10">
        <v>4</v>
      </c>
      <c r="B24" s="11">
        <v>27030</v>
      </c>
      <c r="C24" s="11">
        <v>46.06</v>
      </c>
      <c r="D24" s="11">
        <v>58686</v>
      </c>
      <c r="E24" s="11">
        <v>100</v>
      </c>
      <c r="G24" s="8">
        <f t="shared" si="6"/>
        <v>27030</v>
      </c>
      <c r="I24" s="8" t="str">
        <f t="shared" si="7"/>
        <v>27,030 (46.06)</v>
      </c>
    </row>
    <row r="25" spans="1:9" customFormat="1" ht="17.25" hidden="1" thickBot="1" x14ac:dyDescent="0.35"/>
    <row r="26" spans="1:9" ht="17.25" x14ac:dyDescent="0.3">
      <c r="A26" s="17" t="s">
        <v>7</v>
      </c>
      <c r="B26" s="19" t="s">
        <v>2</v>
      </c>
      <c r="C26" s="19" t="s">
        <v>3</v>
      </c>
      <c r="D26" s="9" t="s">
        <v>26</v>
      </c>
      <c r="E26" s="9" t="s">
        <v>26</v>
      </c>
    </row>
    <row r="27" spans="1:9" customFormat="1" ht="16.5" hidden="1" x14ac:dyDescent="0.3">
      <c r="A27" s="18"/>
      <c r="B27" s="20"/>
      <c r="C27" s="20"/>
      <c r="D27" s="3" t="s">
        <v>2</v>
      </c>
      <c r="E27" s="3" t="s">
        <v>3</v>
      </c>
    </row>
    <row r="28" spans="1:9" x14ac:dyDescent="0.3">
      <c r="A28" s="10">
        <v>1</v>
      </c>
      <c r="B28" s="11">
        <v>8304</v>
      </c>
      <c r="C28" s="11">
        <v>14.15</v>
      </c>
      <c r="D28" s="11">
        <v>8304</v>
      </c>
      <c r="E28" s="11">
        <v>14.15</v>
      </c>
      <c r="G28" s="8">
        <f t="shared" ref="G28:G31" si="8">B28</f>
        <v>8304</v>
      </c>
      <c r="I28" s="8" t="str">
        <f t="shared" ref="I28:I31" si="9">TEXT(B28,"#,##0")&amp;" ("&amp;TEXT(C28,"0.00")&amp;")"</f>
        <v>8,304 (14.15)</v>
      </c>
    </row>
    <row r="29" spans="1:9" x14ac:dyDescent="0.3">
      <c r="A29" s="10">
        <v>2</v>
      </c>
      <c r="B29" s="11">
        <v>14737</v>
      </c>
      <c r="C29" s="11">
        <v>25.11</v>
      </c>
      <c r="D29" s="11">
        <v>23041</v>
      </c>
      <c r="E29" s="11">
        <v>39.26</v>
      </c>
      <c r="G29" s="8">
        <f t="shared" si="8"/>
        <v>14737</v>
      </c>
      <c r="I29" s="8" t="str">
        <f t="shared" si="9"/>
        <v>14,737 (25.11)</v>
      </c>
    </row>
    <row r="30" spans="1:9" x14ac:dyDescent="0.3">
      <c r="A30" s="10">
        <v>3</v>
      </c>
      <c r="B30" s="11">
        <v>17350</v>
      </c>
      <c r="C30" s="11">
        <v>29.56</v>
      </c>
      <c r="D30" s="11">
        <v>40391</v>
      </c>
      <c r="E30" s="11">
        <v>68.83</v>
      </c>
      <c r="G30" s="8">
        <f t="shared" si="8"/>
        <v>17350</v>
      </c>
      <c r="I30" s="8" t="str">
        <f t="shared" si="9"/>
        <v>17,350 (29.56)</v>
      </c>
    </row>
    <row r="31" spans="1:9" ht="16.5" thickBot="1" x14ac:dyDescent="0.35">
      <c r="A31" s="10">
        <v>4</v>
      </c>
      <c r="B31" s="11">
        <v>18295</v>
      </c>
      <c r="C31" s="11">
        <v>31.17</v>
      </c>
      <c r="D31" s="11">
        <v>58686</v>
      </c>
      <c r="E31" s="11">
        <v>100</v>
      </c>
      <c r="G31" s="8">
        <f t="shared" si="8"/>
        <v>18295</v>
      </c>
      <c r="I31" s="8" t="str">
        <f t="shared" si="9"/>
        <v>18,295 (31.17)</v>
      </c>
    </row>
    <row r="32" spans="1:9" customFormat="1" ht="17.25" hidden="1" thickBot="1" x14ac:dyDescent="0.35"/>
    <row r="33" spans="1:9" ht="17.25" x14ac:dyDescent="0.3">
      <c r="A33" s="17" t="s">
        <v>8</v>
      </c>
      <c r="B33" s="19" t="s">
        <v>2</v>
      </c>
      <c r="C33" s="19" t="s">
        <v>3</v>
      </c>
      <c r="D33" s="9" t="s">
        <v>26</v>
      </c>
      <c r="E33" s="9" t="s">
        <v>26</v>
      </c>
    </row>
    <row r="34" spans="1:9" customFormat="1" ht="16.5" hidden="1" x14ac:dyDescent="0.3">
      <c r="A34" s="18"/>
      <c r="B34" s="20"/>
      <c r="C34" s="20"/>
      <c r="D34" s="3" t="s">
        <v>2</v>
      </c>
      <c r="E34" s="3" t="s">
        <v>3</v>
      </c>
    </row>
    <row r="35" spans="1:9" x14ac:dyDescent="0.3">
      <c r="A35" s="10">
        <v>1</v>
      </c>
      <c r="B35" s="11">
        <v>1775</v>
      </c>
      <c r="C35" s="11">
        <v>3.02</v>
      </c>
      <c r="D35" s="11">
        <v>1775</v>
      </c>
      <c r="E35" s="11">
        <v>3.02</v>
      </c>
      <c r="G35" s="8">
        <f t="shared" ref="G35:G38" si="10">B35</f>
        <v>1775</v>
      </c>
      <c r="I35" s="8" t="str">
        <f t="shared" ref="I35:I38" si="11">TEXT(B35,"#,##0")&amp;" ("&amp;TEXT(C35,"0.00")&amp;")"</f>
        <v>1,775 (3.02)</v>
      </c>
    </row>
    <row r="36" spans="1:9" x14ac:dyDescent="0.3">
      <c r="A36" s="10">
        <v>2</v>
      </c>
      <c r="B36" s="11">
        <v>21873</v>
      </c>
      <c r="C36" s="11">
        <v>37.270000000000003</v>
      </c>
      <c r="D36" s="11">
        <v>23648</v>
      </c>
      <c r="E36" s="11">
        <v>40.299999999999997</v>
      </c>
      <c r="G36" s="8">
        <f t="shared" si="10"/>
        <v>21873</v>
      </c>
      <c r="I36" s="8" t="str">
        <f t="shared" si="11"/>
        <v>21,873 (37.27)</v>
      </c>
    </row>
    <row r="37" spans="1:9" x14ac:dyDescent="0.3">
      <c r="A37" s="10">
        <v>3</v>
      </c>
      <c r="B37" s="11">
        <v>14363</v>
      </c>
      <c r="C37" s="11">
        <v>24.47</v>
      </c>
      <c r="D37" s="11">
        <v>38011</v>
      </c>
      <c r="E37" s="11">
        <v>64.77</v>
      </c>
      <c r="G37" s="8">
        <f t="shared" si="10"/>
        <v>14363</v>
      </c>
      <c r="I37" s="8" t="str">
        <f t="shared" si="11"/>
        <v>14,363 (24.47)</v>
      </c>
    </row>
    <row r="38" spans="1:9" ht="16.5" thickBot="1" x14ac:dyDescent="0.35">
      <c r="A38" s="10">
        <v>4</v>
      </c>
      <c r="B38" s="11">
        <v>20675</v>
      </c>
      <c r="C38" s="11">
        <v>35.229999999999997</v>
      </c>
      <c r="D38" s="11">
        <v>58686</v>
      </c>
      <c r="E38" s="11">
        <v>100</v>
      </c>
      <c r="G38" s="8">
        <f t="shared" si="10"/>
        <v>20675</v>
      </c>
      <c r="I38" s="8" t="str">
        <f t="shared" si="11"/>
        <v>20,675 (35.23)</v>
      </c>
    </row>
    <row r="39" spans="1:9" customFormat="1" ht="17.25" hidden="1" thickBot="1" x14ac:dyDescent="0.35"/>
    <row r="40" spans="1:9" ht="17.25" x14ac:dyDescent="0.3">
      <c r="A40" s="17" t="s">
        <v>9</v>
      </c>
      <c r="B40" s="19" t="s">
        <v>2</v>
      </c>
      <c r="C40" s="19" t="s">
        <v>3</v>
      </c>
      <c r="D40" s="9" t="s">
        <v>26</v>
      </c>
      <c r="E40" s="9" t="s">
        <v>26</v>
      </c>
    </row>
    <row r="41" spans="1:9" customFormat="1" ht="16.5" hidden="1" x14ac:dyDescent="0.3">
      <c r="A41" s="18"/>
      <c r="B41" s="20"/>
      <c r="C41" s="20"/>
      <c r="D41" s="3" t="s">
        <v>2</v>
      </c>
      <c r="E41" s="3" t="s">
        <v>3</v>
      </c>
    </row>
    <row r="42" spans="1:9" x14ac:dyDescent="0.3">
      <c r="A42" s="10">
        <v>1</v>
      </c>
      <c r="B42" s="11">
        <v>54471</v>
      </c>
      <c r="C42" s="11">
        <v>92.82</v>
      </c>
      <c r="D42" s="11">
        <v>54471</v>
      </c>
      <c r="E42" s="11">
        <v>92.82</v>
      </c>
      <c r="G42" s="8">
        <f t="shared" ref="G42:G43" si="12">B42</f>
        <v>54471</v>
      </c>
      <c r="I42" s="8" t="str">
        <f t="shared" ref="I42:I43" si="13">TEXT(B42,"#,##0")&amp;" ("&amp;TEXT(C42,"0.00")&amp;")"</f>
        <v>54,471 (92.82)</v>
      </c>
    </row>
    <row r="43" spans="1:9" ht="16.5" thickBot="1" x14ac:dyDescent="0.35">
      <c r="A43" s="10">
        <v>2</v>
      </c>
      <c r="B43" s="11">
        <v>4215</v>
      </c>
      <c r="C43" s="11">
        <v>7.18</v>
      </c>
      <c r="D43" s="11">
        <v>58686</v>
      </c>
      <c r="E43" s="11">
        <v>100</v>
      </c>
      <c r="G43" s="8">
        <f t="shared" si="12"/>
        <v>4215</v>
      </c>
      <c r="I43" s="8" t="str">
        <f t="shared" si="13"/>
        <v>4,215 (7.18)</v>
      </c>
    </row>
    <row r="44" spans="1:9" customFormat="1" ht="17.25" hidden="1" thickBot="1" x14ac:dyDescent="0.35"/>
    <row r="45" spans="1:9" ht="17.25" x14ac:dyDescent="0.3">
      <c r="A45" s="17" t="s">
        <v>10</v>
      </c>
      <c r="B45" s="19" t="s">
        <v>2</v>
      </c>
      <c r="C45" s="19" t="s">
        <v>3</v>
      </c>
      <c r="D45" s="9" t="s">
        <v>26</v>
      </c>
      <c r="E45" s="9" t="s">
        <v>26</v>
      </c>
    </row>
    <row r="46" spans="1:9" customFormat="1" ht="16.5" hidden="1" x14ac:dyDescent="0.3">
      <c r="A46" s="18"/>
      <c r="B46" s="20"/>
      <c r="C46" s="20"/>
      <c r="D46" s="3" t="s">
        <v>2</v>
      </c>
      <c r="E46" s="3" t="s">
        <v>3</v>
      </c>
    </row>
    <row r="47" spans="1:9" x14ac:dyDescent="0.3">
      <c r="A47" s="10">
        <v>1</v>
      </c>
      <c r="B47" s="11">
        <v>18977</v>
      </c>
      <c r="C47" s="11">
        <v>32.340000000000003</v>
      </c>
      <c r="D47" s="11">
        <v>18977</v>
      </c>
      <c r="E47" s="11">
        <v>32.340000000000003</v>
      </c>
      <c r="G47" s="8">
        <f t="shared" ref="G47:G49" si="14">B47</f>
        <v>18977</v>
      </c>
      <c r="I47" s="8" t="str">
        <f t="shared" ref="I47:I49" si="15">TEXT(B47,"#,##0")&amp;" ("&amp;TEXT(C47,"0.00")&amp;")"</f>
        <v>18,977 (32.34)</v>
      </c>
    </row>
    <row r="48" spans="1:9" x14ac:dyDescent="0.3">
      <c r="A48" s="10">
        <v>2</v>
      </c>
      <c r="B48" s="11">
        <v>29000</v>
      </c>
      <c r="C48" s="11">
        <v>49.42</v>
      </c>
      <c r="D48" s="11">
        <v>47977</v>
      </c>
      <c r="E48" s="11">
        <v>81.75</v>
      </c>
      <c r="G48" s="8">
        <f t="shared" si="14"/>
        <v>29000</v>
      </c>
      <c r="I48" s="8" t="str">
        <f t="shared" si="15"/>
        <v>29,000 (49.42)</v>
      </c>
    </row>
    <row r="49" spans="1:9" ht="16.5" thickBot="1" x14ac:dyDescent="0.35">
      <c r="A49" s="10">
        <v>3</v>
      </c>
      <c r="B49" s="11">
        <v>10709</v>
      </c>
      <c r="C49" s="11">
        <v>18.25</v>
      </c>
      <c r="D49" s="11">
        <v>58686</v>
      </c>
      <c r="E49" s="11">
        <v>100</v>
      </c>
      <c r="G49" s="8">
        <f t="shared" si="14"/>
        <v>10709</v>
      </c>
      <c r="I49" s="8" t="str">
        <f t="shared" si="15"/>
        <v>10,709 (18.25)</v>
      </c>
    </row>
    <row r="50" spans="1:9" customFormat="1" ht="17.25" hidden="1" thickBot="1" x14ac:dyDescent="0.35"/>
    <row r="51" spans="1:9" ht="17.25" x14ac:dyDescent="0.3">
      <c r="A51" s="17" t="s">
        <v>11</v>
      </c>
      <c r="B51" s="19" t="s">
        <v>2</v>
      </c>
      <c r="C51" s="19" t="s">
        <v>3</v>
      </c>
      <c r="D51" s="9" t="s">
        <v>26</v>
      </c>
      <c r="E51" s="9" t="s">
        <v>26</v>
      </c>
    </row>
    <row r="52" spans="1:9" customFormat="1" ht="16.5" hidden="1" x14ac:dyDescent="0.3">
      <c r="A52" s="18"/>
      <c r="B52" s="20"/>
      <c r="C52" s="20"/>
      <c r="D52" s="3" t="s">
        <v>2</v>
      </c>
      <c r="E52" s="3" t="s">
        <v>3</v>
      </c>
    </row>
    <row r="53" spans="1:9" x14ac:dyDescent="0.3">
      <c r="A53" s="10">
        <v>1</v>
      </c>
      <c r="B53" s="11">
        <v>15524</v>
      </c>
      <c r="C53" s="11">
        <v>26.45</v>
      </c>
      <c r="D53" s="11">
        <v>15524</v>
      </c>
      <c r="E53" s="11">
        <v>26.45</v>
      </c>
      <c r="G53" s="8">
        <f t="shared" ref="G53:G55" si="16">B53</f>
        <v>15524</v>
      </c>
      <c r="I53" s="8" t="str">
        <f t="shared" ref="I53:I55" si="17">TEXT(B53,"#,##0")&amp;" ("&amp;TEXT(C53,"0.00")&amp;")"</f>
        <v>15,524 (26.45)</v>
      </c>
    </row>
    <row r="54" spans="1:9" x14ac:dyDescent="0.3">
      <c r="A54" s="10">
        <v>2</v>
      </c>
      <c r="B54" s="11">
        <v>34510</v>
      </c>
      <c r="C54" s="11">
        <v>58.8</v>
      </c>
      <c r="D54" s="11">
        <v>50034</v>
      </c>
      <c r="E54" s="11">
        <v>85.26</v>
      </c>
      <c r="G54" s="8">
        <f t="shared" si="16"/>
        <v>34510</v>
      </c>
      <c r="I54" s="8" t="str">
        <f t="shared" si="17"/>
        <v>34,510 (58.80)</v>
      </c>
    </row>
    <row r="55" spans="1:9" ht="16.5" thickBot="1" x14ac:dyDescent="0.35">
      <c r="A55" s="10">
        <v>3</v>
      </c>
      <c r="B55" s="11">
        <v>8652</v>
      </c>
      <c r="C55" s="11">
        <v>14.74</v>
      </c>
      <c r="D55" s="11">
        <v>58686</v>
      </c>
      <c r="E55" s="11">
        <v>100</v>
      </c>
      <c r="G55" s="8">
        <f t="shared" si="16"/>
        <v>8652</v>
      </c>
      <c r="I55" s="8" t="str">
        <f t="shared" si="17"/>
        <v>8,652 (14.74)</v>
      </c>
    </row>
    <row r="56" spans="1:9" customFormat="1" ht="17.25" hidden="1" thickBot="1" x14ac:dyDescent="0.35"/>
    <row r="57" spans="1:9" ht="16.5" customHeight="1" x14ac:dyDescent="0.3">
      <c r="A57" s="17" t="s">
        <v>12</v>
      </c>
      <c r="B57" s="19" t="s">
        <v>2</v>
      </c>
      <c r="C57" s="19" t="s">
        <v>3</v>
      </c>
      <c r="D57" s="9" t="s">
        <v>26</v>
      </c>
      <c r="E57" s="9" t="s">
        <v>26</v>
      </c>
    </row>
    <row r="58" spans="1:9" customFormat="1" ht="16.5" hidden="1" x14ac:dyDescent="0.3">
      <c r="A58" s="18"/>
      <c r="B58" s="20"/>
      <c r="C58" s="20"/>
      <c r="D58" s="3" t="s">
        <v>2</v>
      </c>
      <c r="E58" s="3" t="s">
        <v>3</v>
      </c>
    </row>
    <row r="59" spans="1:9" x14ac:dyDescent="0.3">
      <c r="A59" s="10">
        <v>1</v>
      </c>
      <c r="B59" s="11">
        <v>23075</v>
      </c>
      <c r="C59" s="11">
        <v>39.32</v>
      </c>
      <c r="D59" s="11">
        <v>23075</v>
      </c>
      <c r="E59" s="11">
        <v>39.32</v>
      </c>
      <c r="G59" s="8">
        <f t="shared" ref="G59:G61" si="18">B59</f>
        <v>23075</v>
      </c>
      <c r="I59" s="8" t="str">
        <f t="shared" ref="I59:I61" si="19">TEXT(B59,"#,##0")&amp;" ("&amp;TEXT(C59,"0.00")&amp;")"</f>
        <v>23,075 (39.32)</v>
      </c>
    </row>
    <row r="60" spans="1:9" x14ac:dyDescent="0.3">
      <c r="A60" s="10">
        <v>2</v>
      </c>
      <c r="B60" s="11">
        <v>20633</v>
      </c>
      <c r="C60" s="11">
        <v>35.159999999999997</v>
      </c>
      <c r="D60" s="11">
        <v>43708</v>
      </c>
      <c r="E60" s="11">
        <v>74.48</v>
      </c>
      <c r="G60" s="8">
        <f t="shared" si="18"/>
        <v>20633</v>
      </c>
      <c r="I60" s="8" t="str">
        <f t="shared" si="19"/>
        <v>20,633 (35.16)</v>
      </c>
    </row>
    <row r="61" spans="1:9" ht="16.5" thickBot="1" x14ac:dyDescent="0.35">
      <c r="A61" s="10">
        <v>3</v>
      </c>
      <c r="B61" s="11">
        <v>14978</v>
      </c>
      <c r="C61" s="11">
        <v>25.52</v>
      </c>
      <c r="D61" s="11">
        <v>58686</v>
      </c>
      <c r="E61" s="11">
        <v>100</v>
      </c>
      <c r="G61" s="8">
        <f t="shared" si="18"/>
        <v>14978</v>
      </c>
      <c r="I61" s="8" t="str">
        <f t="shared" si="19"/>
        <v>14,978 (25.52)</v>
      </c>
    </row>
    <row r="62" spans="1:9" customFormat="1" ht="17.25" hidden="1" thickBot="1" x14ac:dyDescent="0.35"/>
    <row r="63" spans="1:9" ht="16.5" customHeight="1" x14ac:dyDescent="0.3">
      <c r="A63" s="17" t="s">
        <v>13</v>
      </c>
      <c r="B63" s="19" t="s">
        <v>2</v>
      </c>
      <c r="C63" s="19" t="s">
        <v>3</v>
      </c>
      <c r="D63" s="9" t="s">
        <v>26</v>
      </c>
      <c r="E63" s="9" t="s">
        <v>26</v>
      </c>
    </row>
    <row r="64" spans="1:9" customFormat="1" ht="16.5" hidden="1" x14ac:dyDescent="0.3">
      <c r="A64" s="18"/>
      <c r="B64" s="20"/>
      <c r="C64" s="20"/>
      <c r="D64" s="3" t="s">
        <v>2</v>
      </c>
      <c r="E64" s="3" t="s">
        <v>3</v>
      </c>
    </row>
    <row r="65" spans="1:9" x14ac:dyDescent="0.3">
      <c r="A65" s="10">
        <v>0</v>
      </c>
      <c r="B65" s="11">
        <v>44247</v>
      </c>
      <c r="C65" s="11">
        <v>75.400000000000006</v>
      </c>
      <c r="D65" s="11">
        <v>44247</v>
      </c>
      <c r="E65" s="11">
        <v>75.400000000000006</v>
      </c>
      <c r="G65" s="8">
        <f t="shared" ref="G65:G66" si="20">B65</f>
        <v>44247</v>
      </c>
      <c r="I65" s="8" t="str">
        <f t="shared" ref="I65:I66" si="21">TEXT(B65,"#,##0")&amp;" ("&amp;TEXT(C65,"0.00")&amp;")"</f>
        <v>44,247 (75.40)</v>
      </c>
    </row>
    <row r="66" spans="1:9" ht="16.5" thickBot="1" x14ac:dyDescent="0.35">
      <c r="A66" s="10">
        <v>1</v>
      </c>
      <c r="B66" s="11">
        <v>14439</v>
      </c>
      <c r="C66" s="11">
        <v>24.6</v>
      </c>
      <c r="D66" s="11">
        <v>58686</v>
      </c>
      <c r="E66" s="11">
        <v>100</v>
      </c>
      <c r="G66" s="8">
        <f t="shared" si="20"/>
        <v>14439</v>
      </c>
      <c r="I66" s="8" t="str">
        <f t="shared" si="21"/>
        <v>14,439 (24.60)</v>
      </c>
    </row>
    <row r="67" spans="1:9" customFormat="1" ht="17.25" hidden="1" thickBot="1" x14ac:dyDescent="0.35"/>
    <row r="68" spans="1:9" ht="17.25" x14ac:dyDescent="0.3">
      <c r="A68" s="17" t="s">
        <v>27</v>
      </c>
      <c r="B68" s="19" t="s">
        <v>2</v>
      </c>
      <c r="C68" s="19" t="s">
        <v>3</v>
      </c>
      <c r="D68" s="9" t="s">
        <v>26</v>
      </c>
      <c r="E68" s="9" t="s">
        <v>26</v>
      </c>
    </row>
    <row r="69" spans="1:9" customFormat="1" ht="16.5" hidden="1" x14ac:dyDescent="0.3">
      <c r="A69" s="18"/>
      <c r="B69" s="20"/>
      <c r="C69" s="20"/>
      <c r="D69" s="3" t="s">
        <v>2</v>
      </c>
      <c r="E69" s="3" t="s">
        <v>3</v>
      </c>
    </row>
    <row r="70" spans="1:9" x14ac:dyDescent="0.3">
      <c r="A70" s="10">
        <v>0</v>
      </c>
      <c r="B70" s="11">
        <v>47351</v>
      </c>
      <c r="C70" s="11">
        <v>80.69</v>
      </c>
      <c r="D70" s="11">
        <v>47351</v>
      </c>
      <c r="E70" s="11">
        <v>80.69</v>
      </c>
      <c r="G70" s="8">
        <f t="shared" ref="G70:G71" si="22">B70</f>
        <v>47351</v>
      </c>
      <c r="I70" s="8" t="str">
        <f t="shared" ref="I70:I71" si="23">TEXT(B70,"#,##0")&amp;" ("&amp;TEXT(C70,"0.00")&amp;")"</f>
        <v>47,351 (80.69)</v>
      </c>
    </row>
    <row r="71" spans="1:9" ht="16.5" thickBot="1" x14ac:dyDescent="0.35">
      <c r="A71" s="10">
        <v>1</v>
      </c>
      <c r="B71" s="11">
        <v>11335</v>
      </c>
      <c r="C71" s="11">
        <v>19.309999999999999</v>
      </c>
      <c r="D71" s="11">
        <v>58686</v>
      </c>
      <c r="E71" s="11">
        <v>100</v>
      </c>
      <c r="G71" s="8">
        <f t="shared" si="22"/>
        <v>11335</v>
      </c>
      <c r="I71" s="8" t="str">
        <f t="shared" si="23"/>
        <v>11,335 (19.31)</v>
      </c>
    </row>
    <row r="72" spans="1:9" customFormat="1" ht="17.25" hidden="1" thickBot="1" x14ac:dyDescent="0.35"/>
    <row r="73" spans="1:9" ht="16.5" customHeight="1" x14ac:dyDescent="0.3">
      <c r="A73" s="17" t="s">
        <v>28</v>
      </c>
      <c r="B73" s="19" t="s">
        <v>2</v>
      </c>
      <c r="C73" s="19" t="s">
        <v>3</v>
      </c>
      <c r="D73" s="9" t="s">
        <v>26</v>
      </c>
      <c r="E73" s="9" t="s">
        <v>26</v>
      </c>
    </row>
    <row r="74" spans="1:9" customFormat="1" ht="16.5" hidden="1" x14ac:dyDescent="0.3">
      <c r="A74" s="18"/>
      <c r="B74" s="20"/>
      <c r="C74" s="20"/>
      <c r="D74" s="3" t="s">
        <v>2</v>
      </c>
      <c r="E74" s="3" t="s">
        <v>3</v>
      </c>
    </row>
    <row r="75" spans="1:9" x14ac:dyDescent="0.3">
      <c r="A75" s="10">
        <v>0</v>
      </c>
      <c r="B75" s="11">
        <v>53619</v>
      </c>
      <c r="C75" s="11">
        <v>91.37</v>
      </c>
      <c r="D75" s="11">
        <v>53619</v>
      </c>
      <c r="E75" s="11">
        <v>91.37</v>
      </c>
      <c r="G75" s="8">
        <f t="shared" ref="G75:G76" si="24">B75</f>
        <v>53619</v>
      </c>
      <c r="I75" s="8" t="str">
        <f t="shared" ref="I75:I76" si="25">TEXT(B75,"#,##0")&amp;" ("&amp;TEXT(C75,"0.00")&amp;")"</f>
        <v>53,619 (91.37)</v>
      </c>
    </row>
    <row r="76" spans="1:9" ht="16.5" thickBot="1" x14ac:dyDescent="0.35">
      <c r="A76" s="10">
        <v>1</v>
      </c>
      <c r="B76" s="11">
        <v>5067</v>
      </c>
      <c r="C76" s="11">
        <v>8.6300000000000008</v>
      </c>
      <c r="D76" s="11">
        <v>58686</v>
      </c>
      <c r="E76" s="11">
        <v>100</v>
      </c>
      <c r="G76" s="8">
        <f t="shared" si="24"/>
        <v>5067</v>
      </c>
      <c r="I76" s="8" t="str">
        <f t="shared" si="25"/>
        <v>5,067 (8.63)</v>
      </c>
    </row>
    <row r="77" spans="1:9" customFormat="1" ht="17.25" hidden="1" thickBot="1" x14ac:dyDescent="0.35"/>
    <row r="78" spans="1:9" ht="16.5" customHeight="1" x14ac:dyDescent="0.3">
      <c r="A78" s="17" t="s">
        <v>14</v>
      </c>
      <c r="B78" s="19" t="s">
        <v>2</v>
      </c>
      <c r="C78" s="19" t="s">
        <v>3</v>
      </c>
      <c r="D78" s="9" t="s">
        <v>26</v>
      </c>
      <c r="E78" s="9" t="s">
        <v>26</v>
      </c>
    </row>
    <row r="79" spans="1:9" customFormat="1" ht="16.5" hidden="1" x14ac:dyDescent="0.3">
      <c r="A79" s="18"/>
      <c r="B79" s="20"/>
      <c r="C79" s="20"/>
      <c r="D79" s="3" t="s">
        <v>2</v>
      </c>
      <c r="E79" s="3" t="s">
        <v>3</v>
      </c>
    </row>
    <row r="80" spans="1:9" x14ac:dyDescent="0.3">
      <c r="A80" s="10">
        <v>0</v>
      </c>
      <c r="B80" s="11">
        <v>46146</v>
      </c>
      <c r="C80" s="11">
        <v>78.63</v>
      </c>
      <c r="D80" s="11">
        <v>46146</v>
      </c>
      <c r="E80" s="11">
        <v>78.63</v>
      </c>
      <c r="G80" s="8">
        <f t="shared" ref="G80:G81" si="26">B80</f>
        <v>46146</v>
      </c>
      <c r="I80" s="8" t="str">
        <f t="shared" ref="I80:I81" si="27">TEXT(B80,"#,##0")&amp;" ("&amp;TEXT(C80,"0.00")&amp;")"</f>
        <v>46,146 (78.63)</v>
      </c>
    </row>
    <row r="81" spans="1:9" ht="16.5" thickBot="1" x14ac:dyDescent="0.35">
      <c r="A81" s="10">
        <v>1</v>
      </c>
      <c r="B81" s="11">
        <v>12540</v>
      </c>
      <c r="C81" s="11">
        <v>21.37</v>
      </c>
      <c r="D81" s="11">
        <v>58686</v>
      </c>
      <c r="E81" s="11">
        <v>100</v>
      </c>
      <c r="G81" s="8">
        <f t="shared" si="26"/>
        <v>12540</v>
      </c>
      <c r="I81" s="8" t="str">
        <f t="shared" si="27"/>
        <v>12,540 (21.37)</v>
      </c>
    </row>
    <row r="82" spans="1:9" customFormat="1" ht="17.25" hidden="1" thickBot="1" x14ac:dyDescent="0.35"/>
    <row r="83" spans="1:9" ht="16.5" customHeight="1" x14ac:dyDescent="0.3">
      <c r="A83" s="17" t="s">
        <v>15</v>
      </c>
      <c r="B83" s="19" t="s">
        <v>2</v>
      </c>
      <c r="C83" s="19" t="s">
        <v>3</v>
      </c>
      <c r="D83" s="9" t="s">
        <v>26</v>
      </c>
      <c r="E83" s="9" t="s">
        <v>26</v>
      </c>
    </row>
    <row r="84" spans="1:9" customFormat="1" ht="16.5" hidden="1" x14ac:dyDescent="0.3">
      <c r="A84" s="18"/>
      <c r="B84" s="20"/>
      <c r="C84" s="20"/>
      <c r="D84" s="3" t="s">
        <v>2</v>
      </c>
      <c r="E84" s="3" t="s">
        <v>3</v>
      </c>
    </row>
    <row r="85" spans="1:9" x14ac:dyDescent="0.3">
      <c r="A85" s="10">
        <v>0</v>
      </c>
      <c r="B85" s="11">
        <v>49258</v>
      </c>
      <c r="C85" s="11">
        <v>83.93</v>
      </c>
      <c r="D85" s="11">
        <v>49258</v>
      </c>
      <c r="E85" s="11">
        <v>83.93</v>
      </c>
      <c r="G85" s="8">
        <f t="shared" ref="G85:G86" si="28">B85</f>
        <v>49258</v>
      </c>
      <c r="I85" s="8" t="str">
        <f t="shared" ref="I85:I86" si="29">TEXT(B85,"#,##0")&amp;" ("&amp;TEXT(C85,"0.00")&amp;")"</f>
        <v>49,258 (83.93)</v>
      </c>
    </row>
    <row r="86" spans="1:9" ht="16.5" thickBot="1" x14ac:dyDescent="0.35">
      <c r="A86" s="10">
        <v>1</v>
      </c>
      <c r="B86" s="11">
        <v>9428</v>
      </c>
      <c r="C86" s="11">
        <v>16.07</v>
      </c>
      <c r="D86" s="11">
        <v>58686</v>
      </c>
      <c r="E86" s="11">
        <v>100</v>
      </c>
      <c r="G86" s="8">
        <f t="shared" si="28"/>
        <v>9428</v>
      </c>
      <c r="I86" s="8" t="str">
        <f t="shared" si="29"/>
        <v>9,428 (16.07)</v>
      </c>
    </row>
    <row r="87" spans="1:9" customFormat="1" ht="17.25" hidden="1" thickBot="1" x14ac:dyDescent="0.35"/>
    <row r="88" spans="1:9" ht="17.25" x14ac:dyDescent="0.3">
      <c r="A88" s="17" t="s">
        <v>16</v>
      </c>
      <c r="B88" s="19" t="s">
        <v>2</v>
      </c>
      <c r="C88" s="19" t="s">
        <v>3</v>
      </c>
      <c r="D88" s="9" t="s">
        <v>26</v>
      </c>
      <c r="E88" s="9" t="s">
        <v>26</v>
      </c>
    </row>
    <row r="89" spans="1:9" customFormat="1" ht="16.5" hidden="1" x14ac:dyDescent="0.3">
      <c r="A89" s="18"/>
      <c r="B89" s="20"/>
      <c r="C89" s="20"/>
      <c r="D89" s="3" t="s">
        <v>2</v>
      </c>
      <c r="E89" s="3" t="s">
        <v>3</v>
      </c>
    </row>
    <row r="90" spans="1:9" x14ac:dyDescent="0.3">
      <c r="A90" s="10">
        <v>0</v>
      </c>
      <c r="B90" s="11">
        <v>57642</v>
      </c>
      <c r="C90" s="11">
        <v>98.22</v>
      </c>
      <c r="D90" s="11">
        <v>57642</v>
      </c>
      <c r="E90" s="11">
        <v>98.22</v>
      </c>
      <c r="G90" s="8">
        <f t="shared" ref="G90:G91" si="30">B90</f>
        <v>57642</v>
      </c>
      <c r="I90" s="8" t="str">
        <f t="shared" ref="I90:I91" si="31">TEXT(B90,"#,##0")&amp;" ("&amp;TEXT(C90,"0.00")&amp;")"</f>
        <v>57,642 (98.22)</v>
      </c>
    </row>
    <row r="91" spans="1:9" ht="16.5" thickBot="1" x14ac:dyDescent="0.35">
      <c r="A91" s="10">
        <v>1</v>
      </c>
      <c r="B91" s="11">
        <v>1044</v>
      </c>
      <c r="C91" s="11">
        <v>1.78</v>
      </c>
      <c r="D91" s="11">
        <v>58686</v>
      </c>
      <c r="E91" s="11">
        <v>100</v>
      </c>
      <c r="G91" s="8">
        <f t="shared" si="30"/>
        <v>1044</v>
      </c>
      <c r="I91" s="8" t="str">
        <f t="shared" si="31"/>
        <v>1,044 (1.78)</v>
      </c>
    </row>
    <row r="92" spans="1:9" customFormat="1" ht="17.25" hidden="1" thickBot="1" x14ac:dyDescent="0.35"/>
    <row r="93" spans="1:9" ht="17.25" x14ac:dyDescent="0.3">
      <c r="A93" s="17" t="s">
        <v>17</v>
      </c>
      <c r="B93" s="19" t="s">
        <v>2</v>
      </c>
      <c r="C93" s="19" t="s">
        <v>3</v>
      </c>
      <c r="D93" s="9" t="s">
        <v>26</v>
      </c>
      <c r="E93" s="9" t="s">
        <v>26</v>
      </c>
    </row>
    <row r="94" spans="1:9" customFormat="1" ht="16.5" hidden="1" x14ac:dyDescent="0.3">
      <c r="A94" s="18"/>
      <c r="B94" s="20"/>
      <c r="C94" s="20"/>
      <c r="D94" s="3" t="s">
        <v>2</v>
      </c>
      <c r="E94" s="3" t="s">
        <v>3</v>
      </c>
    </row>
    <row r="95" spans="1:9" x14ac:dyDescent="0.3">
      <c r="A95" s="10">
        <v>0</v>
      </c>
      <c r="B95" s="11">
        <v>58156</v>
      </c>
      <c r="C95" s="11">
        <v>99.1</v>
      </c>
      <c r="D95" s="11">
        <v>58156</v>
      </c>
      <c r="E95" s="11">
        <v>99.1</v>
      </c>
      <c r="G95" s="8">
        <f t="shared" ref="G95:G96" si="32">B95</f>
        <v>58156</v>
      </c>
      <c r="I95" s="8" t="str">
        <f t="shared" ref="I95:I96" si="33">TEXT(B95,"#,##0")&amp;" ("&amp;TEXT(C95,"0.00")&amp;")"</f>
        <v>58,156 (99.10)</v>
      </c>
    </row>
    <row r="96" spans="1:9" ht="16.5" thickBot="1" x14ac:dyDescent="0.35">
      <c r="A96" s="10">
        <v>1</v>
      </c>
      <c r="B96" s="11">
        <v>530</v>
      </c>
      <c r="C96" s="11">
        <v>0.9</v>
      </c>
      <c r="D96" s="11">
        <v>58686</v>
      </c>
      <c r="E96" s="11">
        <v>100</v>
      </c>
      <c r="G96" s="8">
        <f t="shared" si="32"/>
        <v>530</v>
      </c>
      <c r="I96" s="8" t="str">
        <f t="shared" si="33"/>
        <v>530 (0.90)</v>
      </c>
    </row>
    <row r="97" spans="1:9" customFormat="1" ht="16.5" hidden="1" x14ac:dyDescent="0.3"/>
    <row r="98" spans="1:9" ht="17.25" x14ac:dyDescent="0.3">
      <c r="A98" s="17" t="s">
        <v>18</v>
      </c>
      <c r="B98" s="19" t="s">
        <v>2</v>
      </c>
      <c r="C98" s="19" t="s">
        <v>3</v>
      </c>
      <c r="D98" s="9" t="s">
        <v>26</v>
      </c>
      <c r="E98" s="9" t="s">
        <v>26</v>
      </c>
    </row>
    <row r="99" spans="1:9" customFormat="1" ht="16.5" hidden="1" x14ac:dyDescent="0.3">
      <c r="A99" s="18"/>
      <c r="B99" s="20"/>
      <c r="C99" s="20"/>
      <c r="D99" s="3" t="s">
        <v>2</v>
      </c>
      <c r="E99" s="3" t="s">
        <v>3</v>
      </c>
    </row>
    <row r="100" spans="1:9" x14ac:dyDescent="0.3">
      <c r="A100" s="10">
        <v>0</v>
      </c>
      <c r="B100" s="11">
        <v>57715</v>
      </c>
      <c r="C100" s="11">
        <v>98.35</v>
      </c>
      <c r="D100" s="11">
        <v>57715</v>
      </c>
      <c r="E100" s="11">
        <v>98.35</v>
      </c>
      <c r="G100" s="8">
        <f t="shared" ref="G100:G101" si="34">B100</f>
        <v>57715</v>
      </c>
      <c r="I100" s="8" t="str">
        <f t="shared" ref="I100:I101" si="35">TEXT(B100,"#,##0")&amp;" ("&amp;TEXT(C100,"0.00")&amp;")"</f>
        <v>57,715 (98.35)</v>
      </c>
    </row>
    <row r="101" spans="1:9" x14ac:dyDescent="0.3">
      <c r="A101" s="10">
        <v>1</v>
      </c>
      <c r="B101" s="11">
        <v>971</v>
      </c>
      <c r="C101" s="11">
        <v>1.65</v>
      </c>
      <c r="D101" s="11">
        <v>58686</v>
      </c>
      <c r="E101" s="11">
        <v>100</v>
      </c>
      <c r="G101" s="8">
        <f t="shared" si="34"/>
        <v>971</v>
      </c>
      <c r="I101" s="8" t="str">
        <f t="shared" si="35"/>
        <v>971 (1.65)</v>
      </c>
    </row>
  </sheetData>
  <autoFilter ref="A1:A101" xr:uid="{7895239C-D964-4D6D-8B71-1F8FA93AD0AA}">
    <filterColumn colId="0">
      <customFilters>
        <customFilter operator="notEqual" val=" "/>
      </customFilters>
    </filterColumn>
  </autoFilter>
  <mergeCells count="54">
    <mergeCell ref="A3:A4"/>
    <mergeCell ref="B3:B4"/>
    <mergeCell ref="C3:C4"/>
    <mergeCell ref="A9:A10"/>
    <mergeCell ref="B9:B10"/>
    <mergeCell ref="C9:C10"/>
    <mergeCell ref="A14:A15"/>
    <mergeCell ref="B14:B15"/>
    <mergeCell ref="C14:C15"/>
    <mergeCell ref="A19:A20"/>
    <mergeCell ref="B19:B20"/>
    <mergeCell ref="C19:C20"/>
    <mergeCell ref="A26:A27"/>
    <mergeCell ref="B26:B27"/>
    <mergeCell ref="C26:C27"/>
    <mergeCell ref="A33:A34"/>
    <mergeCell ref="B33:B34"/>
    <mergeCell ref="C33:C34"/>
    <mergeCell ref="A40:A41"/>
    <mergeCell ref="B40:B41"/>
    <mergeCell ref="C40:C41"/>
    <mergeCell ref="A45:A46"/>
    <mergeCell ref="B45:B46"/>
    <mergeCell ref="C45:C46"/>
    <mergeCell ref="A51:A52"/>
    <mergeCell ref="B51:B52"/>
    <mergeCell ref="C51:C52"/>
    <mergeCell ref="A57:A58"/>
    <mergeCell ref="B57:B58"/>
    <mergeCell ref="C57:C58"/>
    <mergeCell ref="A63:A64"/>
    <mergeCell ref="B63:B64"/>
    <mergeCell ref="C63:C64"/>
    <mergeCell ref="A68:A69"/>
    <mergeCell ref="B68:B69"/>
    <mergeCell ref="C68:C69"/>
    <mergeCell ref="A73:A74"/>
    <mergeCell ref="B73:B74"/>
    <mergeCell ref="C73:C74"/>
    <mergeCell ref="A78:A79"/>
    <mergeCell ref="B78:B79"/>
    <mergeCell ref="C78:C79"/>
    <mergeCell ref="A83:A84"/>
    <mergeCell ref="B83:B84"/>
    <mergeCell ref="C83:C84"/>
    <mergeCell ref="A88:A89"/>
    <mergeCell ref="B88:B89"/>
    <mergeCell ref="C88:C89"/>
    <mergeCell ref="A93:A94"/>
    <mergeCell ref="B93:B94"/>
    <mergeCell ref="C93:C94"/>
    <mergeCell ref="A98:A99"/>
    <mergeCell ref="B98:B99"/>
    <mergeCell ref="C98:C9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4129-697F-4750-931B-E7BD0CC40FC1}">
  <dimension ref="A1:S343"/>
  <sheetViews>
    <sheetView workbookViewId="0">
      <selection activeCell="L8" sqref="L8"/>
    </sheetView>
  </sheetViews>
  <sheetFormatPr defaultRowHeight="15.75" x14ac:dyDescent="0.3"/>
  <cols>
    <col min="1" max="16384" width="9" style="8"/>
  </cols>
  <sheetData>
    <row r="1" spans="1:19" ht="17.25" x14ac:dyDescent="0.3">
      <c r="A1" s="7" t="s">
        <v>25</v>
      </c>
      <c r="N1" s="7" t="s">
        <v>25</v>
      </c>
    </row>
    <row r="2" spans="1:19" ht="16.5" thickBot="1" x14ac:dyDescent="0.35"/>
    <row r="3" spans="1:19" ht="16.5" customHeight="1" x14ac:dyDescent="0.3">
      <c r="A3" s="14" t="s">
        <v>47</v>
      </c>
      <c r="B3" s="23" t="s">
        <v>48</v>
      </c>
      <c r="C3" s="24"/>
      <c r="D3" s="24"/>
      <c r="E3" s="24"/>
      <c r="F3" s="24"/>
      <c r="N3" s="14" t="s">
        <v>47</v>
      </c>
      <c r="O3" s="23" t="s">
        <v>49</v>
      </c>
      <c r="P3" s="24"/>
      <c r="Q3" s="24"/>
      <c r="R3" s="24"/>
      <c r="S3" s="24"/>
    </row>
    <row r="4" spans="1:19" ht="16.5" customHeight="1" x14ac:dyDescent="0.3">
      <c r="A4" s="10" t="s">
        <v>50</v>
      </c>
      <c r="B4" s="21" t="s">
        <v>21</v>
      </c>
      <c r="C4" s="25" t="s">
        <v>1</v>
      </c>
      <c r="D4" s="25"/>
      <c r="E4" s="25"/>
      <c r="F4" s="25"/>
      <c r="N4" s="10" t="s">
        <v>50</v>
      </c>
      <c r="O4" s="21" t="s">
        <v>1</v>
      </c>
      <c r="P4" s="25" t="s">
        <v>21</v>
      </c>
      <c r="Q4" s="25"/>
      <c r="R4" s="25"/>
      <c r="S4" s="25"/>
    </row>
    <row r="5" spans="1:19" ht="34.5" x14ac:dyDescent="0.3">
      <c r="A5" s="10" t="s">
        <v>51</v>
      </c>
      <c r="B5" s="21"/>
      <c r="C5" s="15">
        <v>1</v>
      </c>
      <c r="D5" s="15">
        <v>2</v>
      </c>
      <c r="E5" s="15">
        <v>3</v>
      </c>
      <c r="F5" s="15" t="s">
        <v>52</v>
      </c>
      <c r="N5" s="10" t="s">
        <v>51</v>
      </c>
      <c r="O5" s="21"/>
      <c r="P5" s="15">
        <v>1</v>
      </c>
      <c r="Q5" s="15">
        <v>2</v>
      </c>
      <c r="R5" s="15">
        <v>3</v>
      </c>
      <c r="S5" s="15" t="s">
        <v>52</v>
      </c>
    </row>
    <row r="6" spans="1:19" ht="34.5" x14ac:dyDescent="0.3">
      <c r="A6" s="10" t="s">
        <v>53</v>
      </c>
      <c r="B6" s="21">
        <v>1</v>
      </c>
      <c r="C6" s="16">
        <v>19874</v>
      </c>
      <c r="D6" s="16">
        <v>14002</v>
      </c>
      <c r="E6" s="16">
        <v>4238</v>
      </c>
      <c r="F6" s="16">
        <v>38114</v>
      </c>
      <c r="H6" s="8">
        <f>C6</f>
        <v>19874</v>
      </c>
      <c r="I6" s="8">
        <f>C8</f>
        <v>52.14</v>
      </c>
      <c r="K6" s="8" t="s">
        <v>88</v>
      </c>
      <c r="N6" s="10" t="s">
        <v>53</v>
      </c>
      <c r="O6" s="21">
        <v>1</v>
      </c>
      <c r="P6" s="16">
        <v>19874</v>
      </c>
      <c r="Q6" s="16">
        <v>783</v>
      </c>
      <c r="R6" s="16">
        <v>44</v>
      </c>
      <c r="S6" s="16">
        <v>20701</v>
      </c>
    </row>
    <row r="7" spans="1:19" x14ac:dyDescent="0.3">
      <c r="A7" s="11"/>
      <c r="B7" s="21"/>
      <c r="C7" s="16">
        <v>33.86</v>
      </c>
      <c r="D7" s="16">
        <v>23.86</v>
      </c>
      <c r="E7" s="16">
        <v>7.22</v>
      </c>
      <c r="F7" s="16">
        <v>64.95</v>
      </c>
      <c r="H7" s="8">
        <f>D6</f>
        <v>14002</v>
      </c>
      <c r="I7" s="8">
        <f>D8</f>
        <v>36.74</v>
      </c>
      <c r="K7" s="8" t="str">
        <f t="shared" ref="K7:K8" si="0">TEXT(H7,"#,##0")&amp;" ("&amp;TEXT(I7,"0.00")&amp;")"</f>
        <v>14,002 (36.74)</v>
      </c>
      <c r="N7" s="11"/>
      <c r="O7" s="21"/>
      <c r="P7" s="16">
        <v>33.86</v>
      </c>
      <c r="Q7" s="16">
        <v>1.33</v>
      </c>
      <c r="R7" s="16">
        <v>7.0000000000000007E-2</v>
      </c>
      <c r="S7" s="16">
        <v>35.270000000000003</v>
      </c>
    </row>
    <row r="8" spans="1:19" x14ac:dyDescent="0.3">
      <c r="A8" s="11"/>
      <c r="B8" s="21"/>
      <c r="C8" s="16">
        <v>52.14</v>
      </c>
      <c r="D8" s="16">
        <v>36.74</v>
      </c>
      <c r="E8" s="16">
        <v>11.12</v>
      </c>
      <c r="F8" s="16"/>
      <c r="H8" s="8">
        <f>E6</f>
        <v>4238</v>
      </c>
      <c r="I8" s="8">
        <f>E8</f>
        <v>11.12</v>
      </c>
      <c r="K8" s="8" t="str">
        <f t="shared" si="0"/>
        <v>4,238 (11.12)</v>
      </c>
      <c r="N8" s="11"/>
      <c r="O8" s="21"/>
      <c r="P8" s="16">
        <v>96.01</v>
      </c>
      <c r="Q8" s="16">
        <v>3.78</v>
      </c>
      <c r="R8" s="16">
        <v>0.21</v>
      </c>
      <c r="S8" s="16"/>
    </row>
    <row r="9" spans="1:19" x14ac:dyDescent="0.3">
      <c r="A9" s="11"/>
      <c r="B9" s="21"/>
      <c r="C9" s="16">
        <v>96.01</v>
      </c>
      <c r="D9" s="16">
        <v>66.040000000000006</v>
      </c>
      <c r="E9" s="16">
        <v>25.25</v>
      </c>
      <c r="F9" s="16"/>
      <c r="N9" s="11"/>
      <c r="O9" s="21"/>
      <c r="P9" s="16">
        <v>52.14</v>
      </c>
      <c r="Q9" s="16">
        <v>6.77</v>
      </c>
      <c r="R9" s="16">
        <v>0.49</v>
      </c>
      <c r="S9" s="16"/>
    </row>
    <row r="10" spans="1:19" x14ac:dyDescent="0.3">
      <c r="A10" s="11"/>
      <c r="B10" s="21">
        <v>2</v>
      </c>
      <c r="C10" s="16">
        <v>783</v>
      </c>
      <c r="D10" s="16">
        <v>5085</v>
      </c>
      <c r="E10" s="16">
        <v>5693</v>
      </c>
      <c r="F10" s="16">
        <v>11561</v>
      </c>
      <c r="H10" s="8">
        <f>C10</f>
        <v>783</v>
      </c>
      <c r="I10" s="8">
        <f>C12</f>
        <v>6.77</v>
      </c>
      <c r="K10" s="8" t="str">
        <f>TEXT(H10,"#,##0")&amp;" ("&amp;TEXT(I10,"0.00")&amp;")"</f>
        <v>783 (6.77)</v>
      </c>
      <c r="N10" s="11"/>
      <c r="O10" s="21">
        <v>2</v>
      </c>
      <c r="P10" s="16">
        <v>14002</v>
      </c>
      <c r="Q10" s="16">
        <v>5085</v>
      </c>
      <c r="R10" s="16">
        <v>2114</v>
      </c>
      <c r="S10" s="16">
        <v>21201</v>
      </c>
    </row>
    <row r="11" spans="1:19" x14ac:dyDescent="0.3">
      <c r="A11" s="11"/>
      <c r="B11" s="21"/>
      <c r="C11" s="16">
        <v>1.33</v>
      </c>
      <c r="D11" s="16">
        <v>8.66</v>
      </c>
      <c r="E11" s="16">
        <v>9.6999999999999993</v>
      </c>
      <c r="F11" s="16">
        <v>19.7</v>
      </c>
      <c r="H11" s="8">
        <f>D10</f>
        <v>5085</v>
      </c>
      <c r="I11" s="8">
        <f>D12</f>
        <v>43.98</v>
      </c>
      <c r="K11" s="8" t="str">
        <f t="shared" ref="K11:K12" si="1">TEXT(H11,"#,##0")&amp;" ("&amp;TEXT(I11,"0.00")&amp;")"</f>
        <v>5,085 (43.98)</v>
      </c>
      <c r="N11" s="11"/>
      <c r="O11" s="21"/>
      <c r="P11" s="16">
        <v>23.86</v>
      </c>
      <c r="Q11" s="16">
        <v>8.66</v>
      </c>
      <c r="R11" s="16">
        <v>3.6</v>
      </c>
      <c r="S11" s="16">
        <v>36.130000000000003</v>
      </c>
    </row>
    <row r="12" spans="1:19" x14ac:dyDescent="0.3">
      <c r="A12" s="11"/>
      <c r="B12" s="21"/>
      <c r="C12" s="16">
        <v>6.77</v>
      </c>
      <c r="D12" s="16">
        <v>43.98</v>
      </c>
      <c r="E12" s="16">
        <v>49.24</v>
      </c>
      <c r="F12" s="16"/>
      <c r="H12" s="8">
        <f>E10</f>
        <v>5693</v>
      </c>
      <c r="I12" s="8">
        <f>E12</f>
        <v>49.24</v>
      </c>
      <c r="K12" s="8" t="str">
        <f t="shared" si="1"/>
        <v>5,693 (49.24)</v>
      </c>
      <c r="N12" s="11"/>
      <c r="O12" s="21"/>
      <c r="P12" s="16">
        <v>66.040000000000006</v>
      </c>
      <c r="Q12" s="16">
        <v>23.98</v>
      </c>
      <c r="R12" s="16">
        <v>9.9700000000000006</v>
      </c>
      <c r="S12" s="16"/>
    </row>
    <row r="13" spans="1:19" x14ac:dyDescent="0.3">
      <c r="A13" s="11"/>
      <c r="B13" s="21"/>
      <c r="C13" s="16">
        <v>3.78</v>
      </c>
      <c r="D13" s="16">
        <v>23.98</v>
      </c>
      <c r="E13" s="16">
        <v>33.92</v>
      </c>
      <c r="F13" s="16"/>
      <c r="N13" s="11"/>
      <c r="O13" s="21"/>
      <c r="P13" s="16">
        <v>36.74</v>
      </c>
      <c r="Q13" s="16">
        <v>43.98</v>
      </c>
      <c r="R13" s="16">
        <v>23.46</v>
      </c>
      <c r="S13" s="16"/>
    </row>
    <row r="14" spans="1:19" x14ac:dyDescent="0.3">
      <c r="A14" s="11"/>
      <c r="B14" s="21">
        <v>3</v>
      </c>
      <c r="C14" s="16">
        <v>44</v>
      </c>
      <c r="D14" s="16">
        <v>2114</v>
      </c>
      <c r="E14" s="16">
        <v>6853</v>
      </c>
      <c r="F14" s="16">
        <v>9011</v>
      </c>
      <c r="H14" s="8">
        <f>C14</f>
        <v>44</v>
      </c>
      <c r="I14" s="8">
        <f>C16</f>
        <v>0.49</v>
      </c>
      <c r="K14" s="8" t="str">
        <f>TEXT(H14,"#,##0")&amp;" ("&amp;TEXT(I14,"0.00")&amp;")"</f>
        <v>44 (0.49)</v>
      </c>
      <c r="N14" s="11"/>
      <c r="O14" s="21">
        <v>3</v>
      </c>
      <c r="P14" s="16">
        <v>4238</v>
      </c>
      <c r="Q14" s="16">
        <v>5693</v>
      </c>
      <c r="R14" s="16">
        <v>6853</v>
      </c>
      <c r="S14" s="16">
        <v>16784</v>
      </c>
    </row>
    <row r="15" spans="1:19" x14ac:dyDescent="0.3">
      <c r="A15" s="11"/>
      <c r="B15" s="21"/>
      <c r="C15" s="16">
        <v>7.0000000000000007E-2</v>
      </c>
      <c r="D15" s="16">
        <v>3.6</v>
      </c>
      <c r="E15" s="16">
        <v>11.68</v>
      </c>
      <c r="F15" s="16">
        <v>15.35</v>
      </c>
      <c r="H15" s="8">
        <f>D14</f>
        <v>2114</v>
      </c>
      <c r="I15" s="8">
        <f>D16</f>
        <v>23.46</v>
      </c>
      <c r="K15" s="8" t="str">
        <f t="shared" ref="K15:K16" si="2">TEXT(H15,"#,##0")&amp;" ("&amp;TEXT(I15,"0.00")&amp;")"</f>
        <v>2,114 (23.46)</v>
      </c>
      <c r="N15" s="11"/>
      <c r="O15" s="21"/>
      <c r="P15" s="16">
        <v>7.22</v>
      </c>
      <c r="Q15" s="16">
        <v>9.6999999999999993</v>
      </c>
      <c r="R15" s="16">
        <v>11.68</v>
      </c>
      <c r="S15" s="16">
        <v>28.6</v>
      </c>
    </row>
    <row r="16" spans="1:19" x14ac:dyDescent="0.3">
      <c r="A16" s="11"/>
      <c r="B16" s="21"/>
      <c r="C16" s="16">
        <v>0.49</v>
      </c>
      <c r="D16" s="16">
        <v>23.46</v>
      </c>
      <c r="E16" s="16">
        <v>76.05</v>
      </c>
      <c r="F16" s="16"/>
      <c r="H16" s="8">
        <f>E14</f>
        <v>6853</v>
      </c>
      <c r="I16" s="8">
        <f>E16</f>
        <v>76.05</v>
      </c>
      <c r="K16" s="8" t="str">
        <f t="shared" si="2"/>
        <v>6,853 (76.05)</v>
      </c>
      <c r="N16" s="11"/>
      <c r="O16" s="21"/>
      <c r="P16" s="16">
        <v>25.25</v>
      </c>
      <c r="Q16" s="16">
        <v>33.92</v>
      </c>
      <c r="R16" s="16">
        <v>40.83</v>
      </c>
      <c r="S16" s="16"/>
    </row>
    <row r="17" spans="1:19" x14ac:dyDescent="0.3">
      <c r="A17" s="11"/>
      <c r="B17" s="21"/>
      <c r="C17" s="16">
        <v>0.21</v>
      </c>
      <c r="D17" s="16">
        <v>9.9700000000000006</v>
      </c>
      <c r="E17" s="16">
        <v>40.83</v>
      </c>
      <c r="F17" s="16"/>
      <c r="N17" s="11"/>
      <c r="O17" s="21"/>
      <c r="P17" s="16">
        <v>11.12</v>
      </c>
      <c r="Q17" s="16">
        <v>49.24</v>
      </c>
      <c r="R17" s="16">
        <v>76.05</v>
      </c>
      <c r="S17" s="16"/>
    </row>
    <row r="18" spans="1:19" x14ac:dyDescent="0.3">
      <c r="A18" s="11"/>
      <c r="B18" s="21" t="s">
        <v>52</v>
      </c>
      <c r="C18" s="16">
        <v>20701</v>
      </c>
      <c r="D18" s="16">
        <v>21201</v>
      </c>
      <c r="E18" s="16">
        <v>16784</v>
      </c>
      <c r="F18" s="16">
        <v>58686</v>
      </c>
      <c r="N18" s="11"/>
      <c r="O18" s="21" t="s">
        <v>52</v>
      </c>
      <c r="P18" s="16">
        <v>38114</v>
      </c>
      <c r="Q18" s="16">
        <v>11561</v>
      </c>
      <c r="R18" s="16">
        <v>9011</v>
      </c>
      <c r="S18" s="16">
        <v>58686</v>
      </c>
    </row>
    <row r="19" spans="1:19" x14ac:dyDescent="0.3">
      <c r="A19" s="11"/>
      <c r="B19" s="21"/>
      <c r="C19" s="16">
        <v>35.270000000000003</v>
      </c>
      <c r="D19" s="16">
        <v>36.130000000000003</v>
      </c>
      <c r="E19" s="16">
        <v>28.6</v>
      </c>
      <c r="F19" s="16">
        <v>100</v>
      </c>
      <c r="N19" s="11"/>
      <c r="O19" s="21"/>
      <c r="P19" s="16">
        <v>64.95</v>
      </c>
      <c r="Q19" s="16">
        <v>19.7</v>
      </c>
      <c r="R19" s="16">
        <v>15.35</v>
      </c>
      <c r="S19" s="16">
        <v>100</v>
      </c>
    </row>
    <row r="20" spans="1:19" x14ac:dyDescent="0.3">
      <c r="A20" s="11"/>
      <c r="B20" s="22"/>
      <c r="C20" s="22"/>
      <c r="D20" s="22"/>
      <c r="E20" s="22"/>
      <c r="F20" s="22"/>
      <c r="N20" s="11"/>
      <c r="O20" s="22"/>
      <c r="P20" s="22"/>
      <c r="Q20" s="22"/>
      <c r="R20" s="22"/>
      <c r="S20" s="22"/>
    </row>
    <row r="21" spans="1:19" ht="16.5" thickBot="1" x14ac:dyDescent="0.35"/>
    <row r="22" spans="1:19" ht="16.5" customHeight="1" x14ac:dyDescent="0.3">
      <c r="A22" s="14" t="s">
        <v>47</v>
      </c>
      <c r="B22" s="23" t="s">
        <v>54</v>
      </c>
      <c r="C22" s="24"/>
      <c r="D22" s="24"/>
      <c r="E22" s="24"/>
      <c r="N22" s="14" t="s">
        <v>47</v>
      </c>
      <c r="O22" s="23" t="s">
        <v>55</v>
      </c>
      <c r="P22" s="24"/>
      <c r="Q22" s="24"/>
      <c r="R22" s="24"/>
      <c r="S22" s="24"/>
    </row>
    <row r="23" spans="1:19" ht="16.5" customHeight="1" x14ac:dyDescent="0.3">
      <c r="A23" s="10" t="s">
        <v>50</v>
      </c>
      <c r="B23" s="21" t="s">
        <v>21</v>
      </c>
      <c r="C23" s="25" t="s">
        <v>4</v>
      </c>
      <c r="D23" s="25"/>
      <c r="E23" s="25"/>
      <c r="N23" s="10" t="s">
        <v>50</v>
      </c>
      <c r="O23" s="21" t="s">
        <v>4</v>
      </c>
      <c r="P23" s="25" t="s">
        <v>21</v>
      </c>
      <c r="Q23" s="25"/>
      <c r="R23" s="25"/>
      <c r="S23" s="25"/>
    </row>
    <row r="24" spans="1:19" ht="34.5" x14ac:dyDescent="0.3">
      <c r="A24" s="10" t="s">
        <v>51</v>
      </c>
      <c r="B24" s="21"/>
      <c r="C24" s="15">
        <v>1</v>
      </c>
      <c r="D24" s="15">
        <v>2</v>
      </c>
      <c r="E24" s="15" t="s">
        <v>52</v>
      </c>
      <c r="N24" s="10" t="s">
        <v>51</v>
      </c>
      <c r="O24" s="21"/>
      <c r="P24" s="15">
        <v>1</v>
      </c>
      <c r="Q24" s="15">
        <v>2</v>
      </c>
      <c r="R24" s="15">
        <v>3</v>
      </c>
      <c r="S24" s="15" t="s">
        <v>52</v>
      </c>
    </row>
    <row r="25" spans="1:19" ht="34.5" x14ac:dyDescent="0.3">
      <c r="A25" s="10" t="s">
        <v>53</v>
      </c>
      <c r="B25" s="21">
        <v>1</v>
      </c>
      <c r="C25" s="16">
        <v>11922</v>
      </c>
      <c r="D25" s="16">
        <v>26192</v>
      </c>
      <c r="E25" s="16">
        <v>38114</v>
      </c>
      <c r="H25" s="8">
        <f>C25</f>
        <v>11922</v>
      </c>
      <c r="I25" s="8">
        <f>C27</f>
        <v>31.28</v>
      </c>
      <c r="K25" s="8" t="str">
        <f>TEXT(H25,"#,##0")&amp;" ("&amp;TEXT(I25,"0.00")&amp;")"</f>
        <v>11,922 (31.28)</v>
      </c>
      <c r="N25" s="10" t="s">
        <v>53</v>
      </c>
      <c r="O25" s="21">
        <v>1</v>
      </c>
      <c r="P25" s="16">
        <v>11922</v>
      </c>
      <c r="Q25" s="16">
        <v>7601</v>
      </c>
      <c r="R25" s="16">
        <v>7873</v>
      </c>
      <c r="S25" s="16">
        <v>27396</v>
      </c>
    </row>
    <row r="26" spans="1:19" x14ac:dyDescent="0.3">
      <c r="A26" s="11"/>
      <c r="B26" s="21"/>
      <c r="C26" s="16">
        <v>20.309999999999999</v>
      </c>
      <c r="D26" s="16">
        <v>44.63</v>
      </c>
      <c r="E26" s="16">
        <v>64.95</v>
      </c>
      <c r="H26" s="8">
        <f>D25</f>
        <v>26192</v>
      </c>
      <c r="I26" s="8">
        <f>D27</f>
        <v>68.72</v>
      </c>
      <c r="K26" s="8" t="str">
        <f t="shared" ref="K26" si="3">TEXT(H26,"#,##0")&amp;" ("&amp;TEXT(I26,"0.00")&amp;")"</f>
        <v>26,192 (68.72)</v>
      </c>
      <c r="N26" s="11"/>
      <c r="O26" s="21"/>
      <c r="P26" s="16">
        <v>20.309999999999999</v>
      </c>
      <c r="Q26" s="16">
        <v>12.95</v>
      </c>
      <c r="R26" s="16">
        <v>13.42</v>
      </c>
      <c r="S26" s="16">
        <v>46.68</v>
      </c>
    </row>
    <row r="27" spans="1:19" x14ac:dyDescent="0.3">
      <c r="A27" s="11"/>
      <c r="B27" s="21"/>
      <c r="C27" s="16">
        <v>31.28</v>
      </c>
      <c r="D27" s="16">
        <v>68.72</v>
      </c>
      <c r="E27" s="16"/>
      <c r="N27" s="11"/>
      <c r="O27" s="21"/>
      <c r="P27" s="16">
        <v>43.52</v>
      </c>
      <c r="Q27" s="16">
        <v>27.74</v>
      </c>
      <c r="R27" s="16">
        <v>28.74</v>
      </c>
      <c r="S27" s="16"/>
    </row>
    <row r="28" spans="1:19" x14ac:dyDescent="0.3">
      <c r="A28" s="11"/>
      <c r="B28" s="21"/>
      <c r="C28" s="16">
        <v>43.52</v>
      </c>
      <c r="D28" s="16">
        <v>83.71</v>
      </c>
      <c r="E28" s="16"/>
      <c r="N28" s="11"/>
      <c r="O28" s="21"/>
      <c r="P28" s="16">
        <v>31.28</v>
      </c>
      <c r="Q28" s="16">
        <v>65.75</v>
      </c>
      <c r="R28" s="16">
        <v>87.37</v>
      </c>
      <c r="S28" s="16"/>
    </row>
    <row r="29" spans="1:19" x14ac:dyDescent="0.3">
      <c r="A29" s="11"/>
      <c r="B29" s="21">
        <v>2</v>
      </c>
      <c r="C29" s="16">
        <v>7601</v>
      </c>
      <c r="D29" s="16">
        <v>3960</v>
      </c>
      <c r="E29" s="16">
        <v>11561</v>
      </c>
      <c r="H29" s="8">
        <f>C29</f>
        <v>7601</v>
      </c>
      <c r="I29" s="8">
        <f>C31</f>
        <v>65.75</v>
      </c>
      <c r="K29" s="8" t="str">
        <f>TEXT(H29,"#,##0")&amp;" ("&amp;TEXT(I29,"0.00")&amp;")"</f>
        <v>7,601 (65.75)</v>
      </c>
      <c r="N29" s="11"/>
      <c r="O29" s="21">
        <v>2</v>
      </c>
      <c r="P29" s="16">
        <v>26192</v>
      </c>
      <c r="Q29" s="16">
        <v>3960</v>
      </c>
      <c r="R29" s="16">
        <v>1138</v>
      </c>
      <c r="S29" s="16">
        <v>31290</v>
      </c>
    </row>
    <row r="30" spans="1:19" x14ac:dyDescent="0.3">
      <c r="A30" s="11"/>
      <c r="B30" s="21"/>
      <c r="C30" s="16">
        <v>12.95</v>
      </c>
      <c r="D30" s="16">
        <v>6.75</v>
      </c>
      <c r="E30" s="16">
        <v>19.7</v>
      </c>
      <c r="H30" s="8">
        <f>D29</f>
        <v>3960</v>
      </c>
      <c r="I30" s="8">
        <f>D31</f>
        <v>34.25</v>
      </c>
      <c r="K30" s="8" t="str">
        <f t="shared" ref="K30" si="4">TEXT(H30,"#,##0")&amp;" ("&amp;TEXT(I30,"0.00")&amp;")"</f>
        <v>3,960 (34.25)</v>
      </c>
      <c r="N30" s="11"/>
      <c r="O30" s="21"/>
      <c r="P30" s="16">
        <v>44.63</v>
      </c>
      <c r="Q30" s="16">
        <v>6.75</v>
      </c>
      <c r="R30" s="16">
        <v>1.94</v>
      </c>
      <c r="S30" s="16">
        <v>53.32</v>
      </c>
    </row>
    <row r="31" spans="1:19" x14ac:dyDescent="0.3">
      <c r="A31" s="11"/>
      <c r="B31" s="21"/>
      <c r="C31" s="16">
        <v>65.75</v>
      </c>
      <c r="D31" s="16">
        <v>34.25</v>
      </c>
      <c r="E31" s="16"/>
      <c r="N31" s="11"/>
      <c r="O31" s="21"/>
      <c r="P31" s="16">
        <v>83.71</v>
      </c>
      <c r="Q31" s="16">
        <v>12.66</v>
      </c>
      <c r="R31" s="16">
        <v>3.64</v>
      </c>
      <c r="S31" s="16"/>
    </row>
    <row r="32" spans="1:19" x14ac:dyDescent="0.3">
      <c r="A32" s="11"/>
      <c r="B32" s="21"/>
      <c r="C32" s="16">
        <v>27.74</v>
      </c>
      <c r="D32" s="16">
        <v>12.66</v>
      </c>
      <c r="E32" s="16"/>
      <c r="N32" s="11"/>
      <c r="O32" s="21"/>
      <c r="P32" s="16">
        <v>68.72</v>
      </c>
      <c r="Q32" s="16">
        <v>34.25</v>
      </c>
      <c r="R32" s="16">
        <v>12.63</v>
      </c>
      <c r="S32" s="16"/>
    </row>
    <row r="33" spans="1:19" x14ac:dyDescent="0.3">
      <c r="A33" s="11"/>
      <c r="B33" s="21">
        <v>3</v>
      </c>
      <c r="C33" s="16">
        <v>7873</v>
      </c>
      <c r="D33" s="16">
        <v>1138</v>
      </c>
      <c r="E33" s="16">
        <v>9011</v>
      </c>
      <c r="H33" s="8">
        <f>C33</f>
        <v>7873</v>
      </c>
      <c r="I33" s="8">
        <f>C35</f>
        <v>87.37</v>
      </c>
      <c r="K33" s="8" t="str">
        <f>TEXT(H33,"#,##0")&amp;" ("&amp;TEXT(I33,"0.00")&amp;")"</f>
        <v>7,873 (87.37)</v>
      </c>
      <c r="N33" s="11"/>
      <c r="O33" s="21" t="s">
        <v>52</v>
      </c>
      <c r="P33" s="16">
        <v>38114</v>
      </c>
      <c r="Q33" s="16">
        <v>11561</v>
      </c>
      <c r="R33" s="16">
        <v>9011</v>
      </c>
      <c r="S33" s="16">
        <v>58686</v>
      </c>
    </row>
    <row r="34" spans="1:19" x14ac:dyDescent="0.3">
      <c r="A34" s="11"/>
      <c r="B34" s="21"/>
      <c r="C34" s="16">
        <v>13.42</v>
      </c>
      <c r="D34" s="16">
        <v>1.94</v>
      </c>
      <c r="E34" s="16">
        <v>15.35</v>
      </c>
      <c r="H34" s="8">
        <f>D33</f>
        <v>1138</v>
      </c>
      <c r="I34" s="8">
        <f>D35</f>
        <v>12.63</v>
      </c>
      <c r="K34" s="8" t="str">
        <f t="shared" ref="K34" si="5">TEXT(H34,"#,##0")&amp;" ("&amp;TEXT(I34,"0.00")&amp;")"</f>
        <v>1,138 (12.63)</v>
      </c>
      <c r="N34" s="11"/>
      <c r="O34" s="21"/>
      <c r="P34" s="16">
        <v>64.95</v>
      </c>
      <c r="Q34" s="16">
        <v>19.7</v>
      </c>
      <c r="R34" s="16">
        <v>15.35</v>
      </c>
      <c r="S34" s="16">
        <v>100</v>
      </c>
    </row>
    <row r="35" spans="1:19" x14ac:dyDescent="0.3">
      <c r="A35" s="11"/>
      <c r="B35" s="21"/>
      <c r="C35" s="16">
        <v>87.37</v>
      </c>
      <c r="D35" s="16">
        <v>12.63</v>
      </c>
      <c r="E35" s="16"/>
      <c r="N35" s="11"/>
      <c r="O35" s="22"/>
      <c r="P35" s="22"/>
      <c r="Q35" s="22"/>
      <c r="R35" s="22"/>
      <c r="S35" s="22"/>
    </row>
    <row r="36" spans="1:19" ht="16.5" thickBot="1" x14ac:dyDescent="0.35">
      <c r="A36" s="11"/>
      <c r="B36" s="21"/>
      <c r="C36" s="16">
        <v>28.74</v>
      </c>
      <c r="D36" s="16">
        <v>3.64</v>
      </c>
      <c r="E36" s="16"/>
    </row>
    <row r="37" spans="1:19" ht="16.5" customHeight="1" x14ac:dyDescent="0.3">
      <c r="A37" s="11"/>
      <c r="B37" s="21" t="s">
        <v>52</v>
      </c>
      <c r="C37" s="16">
        <v>27396</v>
      </c>
      <c r="D37" s="16">
        <v>31290</v>
      </c>
      <c r="E37" s="16">
        <v>58686</v>
      </c>
      <c r="N37" s="14" t="s">
        <v>47</v>
      </c>
      <c r="O37" s="23" t="s">
        <v>56</v>
      </c>
      <c r="P37" s="24"/>
      <c r="Q37" s="24"/>
      <c r="R37" s="24"/>
      <c r="S37" s="24"/>
    </row>
    <row r="38" spans="1:19" ht="16.5" customHeight="1" x14ac:dyDescent="0.3">
      <c r="A38" s="11"/>
      <c r="B38" s="21"/>
      <c r="C38" s="16">
        <v>46.68</v>
      </c>
      <c r="D38" s="16">
        <v>53.32</v>
      </c>
      <c r="E38" s="16">
        <v>100</v>
      </c>
      <c r="N38" s="10" t="s">
        <v>50</v>
      </c>
      <c r="O38" s="21" t="s">
        <v>5</v>
      </c>
      <c r="P38" s="25" t="s">
        <v>21</v>
      </c>
      <c r="Q38" s="25"/>
      <c r="R38" s="25"/>
      <c r="S38" s="25"/>
    </row>
    <row r="39" spans="1:19" ht="34.5" x14ac:dyDescent="0.3">
      <c r="A39" s="11"/>
      <c r="B39" s="22"/>
      <c r="C39" s="22"/>
      <c r="D39" s="22"/>
      <c r="E39" s="22"/>
      <c r="N39" s="10" t="s">
        <v>51</v>
      </c>
      <c r="O39" s="21"/>
      <c r="P39" s="15">
        <v>1</v>
      </c>
      <c r="Q39" s="15">
        <v>2</v>
      </c>
      <c r="R39" s="15">
        <v>3</v>
      </c>
      <c r="S39" s="15" t="s">
        <v>52</v>
      </c>
    </row>
    <row r="40" spans="1:19" ht="35.25" thickBot="1" x14ac:dyDescent="0.35">
      <c r="N40" s="10" t="s">
        <v>53</v>
      </c>
      <c r="O40" s="21">
        <v>1</v>
      </c>
      <c r="P40" s="16">
        <v>31827</v>
      </c>
      <c r="Q40" s="16">
        <v>8830</v>
      </c>
      <c r="R40" s="16">
        <v>6444</v>
      </c>
      <c r="S40" s="16">
        <v>47101</v>
      </c>
    </row>
    <row r="41" spans="1:19" ht="16.5" customHeight="1" x14ac:dyDescent="0.3">
      <c r="A41" s="14" t="s">
        <v>47</v>
      </c>
      <c r="B41" s="23" t="s">
        <v>57</v>
      </c>
      <c r="C41" s="24"/>
      <c r="D41" s="24"/>
      <c r="E41" s="24"/>
      <c r="N41" s="11"/>
      <c r="O41" s="21"/>
      <c r="P41" s="16">
        <v>54.23</v>
      </c>
      <c r="Q41" s="16">
        <v>15.05</v>
      </c>
      <c r="R41" s="16">
        <v>10.98</v>
      </c>
      <c r="S41" s="16">
        <v>80.260000000000005</v>
      </c>
    </row>
    <row r="42" spans="1:19" ht="16.5" customHeight="1" x14ac:dyDescent="0.3">
      <c r="A42" s="10" t="s">
        <v>50</v>
      </c>
      <c r="B42" s="21" t="s">
        <v>21</v>
      </c>
      <c r="C42" s="25" t="s">
        <v>5</v>
      </c>
      <c r="D42" s="25"/>
      <c r="E42" s="25"/>
      <c r="N42" s="11"/>
      <c r="O42" s="21"/>
      <c r="P42" s="16">
        <v>67.569999999999993</v>
      </c>
      <c r="Q42" s="16">
        <v>18.75</v>
      </c>
      <c r="R42" s="16">
        <v>13.68</v>
      </c>
      <c r="S42" s="16"/>
    </row>
    <row r="43" spans="1:19" ht="34.5" x14ac:dyDescent="0.3">
      <c r="A43" s="10" t="s">
        <v>51</v>
      </c>
      <c r="B43" s="21"/>
      <c r="C43" s="15">
        <v>1</v>
      </c>
      <c r="D43" s="15">
        <v>2</v>
      </c>
      <c r="E43" s="15" t="s">
        <v>52</v>
      </c>
      <c r="N43" s="11"/>
      <c r="O43" s="21"/>
      <c r="P43" s="16">
        <v>83.5</v>
      </c>
      <c r="Q43" s="16">
        <v>76.38</v>
      </c>
      <c r="R43" s="16">
        <v>71.510000000000005</v>
      </c>
      <c r="S43" s="16"/>
    </row>
    <row r="44" spans="1:19" ht="34.5" x14ac:dyDescent="0.3">
      <c r="A44" s="10" t="s">
        <v>53</v>
      </c>
      <c r="B44" s="21">
        <v>1</v>
      </c>
      <c r="C44" s="16">
        <v>31827</v>
      </c>
      <c r="D44" s="16">
        <v>6287</v>
      </c>
      <c r="E44" s="16">
        <v>38114</v>
      </c>
      <c r="H44" s="8">
        <f>C44</f>
        <v>31827</v>
      </c>
      <c r="I44" s="8">
        <f>C46</f>
        <v>83.5</v>
      </c>
      <c r="K44" s="8" t="str">
        <f>TEXT(H44,"#,##0")&amp;" ("&amp;TEXT(I44,"0.00")&amp;")"</f>
        <v>31,827 (83.50)</v>
      </c>
      <c r="N44" s="11"/>
      <c r="O44" s="21">
        <v>2</v>
      </c>
      <c r="P44" s="16">
        <v>6287</v>
      </c>
      <c r="Q44" s="16">
        <v>2731</v>
      </c>
      <c r="R44" s="16">
        <v>2567</v>
      </c>
      <c r="S44" s="16">
        <v>11585</v>
      </c>
    </row>
    <row r="45" spans="1:19" x14ac:dyDescent="0.3">
      <c r="A45" s="11"/>
      <c r="B45" s="21"/>
      <c r="C45" s="16">
        <v>54.23</v>
      </c>
      <c r="D45" s="16">
        <v>10.71</v>
      </c>
      <c r="E45" s="16">
        <v>64.95</v>
      </c>
      <c r="H45" s="8">
        <f>D44</f>
        <v>6287</v>
      </c>
      <c r="I45" s="8">
        <f>D46</f>
        <v>16.5</v>
      </c>
      <c r="K45" s="8" t="str">
        <f t="shared" ref="K45" si="6">TEXT(H45,"#,##0")&amp;" ("&amp;TEXT(I45,"0.00")&amp;")"</f>
        <v>6,287 (16.50)</v>
      </c>
      <c r="N45" s="11"/>
      <c r="O45" s="21"/>
      <c r="P45" s="16">
        <v>10.71</v>
      </c>
      <c r="Q45" s="16">
        <v>4.6500000000000004</v>
      </c>
      <c r="R45" s="16">
        <v>4.37</v>
      </c>
      <c r="S45" s="16">
        <v>19.739999999999998</v>
      </c>
    </row>
    <row r="46" spans="1:19" x14ac:dyDescent="0.3">
      <c r="A46" s="11"/>
      <c r="B46" s="21"/>
      <c r="C46" s="16">
        <v>83.5</v>
      </c>
      <c r="D46" s="16">
        <v>16.5</v>
      </c>
      <c r="E46" s="16"/>
      <c r="N46" s="11"/>
      <c r="O46" s="21"/>
      <c r="P46" s="16">
        <v>54.27</v>
      </c>
      <c r="Q46" s="16">
        <v>23.57</v>
      </c>
      <c r="R46" s="16">
        <v>22.16</v>
      </c>
      <c r="S46" s="16"/>
    </row>
    <row r="47" spans="1:19" x14ac:dyDescent="0.3">
      <c r="A47" s="11"/>
      <c r="B47" s="21"/>
      <c r="C47" s="16">
        <v>67.569999999999993</v>
      </c>
      <c r="D47" s="16">
        <v>54.27</v>
      </c>
      <c r="E47" s="16"/>
      <c r="N47" s="11"/>
      <c r="O47" s="21"/>
      <c r="P47" s="16">
        <v>16.5</v>
      </c>
      <c r="Q47" s="16">
        <v>23.62</v>
      </c>
      <c r="R47" s="16">
        <v>28.49</v>
      </c>
      <c r="S47" s="16"/>
    </row>
    <row r="48" spans="1:19" x14ac:dyDescent="0.3">
      <c r="A48" s="11"/>
      <c r="B48" s="21">
        <v>2</v>
      </c>
      <c r="C48" s="16">
        <v>8830</v>
      </c>
      <c r="D48" s="16">
        <v>2731</v>
      </c>
      <c r="E48" s="16">
        <v>11561</v>
      </c>
      <c r="H48" s="8">
        <f>C48</f>
        <v>8830</v>
      </c>
      <c r="I48" s="8">
        <f>C50</f>
        <v>76.38</v>
      </c>
      <c r="K48" s="8" t="str">
        <f>TEXT(H48,"#,##0")&amp;" ("&amp;TEXT(I48,"0.00")&amp;")"</f>
        <v>8,830 (76.38)</v>
      </c>
      <c r="N48" s="11"/>
      <c r="O48" s="21" t="s">
        <v>52</v>
      </c>
      <c r="P48" s="16">
        <v>38114</v>
      </c>
      <c r="Q48" s="16">
        <v>11561</v>
      </c>
      <c r="R48" s="16">
        <v>9011</v>
      </c>
      <c r="S48" s="16">
        <v>58686</v>
      </c>
    </row>
    <row r="49" spans="1:19" x14ac:dyDescent="0.3">
      <c r="A49" s="11"/>
      <c r="B49" s="21"/>
      <c r="C49" s="16">
        <v>15.05</v>
      </c>
      <c r="D49" s="16">
        <v>4.6500000000000004</v>
      </c>
      <c r="E49" s="16">
        <v>19.7</v>
      </c>
      <c r="H49" s="8">
        <f>D48</f>
        <v>2731</v>
      </c>
      <c r="I49" s="8">
        <f>D50</f>
        <v>23.62</v>
      </c>
      <c r="K49" s="8" t="str">
        <f t="shared" ref="K49" si="7">TEXT(H49,"#,##0")&amp;" ("&amp;TEXT(I49,"0.00")&amp;")"</f>
        <v>2,731 (23.62)</v>
      </c>
      <c r="N49" s="11"/>
      <c r="O49" s="21"/>
      <c r="P49" s="16">
        <v>64.95</v>
      </c>
      <c r="Q49" s="16">
        <v>19.7</v>
      </c>
      <c r="R49" s="16">
        <v>15.35</v>
      </c>
      <c r="S49" s="16">
        <v>100</v>
      </c>
    </row>
    <row r="50" spans="1:19" x14ac:dyDescent="0.3">
      <c r="A50" s="11"/>
      <c r="B50" s="21"/>
      <c r="C50" s="16">
        <v>76.38</v>
      </c>
      <c r="D50" s="16">
        <v>23.62</v>
      </c>
      <c r="E50" s="16"/>
      <c r="N50" s="11"/>
      <c r="O50" s="22"/>
      <c r="P50" s="22"/>
      <c r="Q50" s="22"/>
      <c r="R50" s="22"/>
      <c r="S50" s="22"/>
    </row>
    <row r="51" spans="1:19" ht="16.5" thickBot="1" x14ac:dyDescent="0.35">
      <c r="A51" s="11"/>
      <c r="B51" s="21"/>
      <c r="C51" s="16">
        <v>18.75</v>
      </c>
      <c r="D51" s="16">
        <v>23.57</v>
      </c>
      <c r="E51" s="16"/>
    </row>
    <row r="52" spans="1:19" ht="16.5" customHeight="1" x14ac:dyDescent="0.3">
      <c r="A52" s="11"/>
      <c r="B52" s="21">
        <v>3</v>
      </c>
      <c r="C52" s="16">
        <v>6444</v>
      </c>
      <c r="D52" s="16">
        <v>2567</v>
      </c>
      <c r="E52" s="16">
        <v>9011</v>
      </c>
      <c r="H52" s="8">
        <f>C52</f>
        <v>6444</v>
      </c>
      <c r="I52" s="8">
        <f>C54</f>
        <v>71.510000000000005</v>
      </c>
      <c r="K52" s="8" t="str">
        <f>TEXT(H52,"#,##0")&amp;" ("&amp;TEXT(I52,"0.00")&amp;")"</f>
        <v>6,444 (71.51)</v>
      </c>
      <c r="N52" s="14" t="s">
        <v>47</v>
      </c>
      <c r="O52" s="23" t="s">
        <v>58</v>
      </c>
      <c r="P52" s="24"/>
      <c r="Q52" s="24"/>
      <c r="R52" s="24"/>
      <c r="S52" s="24"/>
    </row>
    <row r="53" spans="1:19" ht="16.5" customHeight="1" x14ac:dyDescent="0.3">
      <c r="A53" s="11"/>
      <c r="B53" s="21"/>
      <c r="C53" s="16">
        <v>10.98</v>
      </c>
      <c r="D53" s="16">
        <v>4.37</v>
      </c>
      <c r="E53" s="16">
        <v>15.35</v>
      </c>
      <c r="H53" s="8">
        <f>D52</f>
        <v>2567</v>
      </c>
      <c r="I53" s="8">
        <f>D54</f>
        <v>28.49</v>
      </c>
      <c r="K53" s="8" t="str">
        <f t="shared" ref="K53" si="8">TEXT(H53,"#,##0")&amp;" ("&amp;TEXT(I53,"0.00")&amp;")"</f>
        <v>2,567 (28.49)</v>
      </c>
      <c r="N53" s="10" t="s">
        <v>50</v>
      </c>
      <c r="O53" s="21" t="s">
        <v>6</v>
      </c>
      <c r="P53" s="25" t="s">
        <v>21</v>
      </c>
      <c r="Q53" s="25"/>
      <c r="R53" s="25"/>
      <c r="S53" s="25"/>
    </row>
    <row r="54" spans="1:19" ht="34.5" x14ac:dyDescent="0.3">
      <c r="A54" s="11"/>
      <c r="B54" s="21"/>
      <c r="C54" s="16">
        <v>71.510000000000005</v>
      </c>
      <c r="D54" s="16">
        <v>28.49</v>
      </c>
      <c r="E54" s="16"/>
      <c r="N54" s="10" t="s">
        <v>51</v>
      </c>
      <c r="O54" s="21"/>
      <c r="P54" s="15">
        <v>1</v>
      </c>
      <c r="Q54" s="15">
        <v>2</v>
      </c>
      <c r="R54" s="15">
        <v>3</v>
      </c>
      <c r="S54" s="15" t="s">
        <v>52</v>
      </c>
    </row>
    <row r="55" spans="1:19" ht="34.5" x14ac:dyDescent="0.3">
      <c r="A55" s="11"/>
      <c r="B55" s="21"/>
      <c r="C55" s="16">
        <v>13.68</v>
      </c>
      <c r="D55" s="16">
        <v>22.16</v>
      </c>
      <c r="E55" s="16"/>
      <c r="N55" s="10" t="s">
        <v>53</v>
      </c>
      <c r="O55" s="21">
        <v>1</v>
      </c>
      <c r="P55" s="16">
        <v>2529</v>
      </c>
      <c r="Q55" s="16">
        <v>2475</v>
      </c>
      <c r="R55" s="16">
        <v>2174</v>
      </c>
      <c r="S55" s="16">
        <v>7178</v>
      </c>
    </row>
    <row r="56" spans="1:19" x14ac:dyDescent="0.3">
      <c r="A56" s="11"/>
      <c r="B56" s="21" t="s">
        <v>52</v>
      </c>
      <c r="C56" s="16">
        <v>47101</v>
      </c>
      <c r="D56" s="16">
        <v>11585</v>
      </c>
      <c r="E56" s="16">
        <v>58686</v>
      </c>
      <c r="N56" s="11"/>
      <c r="O56" s="21"/>
      <c r="P56" s="16">
        <v>4.3099999999999996</v>
      </c>
      <c r="Q56" s="16">
        <v>4.22</v>
      </c>
      <c r="R56" s="16">
        <v>3.7</v>
      </c>
      <c r="S56" s="16">
        <v>12.23</v>
      </c>
    </row>
    <row r="57" spans="1:19" x14ac:dyDescent="0.3">
      <c r="A57" s="11"/>
      <c r="B57" s="21"/>
      <c r="C57" s="16">
        <v>80.260000000000005</v>
      </c>
      <c r="D57" s="16">
        <v>19.739999999999998</v>
      </c>
      <c r="E57" s="16">
        <v>100</v>
      </c>
      <c r="N57" s="11"/>
      <c r="O57" s="21"/>
      <c r="P57" s="16">
        <v>35.229999999999997</v>
      </c>
      <c r="Q57" s="16">
        <v>34.479999999999997</v>
      </c>
      <c r="R57" s="16">
        <v>30.29</v>
      </c>
      <c r="S57" s="16"/>
    </row>
    <row r="58" spans="1:19" x14ac:dyDescent="0.3">
      <c r="A58" s="11"/>
      <c r="B58" s="22"/>
      <c r="C58" s="22"/>
      <c r="D58" s="22"/>
      <c r="E58" s="22"/>
      <c r="N58" s="11"/>
      <c r="O58" s="21"/>
      <c r="P58" s="16">
        <v>6.64</v>
      </c>
      <c r="Q58" s="16">
        <v>21.41</v>
      </c>
      <c r="R58" s="16">
        <v>24.13</v>
      </c>
      <c r="S58" s="16"/>
    </row>
    <row r="59" spans="1:19" ht="16.5" thickBot="1" x14ac:dyDescent="0.35">
      <c r="N59" s="11"/>
      <c r="O59" s="21">
        <v>2</v>
      </c>
      <c r="P59" s="16">
        <v>3344</v>
      </c>
      <c r="Q59" s="16">
        <v>2128</v>
      </c>
      <c r="R59" s="16">
        <v>2046</v>
      </c>
      <c r="S59" s="16">
        <v>7518</v>
      </c>
    </row>
    <row r="60" spans="1:19" ht="16.5" customHeight="1" x14ac:dyDescent="0.3">
      <c r="A60" s="14" t="s">
        <v>47</v>
      </c>
      <c r="B60" s="23" t="s">
        <v>59</v>
      </c>
      <c r="C60" s="24"/>
      <c r="D60" s="24"/>
      <c r="E60" s="24"/>
      <c r="F60" s="24"/>
      <c r="G60" s="24"/>
      <c r="N60" s="11"/>
      <c r="O60" s="21"/>
      <c r="P60" s="16">
        <v>5.7</v>
      </c>
      <c r="Q60" s="16">
        <v>3.63</v>
      </c>
      <c r="R60" s="16">
        <v>3.49</v>
      </c>
      <c r="S60" s="16">
        <v>12.81</v>
      </c>
    </row>
    <row r="61" spans="1:19" ht="16.5" customHeight="1" x14ac:dyDescent="0.3">
      <c r="A61" s="10" t="s">
        <v>50</v>
      </c>
      <c r="B61" s="21" t="s">
        <v>21</v>
      </c>
      <c r="C61" s="25" t="s">
        <v>6</v>
      </c>
      <c r="D61" s="25"/>
      <c r="E61" s="25"/>
      <c r="F61" s="25"/>
      <c r="G61" s="25"/>
      <c r="N61" s="11"/>
      <c r="O61" s="21"/>
      <c r="P61" s="16">
        <v>44.48</v>
      </c>
      <c r="Q61" s="16">
        <v>28.31</v>
      </c>
      <c r="R61" s="16">
        <v>27.21</v>
      </c>
      <c r="S61" s="16"/>
    </row>
    <row r="62" spans="1:19" ht="34.5" x14ac:dyDescent="0.3">
      <c r="A62" s="10" t="s">
        <v>51</v>
      </c>
      <c r="B62" s="21"/>
      <c r="C62" s="15">
        <v>1</v>
      </c>
      <c r="D62" s="15">
        <v>2</v>
      </c>
      <c r="E62" s="15">
        <v>3</v>
      </c>
      <c r="F62" s="15">
        <v>4</v>
      </c>
      <c r="G62" s="15" t="s">
        <v>52</v>
      </c>
      <c r="N62" s="11"/>
      <c r="O62" s="21"/>
      <c r="P62" s="16">
        <v>8.77</v>
      </c>
      <c r="Q62" s="16">
        <v>18.41</v>
      </c>
      <c r="R62" s="16">
        <v>22.71</v>
      </c>
      <c r="S62" s="16"/>
    </row>
    <row r="63" spans="1:19" ht="34.5" x14ac:dyDescent="0.3">
      <c r="A63" s="10" t="s">
        <v>53</v>
      </c>
      <c r="B63" s="21">
        <v>1</v>
      </c>
      <c r="C63" s="16">
        <v>2529</v>
      </c>
      <c r="D63" s="16">
        <v>3344</v>
      </c>
      <c r="E63" s="16">
        <v>10982</v>
      </c>
      <c r="F63" s="16">
        <v>21259</v>
      </c>
      <c r="G63" s="16">
        <v>38114</v>
      </c>
      <c r="H63" s="8">
        <f>C63</f>
        <v>2529</v>
      </c>
      <c r="I63" s="8">
        <f>C65</f>
        <v>6.64</v>
      </c>
      <c r="K63" s="8" t="str">
        <f>TEXT(H63,"#,##0")&amp;" ("&amp;TEXT(I63,"0.00")&amp;")"</f>
        <v>2,529 (6.64)</v>
      </c>
      <c r="N63" s="11"/>
      <c r="O63" s="21">
        <v>3</v>
      </c>
      <c r="P63" s="16">
        <v>10982</v>
      </c>
      <c r="Q63" s="16">
        <v>3357</v>
      </c>
      <c r="R63" s="16">
        <v>2621</v>
      </c>
      <c r="S63" s="16">
        <v>16960</v>
      </c>
    </row>
    <row r="64" spans="1:19" x14ac:dyDescent="0.3">
      <c r="A64" s="11"/>
      <c r="B64" s="21"/>
      <c r="C64" s="16">
        <v>4.3099999999999996</v>
      </c>
      <c r="D64" s="16">
        <v>5.7</v>
      </c>
      <c r="E64" s="16">
        <v>18.71</v>
      </c>
      <c r="F64" s="16">
        <v>36.22</v>
      </c>
      <c r="G64" s="16">
        <v>64.95</v>
      </c>
      <c r="H64" s="8">
        <f>D63</f>
        <v>3344</v>
      </c>
      <c r="I64" s="8">
        <f>D65</f>
        <v>8.77</v>
      </c>
      <c r="K64" s="8" t="str">
        <f t="shared" ref="K64:K66" si="9">TEXT(H64,"#,##0")&amp;" ("&amp;TEXT(I64,"0.00")&amp;")"</f>
        <v>3,344 (8.77)</v>
      </c>
      <c r="N64" s="11"/>
      <c r="O64" s="21"/>
      <c r="P64" s="16">
        <v>18.71</v>
      </c>
      <c r="Q64" s="16">
        <v>5.72</v>
      </c>
      <c r="R64" s="16">
        <v>4.47</v>
      </c>
      <c r="S64" s="16">
        <v>28.9</v>
      </c>
    </row>
    <row r="65" spans="1:19" x14ac:dyDescent="0.3">
      <c r="A65" s="11"/>
      <c r="B65" s="21"/>
      <c r="C65" s="16">
        <v>6.64</v>
      </c>
      <c r="D65" s="16">
        <v>8.77</v>
      </c>
      <c r="E65" s="16">
        <v>28.81</v>
      </c>
      <c r="F65" s="16">
        <v>55.78</v>
      </c>
      <c r="G65" s="16"/>
      <c r="H65" s="8">
        <f>E63</f>
        <v>10982</v>
      </c>
      <c r="I65" s="8">
        <f>E65</f>
        <v>28.81</v>
      </c>
      <c r="K65" s="8" t="str">
        <f t="shared" si="9"/>
        <v>10,982 (28.81)</v>
      </c>
      <c r="N65" s="11"/>
      <c r="O65" s="21"/>
      <c r="P65" s="16">
        <v>64.75</v>
      </c>
      <c r="Q65" s="16">
        <v>19.79</v>
      </c>
      <c r="R65" s="16">
        <v>15.45</v>
      </c>
      <c r="S65" s="16"/>
    </row>
    <row r="66" spans="1:19" x14ac:dyDescent="0.3">
      <c r="A66" s="11"/>
      <c r="B66" s="21"/>
      <c r="C66" s="16">
        <v>35.229999999999997</v>
      </c>
      <c r="D66" s="16">
        <v>44.48</v>
      </c>
      <c r="E66" s="16">
        <v>64.75</v>
      </c>
      <c r="F66" s="16">
        <v>78.650000000000006</v>
      </c>
      <c r="G66" s="16"/>
      <c r="H66" s="8">
        <f>F63</f>
        <v>21259</v>
      </c>
      <c r="I66" s="8">
        <f>F65</f>
        <v>55.78</v>
      </c>
      <c r="K66" s="8" t="str">
        <f t="shared" si="9"/>
        <v>21,259 (55.78)</v>
      </c>
      <c r="N66" s="11"/>
      <c r="O66" s="21"/>
      <c r="P66" s="16">
        <v>28.81</v>
      </c>
      <c r="Q66" s="16">
        <v>29.04</v>
      </c>
      <c r="R66" s="16">
        <v>29.09</v>
      </c>
      <c r="S66" s="16"/>
    </row>
    <row r="67" spans="1:19" x14ac:dyDescent="0.3">
      <c r="A67" s="11"/>
      <c r="B67" s="21">
        <v>2</v>
      </c>
      <c r="C67" s="16">
        <v>2475</v>
      </c>
      <c r="D67" s="16">
        <v>2128</v>
      </c>
      <c r="E67" s="16">
        <v>3357</v>
      </c>
      <c r="F67" s="16">
        <v>3601</v>
      </c>
      <c r="G67" s="16">
        <v>11561</v>
      </c>
      <c r="H67" s="8">
        <f>C67</f>
        <v>2475</v>
      </c>
      <c r="I67" s="8">
        <f>C69</f>
        <v>21.41</v>
      </c>
      <c r="K67" s="8" t="str">
        <f>TEXT(H67,"#,##0")&amp;" ("&amp;TEXT(I67,"0.00")&amp;")"</f>
        <v>2,475 (21.41)</v>
      </c>
      <c r="N67" s="11"/>
      <c r="O67" s="21">
        <v>4</v>
      </c>
      <c r="P67" s="16">
        <v>21259</v>
      </c>
      <c r="Q67" s="16">
        <v>3601</v>
      </c>
      <c r="R67" s="16">
        <v>2170</v>
      </c>
      <c r="S67" s="16">
        <v>27030</v>
      </c>
    </row>
    <row r="68" spans="1:19" x14ac:dyDescent="0.3">
      <c r="A68" s="11"/>
      <c r="B68" s="21"/>
      <c r="C68" s="16">
        <v>4.22</v>
      </c>
      <c r="D68" s="16">
        <v>3.63</v>
      </c>
      <c r="E68" s="16">
        <v>5.72</v>
      </c>
      <c r="F68" s="16">
        <v>6.14</v>
      </c>
      <c r="G68" s="16">
        <v>19.7</v>
      </c>
      <c r="H68" s="8">
        <f>D67</f>
        <v>2128</v>
      </c>
      <c r="I68" s="8">
        <f>D69</f>
        <v>18.41</v>
      </c>
      <c r="K68" s="8" t="str">
        <f t="shared" ref="K68:K70" si="10">TEXT(H68,"#,##0")&amp;" ("&amp;TEXT(I68,"0.00")&amp;")"</f>
        <v>2,128 (18.41)</v>
      </c>
      <c r="N68" s="11"/>
      <c r="O68" s="21"/>
      <c r="P68" s="16">
        <v>36.22</v>
      </c>
      <c r="Q68" s="16">
        <v>6.14</v>
      </c>
      <c r="R68" s="16">
        <v>3.7</v>
      </c>
      <c r="S68" s="16">
        <v>46.06</v>
      </c>
    </row>
    <row r="69" spans="1:19" x14ac:dyDescent="0.3">
      <c r="A69" s="11"/>
      <c r="B69" s="21"/>
      <c r="C69" s="16">
        <v>21.41</v>
      </c>
      <c r="D69" s="16">
        <v>18.41</v>
      </c>
      <c r="E69" s="16">
        <v>29.04</v>
      </c>
      <c r="F69" s="16">
        <v>31.15</v>
      </c>
      <c r="G69" s="16"/>
      <c r="H69" s="8">
        <f>E67</f>
        <v>3357</v>
      </c>
      <c r="I69" s="8">
        <f>E69</f>
        <v>29.04</v>
      </c>
      <c r="K69" s="8" t="str">
        <f t="shared" si="10"/>
        <v>3,357 (29.04)</v>
      </c>
      <c r="N69" s="11"/>
      <c r="O69" s="21"/>
      <c r="P69" s="16">
        <v>78.650000000000006</v>
      </c>
      <c r="Q69" s="16">
        <v>13.32</v>
      </c>
      <c r="R69" s="16">
        <v>8.0299999999999994</v>
      </c>
      <c r="S69" s="16"/>
    </row>
    <row r="70" spans="1:19" x14ac:dyDescent="0.3">
      <c r="A70" s="11"/>
      <c r="B70" s="21"/>
      <c r="C70" s="16">
        <v>34.479999999999997</v>
      </c>
      <c r="D70" s="16">
        <v>28.31</v>
      </c>
      <c r="E70" s="16">
        <v>19.79</v>
      </c>
      <c r="F70" s="16">
        <v>13.32</v>
      </c>
      <c r="G70" s="16"/>
      <c r="H70" s="8">
        <f>F67</f>
        <v>3601</v>
      </c>
      <c r="I70" s="8">
        <f>F69</f>
        <v>31.15</v>
      </c>
      <c r="K70" s="8" t="str">
        <f t="shared" si="10"/>
        <v>3,601 (31.15)</v>
      </c>
      <c r="N70" s="11"/>
      <c r="O70" s="21"/>
      <c r="P70" s="16">
        <v>55.78</v>
      </c>
      <c r="Q70" s="16">
        <v>31.15</v>
      </c>
      <c r="R70" s="16">
        <v>24.08</v>
      </c>
      <c r="S70" s="16"/>
    </row>
    <row r="71" spans="1:19" x14ac:dyDescent="0.3">
      <c r="A71" s="11"/>
      <c r="B71" s="21">
        <v>3</v>
      </c>
      <c r="C71" s="16">
        <v>2174</v>
      </c>
      <c r="D71" s="16">
        <v>2046</v>
      </c>
      <c r="E71" s="16">
        <v>2621</v>
      </c>
      <c r="F71" s="16">
        <v>2170</v>
      </c>
      <c r="G71" s="16">
        <v>9011</v>
      </c>
      <c r="H71" s="8">
        <f>C71</f>
        <v>2174</v>
      </c>
      <c r="I71" s="8">
        <f>C73</f>
        <v>24.13</v>
      </c>
      <c r="K71" s="8" t="str">
        <f>TEXT(H71,"#,##0")&amp;" ("&amp;TEXT(I71,"0.00")&amp;")"</f>
        <v>2,174 (24.13)</v>
      </c>
      <c r="N71" s="11"/>
      <c r="O71" s="21" t="s">
        <v>52</v>
      </c>
      <c r="P71" s="16">
        <v>38114</v>
      </c>
      <c r="Q71" s="16">
        <v>11561</v>
      </c>
      <c r="R71" s="16">
        <v>9011</v>
      </c>
      <c r="S71" s="16">
        <v>58686</v>
      </c>
    </row>
    <row r="72" spans="1:19" x14ac:dyDescent="0.3">
      <c r="A72" s="11"/>
      <c r="B72" s="21"/>
      <c r="C72" s="16">
        <v>3.7</v>
      </c>
      <c r="D72" s="16">
        <v>3.49</v>
      </c>
      <c r="E72" s="16">
        <v>4.47</v>
      </c>
      <c r="F72" s="16">
        <v>3.7</v>
      </c>
      <c r="G72" s="16">
        <v>15.35</v>
      </c>
      <c r="H72" s="8">
        <f>D71</f>
        <v>2046</v>
      </c>
      <c r="I72" s="8">
        <f>D73</f>
        <v>22.71</v>
      </c>
      <c r="K72" s="8" t="str">
        <f t="shared" ref="K72:K74" si="11">TEXT(H72,"#,##0")&amp;" ("&amp;TEXT(I72,"0.00")&amp;")"</f>
        <v>2,046 (22.71)</v>
      </c>
      <c r="N72" s="11"/>
      <c r="O72" s="21"/>
      <c r="P72" s="16">
        <v>64.95</v>
      </c>
      <c r="Q72" s="16">
        <v>19.7</v>
      </c>
      <c r="R72" s="16">
        <v>15.35</v>
      </c>
      <c r="S72" s="16">
        <v>100</v>
      </c>
    </row>
    <row r="73" spans="1:19" x14ac:dyDescent="0.3">
      <c r="A73" s="11"/>
      <c r="B73" s="21"/>
      <c r="C73" s="16">
        <v>24.13</v>
      </c>
      <c r="D73" s="16">
        <v>22.71</v>
      </c>
      <c r="E73" s="16">
        <v>29.09</v>
      </c>
      <c r="F73" s="16">
        <v>24.08</v>
      </c>
      <c r="G73" s="16"/>
      <c r="H73" s="8">
        <f>E71</f>
        <v>2621</v>
      </c>
      <c r="I73" s="8">
        <f>E73</f>
        <v>29.09</v>
      </c>
      <c r="K73" s="8" t="str">
        <f t="shared" si="11"/>
        <v>2,621 (29.09)</v>
      </c>
      <c r="N73" s="11"/>
      <c r="O73" s="22"/>
      <c r="P73" s="22"/>
      <c r="Q73" s="22"/>
      <c r="R73" s="22"/>
      <c r="S73" s="22"/>
    </row>
    <row r="74" spans="1:19" ht="16.5" thickBot="1" x14ac:dyDescent="0.35">
      <c r="A74" s="11"/>
      <c r="B74" s="21"/>
      <c r="C74" s="16">
        <v>30.29</v>
      </c>
      <c r="D74" s="16">
        <v>27.21</v>
      </c>
      <c r="E74" s="16">
        <v>15.45</v>
      </c>
      <c r="F74" s="16">
        <v>8.0299999999999994</v>
      </c>
      <c r="G74" s="16"/>
      <c r="H74" s="8">
        <f>F71</f>
        <v>2170</v>
      </c>
      <c r="I74" s="8">
        <f>F73</f>
        <v>24.08</v>
      </c>
      <c r="K74" s="8" t="str">
        <f t="shared" si="11"/>
        <v>2,170 (24.08)</v>
      </c>
    </row>
    <row r="75" spans="1:19" ht="16.5" customHeight="1" x14ac:dyDescent="0.3">
      <c r="A75" s="11"/>
      <c r="B75" s="21" t="s">
        <v>52</v>
      </c>
      <c r="C75" s="16">
        <v>7178</v>
      </c>
      <c r="D75" s="16">
        <v>7518</v>
      </c>
      <c r="E75" s="16">
        <v>16960</v>
      </c>
      <c r="F75" s="16">
        <v>27030</v>
      </c>
      <c r="G75" s="16">
        <v>58686</v>
      </c>
      <c r="N75" s="14" t="s">
        <v>47</v>
      </c>
      <c r="O75" s="23" t="s">
        <v>60</v>
      </c>
      <c r="P75" s="24"/>
      <c r="Q75" s="24"/>
      <c r="R75" s="24"/>
      <c r="S75" s="24"/>
    </row>
    <row r="76" spans="1:19" ht="16.5" customHeight="1" x14ac:dyDescent="0.3">
      <c r="A76" s="11"/>
      <c r="B76" s="21"/>
      <c r="C76" s="16">
        <v>12.23</v>
      </c>
      <c r="D76" s="16">
        <v>12.81</v>
      </c>
      <c r="E76" s="16">
        <v>28.9</v>
      </c>
      <c r="F76" s="16">
        <v>46.06</v>
      </c>
      <c r="G76" s="16">
        <v>100</v>
      </c>
      <c r="N76" s="10" t="s">
        <v>50</v>
      </c>
      <c r="O76" s="21" t="s">
        <v>7</v>
      </c>
      <c r="P76" s="25" t="s">
        <v>21</v>
      </c>
      <c r="Q76" s="25"/>
      <c r="R76" s="25"/>
      <c r="S76" s="25"/>
    </row>
    <row r="77" spans="1:19" ht="34.5" x14ac:dyDescent="0.3">
      <c r="A77" s="11"/>
      <c r="B77" s="22"/>
      <c r="C77" s="22"/>
      <c r="D77" s="22"/>
      <c r="E77" s="22"/>
      <c r="F77" s="22"/>
      <c r="G77" s="22"/>
      <c r="N77" s="10" t="s">
        <v>51</v>
      </c>
      <c r="O77" s="21"/>
      <c r="P77" s="15">
        <v>1</v>
      </c>
      <c r="Q77" s="15">
        <v>2</v>
      </c>
      <c r="R77" s="15">
        <v>3</v>
      </c>
      <c r="S77" s="15" t="s">
        <v>52</v>
      </c>
    </row>
    <row r="78" spans="1:19" ht="35.25" thickBot="1" x14ac:dyDescent="0.35">
      <c r="N78" s="10" t="s">
        <v>53</v>
      </c>
      <c r="O78" s="21">
        <v>1</v>
      </c>
      <c r="P78" s="16">
        <v>3427</v>
      </c>
      <c r="Q78" s="16">
        <v>2276</v>
      </c>
      <c r="R78" s="16">
        <v>2601</v>
      </c>
      <c r="S78" s="16">
        <v>8304</v>
      </c>
    </row>
    <row r="79" spans="1:19" ht="16.5" customHeight="1" x14ac:dyDescent="0.3">
      <c r="A79" s="14" t="s">
        <v>47</v>
      </c>
      <c r="B79" s="23" t="s">
        <v>61</v>
      </c>
      <c r="C79" s="24"/>
      <c r="D79" s="24"/>
      <c r="E79" s="24"/>
      <c r="F79" s="24"/>
      <c r="G79" s="24"/>
      <c r="N79" s="11"/>
      <c r="O79" s="21"/>
      <c r="P79" s="16">
        <v>5.84</v>
      </c>
      <c r="Q79" s="16">
        <v>3.88</v>
      </c>
      <c r="R79" s="16">
        <v>4.43</v>
      </c>
      <c r="S79" s="16">
        <v>14.15</v>
      </c>
    </row>
    <row r="80" spans="1:19" ht="16.5" customHeight="1" x14ac:dyDescent="0.3">
      <c r="A80" s="10" t="s">
        <v>50</v>
      </c>
      <c r="B80" s="21" t="s">
        <v>21</v>
      </c>
      <c r="C80" s="25" t="s">
        <v>7</v>
      </c>
      <c r="D80" s="25"/>
      <c r="E80" s="25"/>
      <c r="F80" s="25"/>
      <c r="G80" s="25"/>
      <c r="N80" s="11"/>
      <c r="O80" s="21"/>
      <c r="P80" s="16">
        <v>41.27</v>
      </c>
      <c r="Q80" s="16">
        <v>27.41</v>
      </c>
      <c r="R80" s="16">
        <v>31.32</v>
      </c>
      <c r="S80" s="16"/>
    </row>
    <row r="81" spans="1:19" ht="34.5" x14ac:dyDescent="0.3">
      <c r="A81" s="10" t="s">
        <v>51</v>
      </c>
      <c r="B81" s="21"/>
      <c r="C81" s="15">
        <v>1</v>
      </c>
      <c r="D81" s="15">
        <v>2</v>
      </c>
      <c r="E81" s="15">
        <v>3</v>
      </c>
      <c r="F81" s="15">
        <v>4</v>
      </c>
      <c r="G81" s="15" t="s">
        <v>52</v>
      </c>
      <c r="N81" s="11"/>
      <c r="O81" s="21"/>
      <c r="P81" s="16">
        <v>8.99</v>
      </c>
      <c r="Q81" s="16">
        <v>19.690000000000001</v>
      </c>
      <c r="R81" s="16">
        <v>28.86</v>
      </c>
      <c r="S81" s="16"/>
    </row>
    <row r="82" spans="1:19" ht="34.5" x14ac:dyDescent="0.3">
      <c r="A82" s="10" t="s">
        <v>53</v>
      </c>
      <c r="B82" s="21">
        <v>1</v>
      </c>
      <c r="C82" s="16">
        <v>3427</v>
      </c>
      <c r="D82" s="16">
        <v>9108</v>
      </c>
      <c r="E82" s="16">
        <v>12321</v>
      </c>
      <c r="F82" s="16">
        <v>13258</v>
      </c>
      <c r="G82" s="16">
        <v>38114</v>
      </c>
      <c r="H82" s="8">
        <f>C82</f>
        <v>3427</v>
      </c>
      <c r="I82" s="8">
        <f>C84</f>
        <v>8.99</v>
      </c>
      <c r="K82" s="8" t="str">
        <f>TEXT(H82,"#,##0")&amp;" ("&amp;TEXT(I82,"0.00")&amp;")"</f>
        <v>3,427 (8.99)</v>
      </c>
      <c r="N82" s="11"/>
      <c r="O82" s="21">
        <v>2</v>
      </c>
      <c r="P82" s="16">
        <v>9108</v>
      </c>
      <c r="Q82" s="16">
        <v>3010</v>
      </c>
      <c r="R82" s="16">
        <v>2619</v>
      </c>
      <c r="S82" s="16">
        <v>14737</v>
      </c>
    </row>
    <row r="83" spans="1:19" x14ac:dyDescent="0.3">
      <c r="A83" s="11"/>
      <c r="B83" s="21"/>
      <c r="C83" s="16">
        <v>5.84</v>
      </c>
      <c r="D83" s="16">
        <v>15.52</v>
      </c>
      <c r="E83" s="16">
        <v>20.99</v>
      </c>
      <c r="F83" s="16">
        <v>22.59</v>
      </c>
      <c r="G83" s="16">
        <v>64.95</v>
      </c>
      <c r="H83" s="8">
        <f>D82</f>
        <v>9108</v>
      </c>
      <c r="I83" s="8">
        <f>D84</f>
        <v>23.9</v>
      </c>
      <c r="K83" s="8" t="str">
        <f t="shared" ref="K83:K85" si="12">TEXT(H83,"#,##0")&amp;" ("&amp;TEXT(I83,"0.00")&amp;")"</f>
        <v>9,108 (23.90)</v>
      </c>
      <c r="N83" s="11"/>
      <c r="O83" s="21"/>
      <c r="P83" s="16">
        <v>15.52</v>
      </c>
      <c r="Q83" s="16">
        <v>5.13</v>
      </c>
      <c r="R83" s="16">
        <v>4.46</v>
      </c>
      <c r="S83" s="16">
        <v>25.11</v>
      </c>
    </row>
    <row r="84" spans="1:19" x14ac:dyDescent="0.3">
      <c r="A84" s="11"/>
      <c r="B84" s="21"/>
      <c r="C84" s="16">
        <v>8.99</v>
      </c>
      <c r="D84" s="16">
        <v>23.9</v>
      </c>
      <c r="E84" s="16">
        <v>32.33</v>
      </c>
      <c r="F84" s="16">
        <v>34.79</v>
      </c>
      <c r="G84" s="16"/>
      <c r="H84" s="8">
        <f>E82</f>
        <v>12321</v>
      </c>
      <c r="I84" s="8">
        <f>E84</f>
        <v>32.33</v>
      </c>
      <c r="K84" s="8" t="str">
        <f t="shared" si="12"/>
        <v>12,321 (32.33)</v>
      </c>
      <c r="N84" s="11"/>
      <c r="O84" s="21"/>
      <c r="P84" s="16">
        <v>61.8</v>
      </c>
      <c r="Q84" s="16">
        <v>20.420000000000002</v>
      </c>
      <c r="R84" s="16">
        <v>17.77</v>
      </c>
      <c r="S84" s="16"/>
    </row>
    <row r="85" spans="1:19" x14ac:dyDescent="0.3">
      <c r="A85" s="11"/>
      <c r="B85" s="21"/>
      <c r="C85" s="16">
        <v>41.27</v>
      </c>
      <c r="D85" s="16">
        <v>61.8</v>
      </c>
      <c r="E85" s="16">
        <v>71.010000000000005</v>
      </c>
      <c r="F85" s="16">
        <v>72.47</v>
      </c>
      <c r="G85" s="16"/>
      <c r="H85" s="8">
        <f>F82</f>
        <v>13258</v>
      </c>
      <c r="I85" s="8">
        <f>F84</f>
        <v>34.79</v>
      </c>
      <c r="K85" s="8" t="str">
        <f t="shared" si="12"/>
        <v>13,258 (34.79)</v>
      </c>
      <c r="N85" s="11"/>
      <c r="O85" s="21"/>
      <c r="P85" s="16">
        <v>23.9</v>
      </c>
      <c r="Q85" s="16">
        <v>26.04</v>
      </c>
      <c r="R85" s="16">
        <v>29.06</v>
      </c>
      <c r="S85" s="16"/>
    </row>
    <row r="86" spans="1:19" x14ac:dyDescent="0.3">
      <c r="A86" s="11"/>
      <c r="B86" s="21">
        <v>2</v>
      </c>
      <c r="C86" s="16">
        <v>2276</v>
      </c>
      <c r="D86" s="16">
        <v>3010</v>
      </c>
      <c r="E86" s="16">
        <v>3020</v>
      </c>
      <c r="F86" s="16">
        <v>3255</v>
      </c>
      <c r="G86" s="16">
        <v>11561</v>
      </c>
      <c r="H86" s="8">
        <f>C86</f>
        <v>2276</v>
      </c>
      <c r="I86" s="8">
        <f>C88</f>
        <v>19.690000000000001</v>
      </c>
      <c r="K86" s="8" t="str">
        <f>TEXT(H86,"#,##0")&amp;" ("&amp;TEXT(I86,"0.00")&amp;")"</f>
        <v>2,276 (19.69)</v>
      </c>
      <c r="N86" s="11"/>
      <c r="O86" s="21">
        <v>3</v>
      </c>
      <c r="P86" s="16">
        <v>12321</v>
      </c>
      <c r="Q86" s="16">
        <v>3020</v>
      </c>
      <c r="R86" s="16">
        <v>2009</v>
      </c>
      <c r="S86" s="16">
        <v>17350</v>
      </c>
    </row>
    <row r="87" spans="1:19" x14ac:dyDescent="0.3">
      <c r="A87" s="11"/>
      <c r="B87" s="21"/>
      <c r="C87" s="16">
        <v>3.88</v>
      </c>
      <c r="D87" s="16">
        <v>5.13</v>
      </c>
      <c r="E87" s="16">
        <v>5.15</v>
      </c>
      <c r="F87" s="16">
        <v>5.55</v>
      </c>
      <c r="G87" s="16">
        <v>19.7</v>
      </c>
      <c r="H87" s="8">
        <f>D86</f>
        <v>3010</v>
      </c>
      <c r="I87" s="8">
        <f>D88</f>
        <v>26.04</v>
      </c>
      <c r="K87" s="8" t="str">
        <f t="shared" ref="K87:K89" si="13">TEXT(H87,"#,##0")&amp;" ("&amp;TEXT(I87,"0.00")&amp;")"</f>
        <v>3,010 (26.04)</v>
      </c>
      <c r="N87" s="11"/>
      <c r="O87" s="21"/>
      <c r="P87" s="16">
        <v>20.99</v>
      </c>
      <c r="Q87" s="16">
        <v>5.15</v>
      </c>
      <c r="R87" s="16">
        <v>3.42</v>
      </c>
      <c r="S87" s="16">
        <v>29.56</v>
      </c>
    </row>
    <row r="88" spans="1:19" x14ac:dyDescent="0.3">
      <c r="A88" s="11"/>
      <c r="B88" s="21"/>
      <c r="C88" s="16">
        <v>19.690000000000001</v>
      </c>
      <c r="D88" s="16">
        <v>26.04</v>
      </c>
      <c r="E88" s="16">
        <v>26.12</v>
      </c>
      <c r="F88" s="16">
        <v>28.16</v>
      </c>
      <c r="G88" s="16"/>
      <c r="H88" s="8">
        <f>E86</f>
        <v>3020</v>
      </c>
      <c r="I88" s="8">
        <f>E88</f>
        <v>26.12</v>
      </c>
      <c r="K88" s="8" t="str">
        <f t="shared" si="13"/>
        <v>3,020 (26.12)</v>
      </c>
      <c r="N88" s="11"/>
      <c r="O88" s="21"/>
      <c r="P88" s="16">
        <v>71.010000000000005</v>
      </c>
      <c r="Q88" s="16">
        <v>17.41</v>
      </c>
      <c r="R88" s="16">
        <v>11.58</v>
      </c>
      <c r="S88" s="16"/>
    </row>
    <row r="89" spans="1:19" x14ac:dyDescent="0.3">
      <c r="A89" s="11"/>
      <c r="B89" s="21"/>
      <c r="C89" s="16">
        <v>27.41</v>
      </c>
      <c r="D89" s="16">
        <v>20.420000000000002</v>
      </c>
      <c r="E89" s="16">
        <v>17.41</v>
      </c>
      <c r="F89" s="16">
        <v>17.79</v>
      </c>
      <c r="G89" s="16"/>
      <c r="H89" s="8">
        <f>F86</f>
        <v>3255</v>
      </c>
      <c r="I89" s="8">
        <f>F88</f>
        <v>28.16</v>
      </c>
      <c r="K89" s="8" t="str">
        <f t="shared" si="13"/>
        <v>3,255 (28.16)</v>
      </c>
      <c r="N89" s="11"/>
      <c r="O89" s="21"/>
      <c r="P89" s="16">
        <v>32.33</v>
      </c>
      <c r="Q89" s="16">
        <v>26.12</v>
      </c>
      <c r="R89" s="16">
        <v>22.29</v>
      </c>
      <c r="S89" s="16"/>
    </row>
    <row r="90" spans="1:19" x14ac:dyDescent="0.3">
      <c r="A90" s="11"/>
      <c r="B90" s="21">
        <v>3</v>
      </c>
      <c r="C90" s="16">
        <v>2601</v>
      </c>
      <c r="D90" s="16">
        <v>2619</v>
      </c>
      <c r="E90" s="16">
        <v>2009</v>
      </c>
      <c r="F90" s="16">
        <v>1782</v>
      </c>
      <c r="G90" s="16">
        <v>9011</v>
      </c>
      <c r="H90" s="8">
        <f>C90</f>
        <v>2601</v>
      </c>
      <c r="I90" s="8">
        <f>C92</f>
        <v>28.86</v>
      </c>
      <c r="K90" s="8" t="str">
        <f>TEXT(H90,"#,##0")&amp;" ("&amp;TEXT(I90,"0.00")&amp;")"</f>
        <v>2,601 (28.86)</v>
      </c>
      <c r="N90" s="11"/>
      <c r="O90" s="21">
        <v>4</v>
      </c>
      <c r="P90" s="16">
        <v>13258</v>
      </c>
      <c r="Q90" s="16">
        <v>3255</v>
      </c>
      <c r="R90" s="16">
        <v>1782</v>
      </c>
      <c r="S90" s="16">
        <v>18295</v>
      </c>
    </row>
    <row r="91" spans="1:19" x14ac:dyDescent="0.3">
      <c r="A91" s="11"/>
      <c r="B91" s="21"/>
      <c r="C91" s="16">
        <v>4.43</v>
      </c>
      <c r="D91" s="16">
        <v>4.46</v>
      </c>
      <c r="E91" s="16">
        <v>3.42</v>
      </c>
      <c r="F91" s="16">
        <v>3.04</v>
      </c>
      <c r="G91" s="16">
        <v>15.35</v>
      </c>
      <c r="H91" s="8">
        <f>D90</f>
        <v>2619</v>
      </c>
      <c r="I91" s="8">
        <f>D92</f>
        <v>29.06</v>
      </c>
      <c r="K91" s="8" t="str">
        <f t="shared" ref="K91:K93" si="14">TEXT(H91,"#,##0")&amp;" ("&amp;TEXT(I91,"0.00")&amp;")"</f>
        <v>2,619 (29.06)</v>
      </c>
      <c r="N91" s="11"/>
      <c r="O91" s="21"/>
      <c r="P91" s="16">
        <v>22.59</v>
      </c>
      <c r="Q91" s="16">
        <v>5.55</v>
      </c>
      <c r="R91" s="16">
        <v>3.04</v>
      </c>
      <c r="S91" s="16">
        <v>31.17</v>
      </c>
    </row>
    <row r="92" spans="1:19" x14ac:dyDescent="0.3">
      <c r="A92" s="11"/>
      <c r="B92" s="21"/>
      <c r="C92" s="16">
        <v>28.86</v>
      </c>
      <c r="D92" s="16">
        <v>29.06</v>
      </c>
      <c r="E92" s="16">
        <v>22.29</v>
      </c>
      <c r="F92" s="16">
        <v>19.78</v>
      </c>
      <c r="G92" s="16"/>
      <c r="H92" s="8">
        <f>E90</f>
        <v>2009</v>
      </c>
      <c r="I92" s="8">
        <f>E92</f>
        <v>22.29</v>
      </c>
      <c r="K92" s="8" t="str">
        <f t="shared" si="14"/>
        <v>2,009 (22.29)</v>
      </c>
      <c r="N92" s="11"/>
      <c r="O92" s="21"/>
      <c r="P92" s="16">
        <v>72.47</v>
      </c>
      <c r="Q92" s="16">
        <v>17.79</v>
      </c>
      <c r="R92" s="16">
        <v>9.74</v>
      </c>
      <c r="S92" s="16"/>
    </row>
    <row r="93" spans="1:19" x14ac:dyDescent="0.3">
      <c r="A93" s="11"/>
      <c r="B93" s="21"/>
      <c r="C93" s="16">
        <v>31.32</v>
      </c>
      <c r="D93" s="16">
        <v>17.77</v>
      </c>
      <c r="E93" s="16">
        <v>11.58</v>
      </c>
      <c r="F93" s="16">
        <v>9.74</v>
      </c>
      <c r="G93" s="16"/>
      <c r="H93" s="8">
        <f>F90</f>
        <v>1782</v>
      </c>
      <c r="I93" s="8">
        <f>F92</f>
        <v>19.78</v>
      </c>
      <c r="K93" s="8" t="str">
        <f t="shared" si="14"/>
        <v>1,782 (19.78)</v>
      </c>
      <c r="N93" s="11"/>
      <c r="O93" s="21"/>
      <c r="P93" s="16">
        <v>34.79</v>
      </c>
      <c r="Q93" s="16">
        <v>28.16</v>
      </c>
      <c r="R93" s="16">
        <v>19.78</v>
      </c>
      <c r="S93" s="16"/>
    </row>
    <row r="94" spans="1:19" x14ac:dyDescent="0.3">
      <c r="A94" s="11"/>
      <c r="B94" s="21" t="s">
        <v>52</v>
      </c>
      <c r="C94" s="16">
        <v>8304</v>
      </c>
      <c r="D94" s="16">
        <v>14737</v>
      </c>
      <c r="E94" s="16">
        <v>17350</v>
      </c>
      <c r="F94" s="16">
        <v>18295</v>
      </c>
      <c r="G94" s="16">
        <v>58686</v>
      </c>
      <c r="N94" s="11"/>
      <c r="O94" s="21" t="s">
        <v>52</v>
      </c>
      <c r="P94" s="16">
        <v>38114</v>
      </c>
      <c r="Q94" s="16">
        <v>11561</v>
      </c>
      <c r="R94" s="16">
        <v>9011</v>
      </c>
      <c r="S94" s="16">
        <v>58686</v>
      </c>
    </row>
    <row r="95" spans="1:19" x14ac:dyDescent="0.3">
      <c r="A95" s="11"/>
      <c r="B95" s="21"/>
      <c r="C95" s="16">
        <v>14.15</v>
      </c>
      <c r="D95" s="16">
        <v>25.11</v>
      </c>
      <c r="E95" s="16">
        <v>29.56</v>
      </c>
      <c r="F95" s="16">
        <v>31.17</v>
      </c>
      <c r="G95" s="16">
        <v>100</v>
      </c>
      <c r="N95" s="11"/>
      <c r="O95" s="21"/>
      <c r="P95" s="16">
        <v>64.95</v>
      </c>
      <c r="Q95" s="16">
        <v>19.7</v>
      </c>
      <c r="R95" s="16">
        <v>15.35</v>
      </c>
      <c r="S95" s="16">
        <v>100</v>
      </c>
    </row>
    <row r="96" spans="1:19" x14ac:dyDescent="0.3">
      <c r="A96" s="11"/>
      <c r="B96" s="22"/>
      <c r="C96" s="22"/>
      <c r="D96" s="22"/>
      <c r="E96" s="22"/>
      <c r="F96" s="22"/>
      <c r="G96" s="22"/>
      <c r="N96" s="11"/>
      <c r="O96" s="22"/>
      <c r="P96" s="22"/>
      <c r="Q96" s="22"/>
      <c r="R96" s="22"/>
      <c r="S96" s="22"/>
    </row>
    <row r="97" spans="1:19" ht="16.5" thickBot="1" x14ac:dyDescent="0.35"/>
    <row r="98" spans="1:19" ht="16.5" customHeight="1" x14ac:dyDescent="0.3">
      <c r="A98" s="14" t="s">
        <v>47</v>
      </c>
      <c r="B98" s="23" t="s">
        <v>62</v>
      </c>
      <c r="C98" s="24"/>
      <c r="D98" s="24"/>
      <c r="E98" s="24"/>
      <c r="F98" s="24"/>
      <c r="G98" s="24"/>
      <c r="N98" s="14" t="s">
        <v>47</v>
      </c>
      <c r="O98" s="23" t="s">
        <v>63</v>
      </c>
      <c r="P98" s="24"/>
      <c r="Q98" s="24"/>
      <c r="R98" s="24"/>
      <c r="S98" s="24"/>
    </row>
    <row r="99" spans="1:19" ht="16.5" customHeight="1" x14ac:dyDescent="0.3">
      <c r="A99" s="10" t="s">
        <v>50</v>
      </c>
      <c r="B99" s="21" t="s">
        <v>21</v>
      </c>
      <c r="C99" s="25" t="s">
        <v>8</v>
      </c>
      <c r="D99" s="25"/>
      <c r="E99" s="25"/>
      <c r="F99" s="25"/>
      <c r="G99" s="25"/>
      <c r="N99" s="10" t="s">
        <v>50</v>
      </c>
      <c r="O99" s="21" t="s">
        <v>8</v>
      </c>
      <c r="P99" s="25" t="s">
        <v>21</v>
      </c>
      <c r="Q99" s="25"/>
      <c r="R99" s="25"/>
      <c r="S99" s="25"/>
    </row>
    <row r="100" spans="1:19" ht="34.5" x14ac:dyDescent="0.3">
      <c r="A100" s="10" t="s">
        <v>51</v>
      </c>
      <c r="B100" s="21"/>
      <c r="C100" s="15">
        <v>1</v>
      </c>
      <c r="D100" s="15">
        <v>2</v>
      </c>
      <c r="E100" s="15">
        <v>3</v>
      </c>
      <c r="F100" s="15">
        <v>4</v>
      </c>
      <c r="G100" s="15" t="s">
        <v>52</v>
      </c>
      <c r="N100" s="10" t="s">
        <v>51</v>
      </c>
      <c r="O100" s="21"/>
      <c r="P100" s="15">
        <v>1</v>
      </c>
      <c r="Q100" s="15">
        <v>2</v>
      </c>
      <c r="R100" s="15">
        <v>3</v>
      </c>
      <c r="S100" s="15" t="s">
        <v>52</v>
      </c>
    </row>
    <row r="101" spans="1:19" ht="34.5" x14ac:dyDescent="0.3">
      <c r="A101" s="10" t="s">
        <v>53</v>
      </c>
      <c r="B101" s="21">
        <v>1</v>
      </c>
      <c r="C101" s="16">
        <v>1444</v>
      </c>
      <c r="D101" s="16">
        <v>16211</v>
      </c>
      <c r="E101" s="16">
        <v>8800</v>
      </c>
      <c r="F101" s="16">
        <v>11659</v>
      </c>
      <c r="G101" s="16">
        <v>38114</v>
      </c>
      <c r="H101" s="8">
        <f>C101</f>
        <v>1444</v>
      </c>
      <c r="I101" s="8">
        <f>C103</f>
        <v>3.79</v>
      </c>
      <c r="K101" s="8" t="str">
        <f>TEXT(H101,"#,##0")&amp;" ("&amp;TEXT(I101,"0.00")&amp;")"</f>
        <v>1,444 (3.79)</v>
      </c>
      <c r="N101" s="10" t="s">
        <v>53</v>
      </c>
      <c r="O101" s="21">
        <v>1</v>
      </c>
      <c r="P101" s="16">
        <v>1444</v>
      </c>
      <c r="Q101" s="16">
        <v>182</v>
      </c>
      <c r="R101" s="16">
        <v>149</v>
      </c>
      <c r="S101" s="16">
        <v>1775</v>
      </c>
    </row>
    <row r="102" spans="1:19" x14ac:dyDescent="0.3">
      <c r="A102" s="11"/>
      <c r="B102" s="21"/>
      <c r="C102" s="16">
        <v>2.46</v>
      </c>
      <c r="D102" s="16">
        <v>27.62</v>
      </c>
      <c r="E102" s="16">
        <v>15</v>
      </c>
      <c r="F102" s="16">
        <v>19.87</v>
      </c>
      <c r="G102" s="16">
        <v>64.95</v>
      </c>
      <c r="H102" s="8">
        <f>D101</f>
        <v>16211</v>
      </c>
      <c r="I102" s="8">
        <f>D103</f>
        <v>42.53</v>
      </c>
      <c r="K102" s="8" t="str">
        <f t="shared" ref="K102:K104" si="15">TEXT(H102,"#,##0")&amp;" ("&amp;TEXT(I102,"0.00")&amp;")"</f>
        <v>16,211 (42.53)</v>
      </c>
      <c r="N102" s="11"/>
      <c r="O102" s="21"/>
      <c r="P102" s="16">
        <v>2.46</v>
      </c>
      <c r="Q102" s="16">
        <v>0.31</v>
      </c>
      <c r="R102" s="16">
        <v>0.25</v>
      </c>
      <c r="S102" s="16">
        <v>3.02</v>
      </c>
    </row>
    <row r="103" spans="1:19" x14ac:dyDescent="0.3">
      <c r="A103" s="11"/>
      <c r="B103" s="21"/>
      <c r="C103" s="16">
        <v>3.79</v>
      </c>
      <c r="D103" s="16">
        <v>42.53</v>
      </c>
      <c r="E103" s="16">
        <v>23.09</v>
      </c>
      <c r="F103" s="16">
        <v>30.59</v>
      </c>
      <c r="G103" s="16"/>
      <c r="H103" s="8">
        <f>E101</f>
        <v>8800</v>
      </c>
      <c r="I103" s="8">
        <f>E103</f>
        <v>23.09</v>
      </c>
      <c r="K103" s="8" t="str">
        <f t="shared" si="15"/>
        <v>8,800 (23.09)</v>
      </c>
      <c r="N103" s="11"/>
      <c r="O103" s="21"/>
      <c r="P103" s="16">
        <v>81.349999999999994</v>
      </c>
      <c r="Q103" s="16">
        <v>10.25</v>
      </c>
      <c r="R103" s="16">
        <v>8.39</v>
      </c>
      <c r="S103" s="16"/>
    </row>
    <row r="104" spans="1:19" x14ac:dyDescent="0.3">
      <c r="A104" s="11"/>
      <c r="B104" s="21"/>
      <c r="C104" s="16">
        <v>81.349999999999994</v>
      </c>
      <c r="D104" s="16">
        <v>74.11</v>
      </c>
      <c r="E104" s="16">
        <v>61.27</v>
      </c>
      <c r="F104" s="16">
        <v>56.39</v>
      </c>
      <c r="G104" s="16"/>
      <c r="H104" s="8">
        <f>F101</f>
        <v>11659</v>
      </c>
      <c r="I104" s="8">
        <f>F103</f>
        <v>30.59</v>
      </c>
      <c r="K104" s="8" t="str">
        <f t="shared" si="15"/>
        <v>11,659 (30.59)</v>
      </c>
      <c r="N104" s="11"/>
      <c r="O104" s="21"/>
      <c r="P104" s="16">
        <v>3.79</v>
      </c>
      <c r="Q104" s="16">
        <v>1.57</v>
      </c>
      <c r="R104" s="16">
        <v>1.65</v>
      </c>
      <c r="S104" s="16"/>
    </row>
    <row r="105" spans="1:19" x14ac:dyDescent="0.3">
      <c r="A105" s="11"/>
      <c r="B105" s="21">
        <v>2</v>
      </c>
      <c r="C105" s="16">
        <v>182</v>
      </c>
      <c r="D105" s="16">
        <v>3119</v>
      </c>
      <c r="E105" s="16">
        <v>3087</v>
      </c>
      <c r="F105" s="16">
        <v>5173</v>
      </c>
      <c r="G105" s="16">
        <v>11561</v>
      </c>
      <c r="H105" s="8">
        <f>C105</f>
        <v>182</v>
      </c>
      <c r="I105" s="8">
        <f>C107</f>
        <v>1.57</v>
      </c>
      <c r="K105" s="8" t="str">
        <f>TEXT(H105,"#,##0")&amp;" ("&amp;TEXT(I105,"0.00")&amp;")"</f>
        <v>182 (1.57)</v>
      </c>
      <c r="N105" s="11"/>
      <c r="O105" s="21">
        <v>2</v>
      </c>
      <c r="P105" s="16">
        <v>16211</v>
      </c>
      <c r="Q105" s="16">
        <v>3119</v>
      </c>
      <c r="R105" s="16">
        <v>2543</v>
      </c>
      <c r="S105" s="16">
        <v>21873</v>
      </c>
    </row>
    <row r="106" spans="1:19" x14ac:dyDescent="0.3">
      <c r="A106" s="11"/>
      <c r="B106" s="21"/>
      <c r="C106" s="16">
        <v>0.31</v>
      </c>
      <c r="D106" s="16">
        <v>5.31</v>
      </c>
      <c r="E106" s="16">
        <v>5.26</v>
      </c>
      <c r="F106" s="16">
        <v>8.81</v>
      </c>
      <c r="G106" s="16">
        <v>19.7</v>
      </c>
      <c r="H106" s="8">
        <f>D105</f>
        <v>3119</v>
      </c>
      <c r="I106" s="8">
        <f>D107</f>
        <v>26.98</v>
      </c>
      <c r="K106" s="8" t="str">
        <f t="shared" ref="K106:K108" si="16">TEXT(H106,"#,##0")&amp;" ("&amp;TEXT(I106,"0.00")&amp;")"</f>
        <v>3,119 (26.98)</v>
      </c>
      <c r="N106" s="11"/>
      <c r="O106" s="21"/>
      <c r="P106" s="16">
        <v>27.62</v>
      </c>
      <c r="Q106" s="16">
        <v>5.31</v>
      </c>
      <c r="R106" s="16">
        <v>4.33</v>
      </c>
      <c r="S106" s="16">
        <v>37.270000000000003</v>
      </c>
    </row>
    <row r="107" spans="1:19" x14ac:dyDescent="0.3">
      <c r="A107" s="11"/>
      <c r="B107" s="21"/>
      <c r="C107" s="16">
        <v>1.57</v>
      </c>
      <c r="D107" s="16">
        <v>26.98</v>
      </c>
      <c r="E107" s="16">
        <v>26.7</v>
      </c>
      <c r="F107" s="16">
        <v>44.75</v>
      </c>
      <c r="G107" s="16"/>
      <c r="H107" s="8">
        <f>E105</f>
        <v>3087</v>
      </c>
      <c r="I107" s="8">
        <f>E107</f>
        <v>26.7</v>
      </c>
      <c r="K107" s="8" t="str">
        <f t="shared" si="16"/>
        <v>3,087 (26.70)</v>
      </c>
      <c r="N107" s="11"/>
      <c r="O107" s="21"/>
      <c r="P107" s="16">
        <v>74.11</v>
      </c>
      <c r="Q107" s="16">
        <v>14.26</v>
      </c>
      <c r="R107" s="16">
        <v>11.63</v>
      </c>
      <c r="S107" s="16"/>
    </row>
    <row r="108" spans="1:19" x14ac:dyDescent="0.3">
      <c r="A108" s="11"/>
      <c r="B108" s="21"/>
      <c r="C108" s="16">
        <v>10.25</v>
      </c>
      <c r="D108" s="16">
        <v>14.26</v>
      </c>
      <c r="E108" s="16">
        <v>21.49</v>
      </c>
      <c r="F108" s="16">
        <v>25.02</v>
      </c>
      <c r="G108" s="16"/>
      <c r="H108" s="8">
        <f>F105</f>
        <v>5173</v>
      </c>
      <c r="I108" s="8">
        <f>F107</f>
        <v>44.75</v>
      </c>
      <c r="K108" s="8" t="str">
        <f t="shared" si="16"/>
        <v>5,173 (44.75)</v>
      </c>
      <c r="N108" s="11"/>
      <c r="O108" s="21"/>
      <c r="P108" s="16">
        <v>42.53</v>
      </c>
      <c r="Q108" s="16">
        <v>26.98</v>
      </c>
      <c r="R108" s="16">
        <v>28.22</v>
      </c>
      <c r="S108" s="16"/>
    </row>
    <row r="109" spans="1:19" x14ac:dyDescent="0.3">
      <c r="A109" s="11"/>
      <c r="B109" s="21">
        <v>3</v>
      </c>
      <c r="C109" s="16">
        <v>149</v>
      </c>
      <c r="D109" s="16">
        <v>2543</v>
      </c>
      <c r="E109" s="16">
        <v>2476</v>
      </c>
      <c r="F109" s="16">
        <v>3843</v>
      </c>
      <c r="G109" s="16">
        <v>9011</v>
      </c>
      <c r="H109" s="8">
        <f>C109</f>
        <v>149</v>
      </c>
      <c r="I109" s="8">
        <f>C111</f>
        <v>1.65</v>
      </c>
      <c r="K109" s="8" t="str">
        <f>TEXT(H109,"#,##0")&amp;" ("&amp;TEXT(I109,"0.00")&amp;")"</f>
        <v>149 (1.65)</v>
      </c>
      <c r="N109" s="11"/>
      <c r="O109" s="21">
        <v>3</v>
      </c>
      <c r="P109" s="16">
        <v>8800</v>
      </c>
      <c r="Q109" s="16">
        <v>3087</v>
      </c>
      <c r="R109" s="16">
        <v>2476</v>
      </c>
      <c r="S109" s="16">
        <v>14363</v>
      </c>
    </row>
    <row r="110" spans="1:19" x14ac:dyDescent="0.3">
      <c r="A110" s="11"/>
      <c r="B110" s="21"/>
      <c r="C110" s="16">
        <v>0.25</v>
      </c>
      <c r="D110" s="16">
        <v>4.33</v>
      </c>
      <c r="E110" s="16">
        <v>4.22</v>
      </c>
      <c r="F110" s="16">
        <v>6.55</v>
      </c>
      <c r="G110" s="16">
        <v>15.35</v>
      </c>
      <c r="H110" s="8">
        <f>D109</f>
        <v>2543</v>
      </c>
      <c r="I110" s="8">
        <f>D111</f>
        <v>28.22</v>
      </c>
      <c r="K110" s="8" t="str">
        <f t="shared" ref="K110:K112" si="17">TEXT(H110,"#,##0")&amp;" ("&amp;TEXT(I110,"0.00")&amp;")"</f>
        <v>2,543 (28.22)</v>
      </c>
      <c r="N110" s="11"/>
      <c r="O110" s="21"/>
      <c r="P110" s="16">
        <v>15</v>
      </c>
      <c r="Q110" s="16">
        <v>5.26</v>
      </c>
      <c r="R110" s="16">
        <v>4.22</v>
      </c>
      <c r="S110" s="16">
        <v>24.47</v>
      </c>
    </row>
    <row r="111" spans="1:19" x14ac:dyDescent="0.3">
      <c r="A111" s="11"/>
      <c r="B111" s="21"/>
      <c r="C111" s="16">
        <v>1.65</v>
      </c>
      <c r="D111" s="16">
        <v>28.22</v>
      </c>
      <c r="E111" s="16">
        <v>27.48</v>
      </c>
      <c r="F111" s="16">
        <v>42.65</v>
      </c>
      <c r="G111" s="16"/>
      <c r="H111" s="8">
        <f>E109</f>
        <v>2476</v>
      </c>
      <c r="I111" s="8">
        <f>E111</f>
        <v>27.48</v>
      </c>
      <c r="K111" s="8" t="str">
        <f t="shared" si="17"/>
        <v>2,476 (27.48)</v>
      </c>
      <c r="N111" s="11"/>
      <c r="O111" s="21"/>
      <c r="P111" s="16">
        <v>61.27</v>
      </c>
      <c r="Q111" s="16">
        <v>21.49</v>
      </c>
      <c r="R111" s="16">
        <v>17.239999999999998</v>
      </c>
      <c r="S111" s="16"/>
    </row>
    <row r="112" spans="1:19" x14ac:dyDescent="0.3">
      <c r="A112" s="11"/>
      <c r="B112" s="21"/>
      <c r="C112" s="16">
        <v>8.39</v>
      </c>
      <c r="D112" s="16">
        <v>11.63</v>
      </c>
      <c r="E112" s="16">
        <v>17.239999999999998</v>
      </c>
      <c r="F112" s="16">
        <v>18.59</v>
      </c>
      <c r="G112" s="16"/>
      <c r="H112" s="8">
        <f>F109</f>
        <v>3843</v>
      </c>
      <c r="I112" s="8">
        <f>F111</f>
        <v>42.65</v>
      </c>
      <c r="K112" s="8" t="str">
        <f t="shared" si="17"/>
        <v>3,843 (42.65)</v>
      </c>
      <c r="N112" s="11"/>
      <c r="O112" s="21"/>
      <c r="P112" s="16">
        <v>23.09</v>
      </c>
      <c r="Q112" s="16">
        <v>26.7</v>
      </c>
      <c r="R112" s="16">
        <v>27.48</v>
      </c>
      <c r="S112" s="16"/>
    </row>
    <row r="113" spans="1:19" x14ac:dyDescent="0.3">
      <c r="A113" s="11"/>
      <c r="B113" s="21" t="s">
        <v>52</v>
      </c>
      <c r="C113" s="16">
        <v>1775</v>
      </c>
      <c r="D113" s="16">
        <v>21873</v>
      </c>
      <c r="E113" s="16">
        <v>14363</v>
      </c>
      <c r="F113" s="16">
        <v>20675</v>
      </c>
      <c r="G113" s="16">
        <v>58686</v>
      </c>
      <c r="N113" s="11"/>
      <c r="O113" s="21">
        <v>4</v>
      </c>
      <c r="P113" s="16">
        <v>11659</v>
      </c>
      <c r="Q113" s="16">
        <v>5173</v>
      </c>
      <c r="R113" s="16">
        <v>3843</v>
      </c>
      <c r="S113" s="16">
        <v>20675</v>
      </c>
    </row>
    <row r="114" spans="1:19" x14ac:dyDescent="0.3">
      <c r="A114" s="11"/>
      <c r="B114" s="21"/>
      <c r="C114" s="16">
        <v>3.02</v>
      </c>
      <c r="D114" s="16">
        <v>37.270000000000003</v>
      </c>
      <c r="E114" s="16">
        <v>24.47</v>
      </c>
      <c r="F114" s="16">
        <v>35.229999999999997</v>
      </c>
      <c r="G114" s="16">
        <v>100</v>
      </c>
      <c r="N114" s="11"/>
      <c r="O114" s="21"/>
      <c r="P114" s="16">
        <v>19.87</v>
      </c>
      <c r="Q114" s="16">
        <v>8.81</v>
      </c>
      <c r="R114" s="16">
        <v>6.55</v>
      </c>
      <c r="S114" s="16">
        <v>35.229999999999997</v>
      </c>
    </row>
    <row r="115" spans="1:19" x14ac:dyDescent="0.3">
      <c r="A115" s="11"/>
      <c r="B115" s="22"/>
      <c r="C115" s="22"/>
      <c r="D115" s="22"/>
      <c r="E115" s="22"/>
      <c r="F115" s="22"/>
      <c r="G115" s="22"/>
      <c r="N115" s="11"/>
      <c r="O115" s="21"/>
      <c r="P115" s="16">
        <v>56.39</v>
      </c>
      <c r="Q115" s="16">
        <v>25.02</v>
      </c>
      <c r="R115" s="16">
        <v>18.59</v>
      </c>
      <c r="S115" s="16"/>
    </row>
    <row r="116" spans="1:19" ht="16.5" thickBot="1" x14ac:dyDescent="0.35">
      <c r="N116" s="11"/>
      <c r="O116" s="21"/>
      <c r="P116" s="16">
        <v>30.59</v>
      </c>
      <c r="Q116" s="16">
        <v>44.75</v>
      </c>
      <c r="R116" s="16">
        <v>42.65</v>
      </c>
      <c r="S116" s="16"/>
    </row>
    <row r="117" spans="1:19" ht="16.5" customHeight="1" x14ac:dyDescent="0.3">
      <c r="A117" s="14" t="s">
        <v>47</v>
      </c>
      <c r="B117" s="23" t="s">
        <v>64</v>
      </c>
      <c r="C117" s="24"/>
      <c r="D117" s="24"/>
      <c r="E117" s="24"/>
      <c r="N117" s="11"/>
      <c r="O117" s="21" t="s">
        <v>52</v>
      </c>
      <c r="P117" s="16">
        <v>38114</v>
      </c>
      <c r="Q117" s="16">
        <v>11561</v>
      </c>
      <c r="R117" s="16">
        <v>9011</v>
      </c>
      <c r="S117" s="16">
        <v>58686</v>
      </c>
    </row>
    <row r="118" spans="1:19" ht="16.5" customHeight="1" x14ac:dyDescent="0.3">
      <c r="A118" s="10" t="s">
        <v>50</v>
      </c>
      <c r="B118" s="21" t="s">
        <v>21</v>
      </c>
      <c r="C118" s="25" t="s">
        <v>9</v>
      </c>
      <c r="D118" s="25"/>
      <c r="E118" s="25"/>
      <c r="N118" s="11"/>
      <c r="O118" s="21"/>
      <c r="P118" s="16">
        <v>64.95</v>
      </c>
      <c r="Q118" s="16">
        <v>19.7</v>
      </c>
      <c r="R118" s="16">
        <v>15.35</v>
      </c>
      <c r="S118" s="16">
        <v>100</v>
      </c>
    </row>
    <row r="119" spans="1:19" ht="34.5" x14ac:dyDescent="0.3">
      <c r="A119" s="10" t="s">
        <v>51</v>
      </c>
      <c r="B119" s="21"/>
      <c r="C119" s="15">
        <v>1</v>
      </c>
      <c r="D119" s="15">
        <v>2</v>
      </c>
      <c r="E119" s="15" t="s">
        <v>52</v>
      </c>
      <c r="N119" s="11"/>
      <c r="O119" s="22"/>
      <c r="P119" s="22"/>
      <c r="Q119" s="22"/>
      <c r="R119" s="22"/>
      <c r="S119" s="22"/>
    </row>
    <row r="120" spans="1:19" ht="35.25" thickBot="1" x14ac:dyDescent="0.35">
      <c r="A120" s="10" t="s">
        <v>53</v>
      </c>
      <c r="B120" s="21">
        <v>1</v>
      </c>
      <c r="C120" s="16">
        <v>34507</v>
      </c>
      <c r="D120" s="16">
        <v>3607</v>
      </c>
      <c r="E120" s="16">
        <v>38114</v>
      </c>
      <c r="H120" s="8">
        <f>C120</f>
        <v>34507</v>
      </c>
      <c r="I120" s="8">
        <f>C122</f>
        <v>90.54</v>
      </c>
      <c r="K120" s="8" t="str">
        <f>TEXT(H120,"#,##0")&amp;" ("&amp;TEXT(I120,"0.00")&amp;")"</f>
        <v>34,507 (90.54)</v>
      </c>
    </row>
    <row r="121" spans="1:19" ht="16.5" customHeight="1" x14ac:dyDescent="0.3">
      <c r="A121" s="11"/>
      <c r="B121" s="21"/>
      <c r="C121" s="16">
        <v>58.8</v>
      </c>
      <c r="D121" s="16">
        <v>6.15</v>
      </c>
      <c r="E121" s="16">
        <v>64.95</v>
      </c>
      <c r="H121" s="8">
        <f>D120</f>
        <v>3607</v>
      </c>
      <c r="I121" s="8">
        <f>D122</f>
        <v>9.4600000000000009</v>
      </c>
      <c r="K121" s="8" t="str">
        <f t="shared" ref="K121" si="18">TEXT(H121,"#,##0")&amp;" ("&amp;TEXT(I121,"0.00")&amp;")"</f>
        <v>3,607 (9.46)</v>
      </c>
      <c r="N121" s="14" t="s">
        <v>47</v>
      </c>
      <c r="O121" s="23" t="s">
        <v>65</v>
      </c>
      <c r="P121" s="24"/>
      <c r="Q121" s="24"/>
      <c r="R121" s="24"/>
      <c r="S121" s="24"/>
    </row>
    <row r="122" spans="1:19" ht="16.5" customHeight="1" x14ac:dyDescent="0.3">
      <c r="A122" s="11"/>
      <c r="B122" s="21"/>
      <c r="C122" s="16">
        <v>90.54</v>
      </c>
      <c r="D122" s="16">
        <v>9.4600000000000009</v>
      </c>
      <c r="E122" s="16"/>
      <c r="N122" s="10" t="s">
        <v>50</v>
      </c>
      <c r="O122" s="21" t="s">
        <v>9</v>
      </c>
      <c r="P122" s="25" t="s">
        <v>21</v>
      </c>
      <c r="Q122" s="25"/>
      <c r="R122" s="25"/>
      <c r="S122" s="25"/>
    </row>
    <row r="123" spans="1:19" ht="34.5" x14ac:dyDescent="0.3">
      <c r="A123" s="11"/>
      <c r="B123" s="21"/>
      <c r="C123" s="16">
        <v>63.35</v>
      </c>
      <c r="D123" s="16">
        <v>85.58</v>
      </c>
      <c r="E123" s="16"/>
      <c r="N123" s="10" t="s">
        <v>51</v>
      </c>
      <c r="O123" s="21"/>
      <c r="P123" s="15">
        <v>1</v>
      </c>
      <c r="Q123" s="15">
        <v>2</v>
      </c>
      <c r="R123" s="15">
        <v>3</v>
      </c>
      <c r="S123" s="15" t="s">
        <v>52</v>
      </c>
    </row>
    <row r="124" spans="1:19" ht="34.5" x14ac:dyDescent="0.3">
      <c r="A124" s="11"/>
      <c r="B124" s="21">
        <v>2</v>
      </c>
      <c r="C124" s="16">
        <v>11146</v>
      </c>
      <c r="D124" s="16">
        <v>415</v>
      </c>
      <c r="E124" s="16">
        <v>11561</v>
      </c>
      <c r="H124" s="8">
        <f>C124</f>
        <v>11146</v>
      </c>
      <c r="I124" s="8">
        <f>C126</f>
        <v>96.41</v>
      </c>
      <c r="K124" s="8" t="str">
        <f>TEXT(H124,"#,##0")&amp;" ("&amp;TEXT(I124,"0.00")&amp;")"</f>
        <v>11,146 (96.41)</v>
      </c>
      <c r="N124" s="10" t="s">
        <v>53</v>
      </c>
      <c r="O124" s="21">
        <v>1</v>
      </c>
      <c r="P124" s="16">
        <v>34507</v>
      </c>
      <c r="Q124" s="16">
        <v>11146</v>
      </c>
      <c r="R124" s="16">
        <v>8818</v>
      </c>
      <c r="S124" s="16">
        <v>54471</v>
      </c>
    </row>
    <row r="125" spans="1:19" x14ac:dyDescent="0.3">
      <c r="A125" s="11"/>
      <c r="B125" s="21"/>
      <c r="C125" s="16">
        <v>18.989999999999998</v>
      </c>
      <c r="D125" s="16">
        <v>0.71</v>
      </c>
      <c r="E125" s="16">
        <v>19.7</v>
      </c>
      <c r="H125" s="8">
        <f>D124</f>
        <v>415</v>
      </c>
      <c r="I125" s="8">
        <f>D126</f>
        <v>3.59</v>
      </c>
      <c r="K125" s="8" t="str">
        <f t="shared" ref="K125" si="19">TEXT(H125,"#,##0")&amp;" ("&amp;TEXT(I125,"0.00")&amp;")"</f>
        <v>415 (3.59)</v>
      </c>
      <c r="N125" s="11"/>
      <c r="O125" s="21"/>
      <c r="P125" s="16">
        <v>58.8</v>
      </c>
      <c r="Q125" s="16">
        <v>18.989999999999998</v>
      </c>
      <c r="R125" s="16">
        <v>15.03</v>
      </c>
      <c r="S125" s="16">
        <v>92.82</v>
      </c>
    </row>
    <row r="126" spans="1:19" x14ac:dyDescent="0.3">
      <c r="A126" s="11"/>
      <c r="B126" s="21"/>
      <c r="C126" s="16">
        <v>96.41</v>
      </c>
      <c r="D126" s="16">
        <v>3.59</v>
      </c>
      <c r="E126" s="16"/>
      <c r="N126" s="11"/>
      <c r="O126" s="21"/>
      <c r="P126" s="16">
        <v>63.35</v>
      </c>
      <c r="Q126" s="16">
        <v>20.46</v>
      </c>
      <c r="R126" s="16">
        <v>16.190000000000001</v>
      </c>
      <c r="S126" s="16"/>
    </row>
    <row r="127" spans="1:19" x14ac:dyDescent="0.3">
      <c r="A127" s="11"/>
      <c r="B127" s="21"/>
      <c r="C127" s="16">
        <v>20.46</v>
      </c>
      <c r="D127" s="16">
        <v>9.85</v>
      </c>
      <c r="E127" s="16"/>
      <c r="N127" s="11"/>
      <c r="O127" s="21"/>
      <c r="P127" s="16">
        <v>90.54</v>
      </c>
      <c r="Q127" s="16">
        <v>96.41</v>
      </c>
      <c r="R127" s="16">
        <v>97.86</v>
      </c>
      <c r="S127" s="16"/>
    </row>
    <row r="128" spans="1:19" x14ac:dyDescent="0.3">
      <c r="A128" s="11"/>
      <c r="B128" s="21">
        <v>3</v>
      </c>
      <c r="C128" s="16">
        <v>8818</v>
      </c>
      <c r="D128" s="16">
        <v>193</v>
      </c>
      <c r="E128" s="16">
        <v>9011</v>
      </c>
      <c r="H128" s="8">
        <f>C128</f>
        <v>8818</v>
      </c>
      <c r="I128" s="8">
        <f>C130</f>
        <v>97.86</v>
      </c>
      <c r="K128" s="8" t="str">
        <f>TEXT(H128,"#,##0")&amp;" ("&amp;TEXT(I128,"0.00")&amp;")"</f>
        <v>8,818 (97.86)</v>
      </c>
      <c r="N128" s="11"/>
      <c r="O128" s="21">
        <v>2</v>
      </c>
      <c r="P128" s="16">
        <v>3607</v>
      </c>
      <c r="Q128" s="16">
        <v>415</v>
      </c>
      <c r="R128" s="16">
        <v>193</v>
      </c>
      <c r="S128" s="16">
        <v>4215</v>
      </c>
    </row>
    <row r="129" spans="1:19" x14ac:dyDescent="0.3">
      <c r="A129" s="11"/>
      <c r="B129" s="21"/>
      <c r="C129" s="16">
        <v>15.03</v>
      </c>
      <c r="D129" s="16">
        <v>0.33</v>
      </c>
      <c r="E129" s="16">
        <v>15.35</v>
      </c>
      <c r="H129" s="8">
        <f>D128</f>
        <v>193</v>
      </c>
      <c r="I129" s="8">
        <f>D130</f>
        <v>2.14</v>
      </c>
      <c r="K129" s="8" t="str">
        <f t="shared" ref="K129" si="20">TEXT(H129,"#,##0")&amp;" ("&amp;TEXT(I129,"0.00")&amp;")"</f>
        <v>193 (2.14)</v>
      </c>
      <c r="N129" s="11"/>
      <c r="O129" s="21"/>
      <c r="P129" s="16">
        <v>6.15</v>
      </c>
      <c r="Q129" s="16">
        <v>0.71</v>
      </c>
      <c r="R129" s="16">
        <v>0.33</v>
      </c>
      <c r="S129" s="16">
        <v>7.18</v>
      </c>
    </row>
    <row r="130" spans="1:19" x14ac:dyDescent="0.3">
      <c r="A130" s="11"/>
      <c r="B130" s="21"/>
      <c r="C130" s="16">
        <v>97.86</v>
      </c>
      <c r="D130" s="16">
        <v>2.14</v>
      </c>
      <c r="E130" s="16"/>
      <c r="N130" s="11"/>
      <c r="O130" s="21"/>
      <c r="P130" s="16">
        <v>85.58</v>
      </c>
      <c r="Q130" s="16">
        <v>9.85</v>
      </c>
      <c r="R130" s="16">
        <v>4.58</v>
      </c>
      <c r="S130" s="16"/>
    </row>
    <row r="131" spans="1:19" x14ac:dyDescent="0.3">
      <c r="A131" s="11"/>
      <c r="B131" s="21"/>
      <c r="C131" s="16">
        <v>16.190000000000001</v>
      </c>
      <c r="D131" s="16">
        <v>4.58</v>
      </c>
      <c r="E131" s="16"/>
      <c r="N131" s="11"/>
      <c r="O131" s="21"/>
      <c r="P131" s="16">
        <v>9.4600000000000009</v>
      </c>
      <c r="Q131" s="16">
        <v>3.59</v>
      </c>
      <c r="R131" s="16">
        <v>2.14</v>
      </c>
      <c r="S131" s="16"/>
    </row>
    <row r="132" spans="1:19" x14ac:dyDescent="0.3">
      <c r="A132" s="11"/>
      <c r="B132" s="21" t="s">
        <v>52</v>
      </c>
      <c r="C132" s="16">
        <v>54471</v>
      </c>
      <c r="D132" s="16">
        <v>4215</v>
      </c>
      <c r="E132" s="16">
        <v>58686</v>
      </c>
      <c r="N132" s="11"/>
      <c r="O132" s="21" t="s">
        <v>52</v>
      </c>
      <c r="P132" s="16">
        <v>38114</v>
      </c>
      <c r="Q132" s="16">
        <v>11561</v>
      </c>
      <c r="R132" s="16">
        <v>9011</v>
      </c>
      <c r="S132" s="16">
        <v>58686</v>
      </c>
    </row>
    <row r="133" spans="1:19" x14ac:dyDescent="0.3">
      <c r="A133" s="11"/>
      <c r="B133" s="21"/>
      <c r="C133" s="16">
        <v>92.82</v>
      </c>
      <c r="D133" s="16">
        <v>7.18</v>
      </c>
      <c r="E133" s="16">
        <v>100</v>
      </c>
      <c r="N133" s="11"/>
      <c r="O133" s="21"/>
      <c r="P133" s="16">
        <v>64.95</v>
      </c>
      <c r="Q133" s="16">
        <v>19.7</v>
      </c>
      <c r="R133" s="16">
        <v>15.35</v>
      </c>
      <c r="S133" s="16">
        <v>100</v>
      </c>
    </row>
    <row r="134" spans="1:19" x14ac:dyDescent="0.3">
      <c r="A134" s="11"/>
      <c r="B134" s="22"/>
      <c r="C134" s="22"/>
      <c r="D134" s="22"/>
      <c r="E134" s="22"/>
      <c r="N134" s="11"/>
      <c r="O134" s="22"/>
      <c r="P134" s="22"/>
      <c r="Q134" s="22"/>
      <c r="R134" s="22"/>
      <c r="S134" s="22"/>
    </row>
    <row r="135" spans="1:19" ht="16.5" thickBot="1" x14ac:dyDescent="0.35"/>
    <row r="136" spans="1:19" ht="16.5" customHeight="1" x14ac:dyDescent="0.3">
      <c r="A136" s="14" t="s">
        <v>47</v>
      </c>
      <c r="B136" s="23" t="s">
        <v>66</v>
      </c>
      <c r="C136" s="24"/>
      <c r="D136" s="24"/>
      <c r="E136" s="24"/>
      <c r="F136" s="24"/>
      <c r="N136" s="14" t="s">
        <v>47</v>
      </c>
      <c r="O136" s="23" t="s">
        <v>67</v>
      </c>
      <c r="P136" s="24"/>
      <c r="Q136" s="24"/>
      <c r="R136" s="24"/>
      <c r="S136" s="24"/>
    </row>
    <row r="137" spans="1:19" ht="16.5" customHeight="1" x14ac:dyDescent="0.3">
      <c r="A137" s="10" t="s">
        <v>50</v>
      </c>
      <c r="B137" s="21" t="s">
        <v>21</v>
      </c>
      <c r="C137" s="25" t="s">
        <v>10</v>
      </c>
      <c r="D137" s="25"/>
      <c r="E137" s="25"/>
      <c r="F137" s="25"/>
      <c r="N137" s="10" t="s">
        <v>50</v>
      </c>
      <c r="O137" s="21" t="s">
        <v>10</v>
      </c>
      <c r="P137" s="25" t="s">
        <v>21</v>
      </c>
      <c r="Q137" s="25"/>
      <c r="R137" s="25"/>
      <c r="S137" s="25"/>
    </row>
    <row r="138" spans="1:19" ht="34.5" x14ac:dyDescent="0.3">
      <c r="A138" s="10" t="s">
        <v>51</v>
      </c>
      <c r="B138" s="21"/>
      <c r="C138" s="15">
        <v>1</v>
      </c>
      <c r="D138" s="15">
        <v>2</v>
      </c>
      <c r="E138" s="15">
        <v>3</v>
      </c>
      <c r="F138" s="15" t="s">
        <v>52</v>
      </c>
      <c r="N138" s="10" t="s">
        <v>51</v>
      </c>
      <c r="O138" s="21"/>
      <c r="P138" s="15">
        <v>1</v>
      </c>
      <c r="Q138" s="15">
        <v>2</v>
      </c>
      <c r="R138" s="15">
        <v>3</v>
      </c>
      <c r="S138" s="15" t="s">
        <v>52</v>
      </c>
    </row>
    <row r="139" spans="1:19" ht="34.5" x14ac:dyDescent="0.3">
      <c r="A139" s="10" t="s">
        <v>53</v>
      </c>
      <c r="B139" s="21">
        <v>1</v>
      </c>
      <c r="C139" s="16">
        <v>12902</v>
      </c>
      <c r="D139" s="16">
        <v>19289</v>
      </c>
      <c r="E139" s="16">
        <v>5923</v>
      </c>
      <c r="F139" s="16">
        <v>38114</v>
      </c>
      <c r="H139" s="8">
        <f>C139</f>
        <v>12902</v>
      </c>
      <c r="I139" s="8">
        <f>C141</f>
        <v>33.85</v>
      </c>
      <c r="K139" s="8" t="str">
        <f>TEXT(H139,"#,##0")&amp;" ("&amp;TEXT(I139,"0.00")&amp;")"</f>
        <v>12,902 (33.85)</v>
      </c>
      <c r="N139" s="10" t="s">
        <v>53</v>
      </c>
      <c r="O139" s="21">
        <v>1</v>
      </c>
      <c r="P139" s="16">
        <v>12902</v>
      </c>
      <c r="Q139" s="16">
        <v>3487</v>
      </c>
      <c r="R139" s="16">
        <v>2588</v>
      </c>
      <c r="S139" s="16">
        <v>18977</v>
      </c>
    </row>
    <row r="140" spans="1:19" x14ac:dyDescent="0.3">
      <c r="A140" s="11"/>
      <c r="B140" s="21"/>
      <c r="C140" s="16">
        <v>21.98</v>
      </c>
      <c r="D140" s="16">
        <v>32.869999999999997</v>
      </c>
      <c r="E140" s="16">
        <v>10.09</v>
      </c>
      <c r="F140" s="16">
        <v>64.95</v>
      </c>
      <c r="H140" s="8">
        <f>D139</f>
        <v>19289</v>
      </c>
      <c r="I140" s="8">
        <f>D141</f>
        <v>50.61</v>
      </c>
      <c r="K140" s="8" t="str">
        <f t="shared" ref="K140:K141" si="21">TEXT(H140,"#,##0")&amp;" ("&amp;TEXT(I140,"0.00")&amp;")"</f>
        <v>19,289 (50.61)</v>
      </c>
      <c r="N140" s="11"/>
      <c r="O140" s="21"/>
      <c r="P140" s="16">
        <v>21.98</v>
      </c>
      <c r="Q140" s="16">
        <v>5.94</v>
      </c>
      <c r="R140" s="16">
        <v>4.41</v>
      </c>
      <c r="S140" s="16">
        <v>32.340000000000003</v>
      </c>
    </row>
    <row r="141" spans="1:19" x14ac:dyDescent="0.3">
      <c r="A141" s="11"/>
      <c r="B141" s="21"/>
      <c r="C141" s="16">
        <v>33.85</v>
      </c>
      <c r="D141" s="16">
        <v>50.61</v>
      </c>
      <c r="E141" s="16">
        <v>15.54</v>
      </c>
      <c r="F141" s="16"/>
      <c r="H141" s="8">
        <f>E139</f>
        <v>5923</v>
      </c>
      <c r="I141" s="8">
        <f>E141</f>
        <v>15.54</v>
      </c>
      <c r="K141" s="8" t="str">
        <f t="shared" si="21"/>
        <v>5,923 (15.54)</v>
      </c>
      <c r="N141" s="11"/>
      <c r="O141" s="21"/>
      <c r="P141" s="16">
        <v>67.989999999999995</v>
      </c>
      <c r="Q141" s="16">
        <v>18.37</v>
      </c>
      <c r="R141" s="16">
        <v>13.64</v>
      </c>
      <c r="S141" s="16"/>
    </row>
    <row r="142" spans="1:19" x14ac:dyDescent="0.3">
      <c r="A142" s="11"/>
      <c r="B142" s="21"/>
      <c r="C142" s="16">
        <v>67.989999999999995</v>
      </c>
      <c r="D142" s="16">
        <v>66.510000000000005</v>
      </c>
      <c r="E142" s="16">
        <v>55.31</v>
      </c>
      <c r="F142" s="16"/>
      <c r="N142" s="11"/>
      <c r="O142" s="21"/>
      <c r="P142" s="16">
        <v>33.85</v>
      </c>
      <c r="Q142" s="16">
        <v>30.16</v>
      </c>
      <c r="R142" s="16">
        <v>28.72</v>
      </c>
      <c r="S142" s="16"/>
    </row>
    <row r="143" spans="1:19" x14ac:dyDescent="0.3">
      <c r="A143" s="11"/>
      <c r="B143" s="21">
        <v>2</v>
      </c>
      <c r="C143" s="16">
        <v>3487</v>
      </c>
      <c r="D143" s="16">
        <v>5617</v>
      </c>
      <c r="E143" s="16">
        <v>2457</v>
      </c>
      <c r="F143" s="16">
        <v>11561</v>
      </c>
      <c r="H143" s="8">
        <f>C143</f>
        <v>3487</v>
      </c>
      <c r="I143" s="8">
        <f>C145</f>
        <v>30.16</v>
      </c>
      <c r="K143" s="8" t="str">
        <f>TEXT(H143,"#,##0")&amp;" ("&amp;TEXT(I143,"0.00")&amp;")"</f>
        <v>3,487 (30.16)</v>
      </c>
      <c r="N143" s="11"/>
      <c r="O143" s="21">
        <v>2</v>
      </c>
      <c r="P143" s="16">
        <v>19289</v>
      </c>
      <c r="Q143" s="16">
        <v>5617</v>
      </c>
      <c r="R143" s="16">
        <v>4094</v>
      </c>
      <c r="S143" s="16">
        <v>29000</v>
      </c>
    </row>
    <row r="144" spans="1:19" x14ac:dyDescent="0.3">
      <c r="A144" s="11"/>
      <c r="B144" s="21"/>
      <c r="C144" s="16">
        <v>5.94</v>
      </c>
      <c r="D144" s="16">
        <v>9.57</v>
      </c>
      <c r="E144" s="16">
        <v>4.1900000000000004</v>
      </c>
      <c r="F144" s="16">
        <v>19.7</v>
      </c>
      <c r="H144" s="8">
        <f>D143</f>
        <v>5617</v>
      </c>
      <c r="I144" s="8">
        <f>D145</f>
        <v>48.59</v>
      </c>
      <c r="K144" s="8" t="str">
        <f t="shared" ref="K144:K145" si="22">TEXT(H144,"#,##0")&amp;" ("&amp;TEXT(I144,"0.00")&amp;")"</f>
        <v>5,617 (48.59)</v>
      </c>
      <c r="N144" s="11"/>
      <c r="O144" s="21"/>
      <c r="P144" s="16">
        <v>32.869999999999997</v>
      </c>
      <c r="Q144" s="16">
        <v>9.57</v>
      </c>
      <c r="R144" s="16">
        <v>6.98</v>
      </c>
      <c r="S144" s="16">
        <v>49.42</v>
      </c>
    </row>
    <row r="145" spans="1:19" x14ac:dyDescent="0.3">
      <c r="A145" s="11"/>
      <c r="B145" s="21"/>
      <c r="C145" s="16">
        <v>30.16</v>
      </c>
      <c r="D145" s="16">
        <v>48.59</v>
      </c>
      <c r="E145" s="16">
        <v>21.25</v>
      </c>
      <c r="F145" s="16"/>
      <c r="H145" s="8">
        <f>E143</f>
        <v>2457</v>
      </c>
      <c r="I145" s="8">
        <f>E145</f>
        <v>21.25</v>
      </c>
      <c r="K145" s="8" t="str">
        <f t="shared" si="22"/>
        <v>2,457 (21.25)</v>
      </c>
      <c r="N145" s="11"/>
      <c r="O145" s="21"/>
      <c r="P145" s="16">
        <v>66.510000000000005</v>
      </c>
      <c r="Q145" s="16">
        <v>19.37</v>
      </c>
      <c r="R145" s="16">
        <v>14.12</v>
      </c>
      <c r="S145" s="16"/>
    </row>
    <row r="146" spans="1:19" x14ac:dyDescent="0.3">
      <c r="A146" s="11"/>
      <c r="B146" s="21"/>
      <c r="C146" s="16">
        <v>18.37</v>
      </c>
      <c r="D146" s="16">
        <v>19.37</v>
      </c>
      <c r="E146" s="16">
        <v>22.94</v>
      </c>
      <c r="F146" s="16"/>
      <c r="N146" s="11"/>
      <c r="O146" s="21"/>
      <c r="P146" s="16">
        <v>50.61</v>
      </c>
      <c r="Q146" s="16">
        <v>48.59</v>
      </c>
      <c r="R146" s="16">
        <v>45.43</v>
      </c>
      <c r="S146" s="16"/>
    </row>
    <row r="147" spans="1:19" x14ac:dyDescent="0.3">
      <c r="A147" s="11"/>
      <c r="B147" s="21">
        <v>3</v>
      </c>
      <c r="C147" s="16">
        <v>2588</v>
      </c>
      <c r="D147" s="16">
        <v>4094</v>
      </c>
      <c r="E147" s="16">
        <v>2329</v>
      </c>
      <c r="F147" s="16">
        <v>9011</v>
      </c>
      <c r="H147" s="8">
        <f>C147</f>
        <v>2588</v>
      </c>
      <c r="I147" s="8">
        <f>C149</f>
        <v>28.72</v>
      </c>
      <c r="K147" s="8" t="str">
        <f>TEXT(H147,"#,##0")&amp;" ("&amp;TEXT(I147,"0.00")&amp;")"</f>
        <v>2,588 (28.72)</v>
      </c>
      <c r="N147" s="11"/>
      <c r="O147" s="21">
        <v>3</v>
      </c>
      <c r="P147" s="16">
        <v>5923</v>
      </c>
      <c r="Q147" s="16">
        <v>2457</v>
      </c>
      <c r="R147" s="16">
        <v>2329</v>
      </c>
      <c r="S147" s="16">
        <v>10709</v>
      </c>
    </row>
    <row r="148" spans="1:19" x14ac:dyDescent="0.3">
      <c r="A148" s="11"/>
      <c r="B148" s="21"/>
      <c r="C148" s="16">
        <v>4.41</v>
      </c>
      <c r="D148" s="16">
        <v>6.98</v>
      </c>
      <c r="E148" s="16">
        <v>3.97</v>
      </c>
      <c r="F148" s="16">
        <v>15.35</v>
      </c>
      <c r="H148" s="8">
        <f>D147</f>
        <v>4094</v>
      </c>
      <c r="I148" s="8">
        <f>D149</f>
        <v>45.43</v>
      </c>
      <c r="K148" s="8" t="str">
        <f t="shared" ref="K148:K149" si="23">TEXT(H148,"#,##0")&amp;" ("&amp;TEXT(I148,"0.00")&amp;")"</f>
        <v>4,094 (45.43)</v>
      </c>
      <c r="N148" s="11"/>
      <c r="O148" s="21"/>
      <c r="P148" s="16">
        <v>10.09</v>
      </c>
      <c r="Q148" s="16">
        <v>4.1900000000000004</v>
      </c>
      <c r="R148" s="16">
        <v>3.97</v>
      </c>
      <c r="S148" s="16">
        <v>18.25</v>
      </c>
    </row>
    <row r="149" spans="1:19" x14ac:dyDescent="0.3">
      <c r="A149" s="11"/>
      <c r="B149" s="21"/>
      <c r="C149" s="16">
        <v>28.72</v>
      </c>
      <c r="D149" s="16">
        <v>45.43</v>
      </c>
      <c r="E149" s="16">
        <v>25.85</v>
      </c>
      <c r="F149" s="16"/>
      <c r="H149" s="8">
        <f>E147</f>
        <v>2329</v>
      </c>
      <c r="I149" s="8">
        <f>E149</f>
        <v>25.85</v>
      </c>
      <c r="K149" s="8" t="str">
        <f t="shared" si="23"/>
        <v>2,329 (25.85)</v>
      </c>
      <c r="N149" s="11"/>
      <c r="O149" s="21"/>
      <c r="P149" s="16">
        <v>55.31</v>
      </c>
      <c r="Q149" s="16">
        <v>22.94</v>
      </c>
      <c r="R149" s="16">
        <v>21.75</v>
      </c>
      <c r="S149" s="16"/>
    </row>
    <row r="150" spans="1:19" x14ac:dyDescent="0.3">
      <c r="A150" s="11"/>
      <c r="B150" s="21"/>
      <c r="C150" s="16">
        <v>13.64</v>
      </c>
      <c r="D150" s="16">
        <v>14.12</v>
      </c>
      <c r="E150" s="16">
        <v>21.75</v>
      </c>
      <c r="F150" s="16"/>
      <c r="N150" s="11"/>
      <c r="O150" s="21"/>
      <c r="P150" s="16">
        <v>15.54</v>
      </c>
      <c r="Q150" s="16">
        <v>21.25</v>
      </c>
      <c r="R150" s="16">
        <v>25.85</v>
      </c>
      <c r="S150" s="16"/>
    </row>
    <row r="151" spans="1:19" x14ac:dyDescent="0.3">
      <c r="A151" s="11"/>
      <c r="B151" s="21" t="s">
        <v>52</v>
      </c>
      <c r="C151" s="16">
        <v>18977</v>
      </c>
      <c r="D151" s="16">
        <v>29000</v>
      </c>
      <c r="E151" s="16">
        <v>10709</v>
      </c>
      <c r="F151" s="16">
        <v>58686</v>
      </c>
      <c r="N151" s="11"/>
      <c r="O151" s="21" t="s">
        <v>52</v>
      </c>
      <c r="P151" s="16">
        <v>38114</v>
      </c>
      <c r="Q151" s="16">
        <v>11561</v>
      </c>
      <c r="R151" s="16">
        <v>9011</v>
      </c>
      <c r="S151" s="16">
        <v>58686</v>
      </c>
    </row>
    <row r="152" spans="1:19" x14ac:dyDescent="0.3">
      <c r="A152" s="11"/>
      <c r="B152" s="21"/>
      <c r="C152" s="16">
        <v>32.340000000000003</v>
      </c>
      <c r="D152" s="16">
        <v>49.42</v>
      </c>
      <c r="E152" s="16">
        <v>18.25</v>
      </c>
      <c r="F152" s="16">
        <v>100</v>
      </c>
      <c r="N152" s="11"/>
      <c r="O152" s="21"/>
      <c r="P152" s="16">
        <v>64.95</v>
      </c>
      <c r="Q152" s="16">
        <v>19.7</v>
      </c>
      <c r="R152" s="16">
        <v>15.35</v>
      </c>
      <c r="S152" s="16">
        <v>100</v>
      </c>
    </row>
    <row r="153" spans="1:19" x14ac:dyDescent="0.3">
      <c r="A153" s="11"/>
      <c r="B153" s="22"/>
      <c r="C153" s="22"/>
      <c r="D153" s="22"/>
      <c r="E153" s="22"/>
      <c r="F153" s="22"/>
      <c r="N153" s="11"/>
      <c r="O153" s="22"/>
      <c r="P153" s="22"/>
      <c r="Q153" s="22"/>
      <c r="R153" s="22"/>
      <c r="S153" s="22"/>
    </row>
    <row r="154" spans="1:19" ht="16.5" thickBot="1" x14ac:dyDescent="0.35"/>
    <row r="155" spans="1:19" ht="16.5" customHeight="1" x14ac:dyDescent="0.3">
      <c r="A155" s="14" t="s">
        <v>47</v>
      </c>
      <c r="B155" s="23" t="s">
        <v>68</v>
      </c>
      <c r="C155" s="24"/>
      <c r="D155" s="24"/>
      <c r="E155" s="24"/>
      <c r="F155" s="24"/>
      <c r="N155" s="14" t="s">
        <v>47</v>
      </c>
      <c r="O155" s="23" t="s">
        <v>69</v>
      </c>
      <c r="P155" s="24"/>
      <c r="Q155" s="24"/>
      <c r="R155" s="24"/>
      <c r="S155" s="24"/>
    </row>
    <row r="156" spans="1:19" ht="16.5" customHeight="1" x14ac:dyDescent="0.3">
      <c r="A156" s="10" t="s">
        <v>50</v>
      </c>
      <c r="B156" s="21" t="s">
        <v>21</v>
      </c>
      <c r="C156" s="25" t="s">
        <v>11</v>
      </c>
      <c r="D156" s="25"/>
      <c r="E156" s="25"/>
      <c r="F156" s="25"/>
      <c r="N156" s="10" t="s">
        <v>50</v>
      </c>
      <c r="O156" s="21" t="s">
        <v>11</v>
      </c>
      <c r="P156" s="25" t="s">
        <v>21</v>
      </c>
      <c r="Q156" s="25"/>
      <c r="R156" s="25"/>
      <c r="S156" s="25"/>
    </row>
    <row r="157" spans="1:19" ht="34.5" x14ac:dyDescent="0.3">
      <c r="A157" s="10" t="s">
        <v>51</v>
      </c>
      <c r="B157" s="21"/>
      <c r="C157" s="15">
        <v>1</v>
      </c>
      <c r="D157" s="15">
        <v>2</v>
      </c>
      <c r="E157" s="15">
        <v>3</v>
      </c>
      <c r="F157" s="15" t="s">
        <v>52</v>
      </c>
      <c r="N157" s="10" t="s">
        <v>51</v>
      </c>
      <c r="O157" s="21"/>
      <c r="P157" s="15">
        <v>1</v>
      </c>
      <c r="Q157" s="15">
        <v>2</v>
      </c>
      <c r="R157" s="15">
        <v>3</v>
      </c>
      <c r="S157" s="15" t="s">
        <v>52</v>
      </c>
    </row>
    <row r="158" spans="1:19" ht="34.5" x14ac:dyDescent="0.3">
      <c r="A158" s="10" t="s">
        <v>53</v>
      </c>
      <c r="B158" s="21">
        <v>1</v>
      </c>
      <c r="C158" s="16">
        <v>11130</v>
      </c>
      <c r="D158" s="16">
        <v>22756</v>
      </c>
      <c r="E158" s="16">
        <v>4228</v>
      </c>
      <c r="F158" s="16">
        <v>38114</v>
      </c>
      <c r="H158" s="8">
        <f>C158</f>
        <v>11130</v>
      </c>
      <c r="I158" s="8">
        <f>C160</f>
        <v>29.2</v>
      </c>
      <c r="K158" s="8" t="str">
        <f>TEXT(H158,"#,##0")&amp;" ("&amp;TEXT(I158,"0.00")&amp;")"</f>
        <v>11,130 (29.20)</v>
      </c>
      <c r="N158" s="10" t="s">
        <v>53</v>
      </c>
      <c r="O158" s="21">
        <v>1</v>
      </c>
      <c r="P158" s="16">
        <v>11130</v>
      </c>
      <c r="Q158" s="16">
        <v>2727</v>
      </c>
      <c r="R158" s="16">
        <v>1667</v>
      </c>
      <c r="S158" s="16">
        <v>15524</v>
      </c>
    </row>
    <row r="159" spans="1:19" x14ac:dyDescent="0.3">
      <c r="A159" s="11"/>
      <c r="B159" s="21"/>
      <c r="C159" s="16">
        <v>18.97</v>
      </c>
      <c r="D159" s="16">
        <v>38.78</v>
      </c>
      <c r="E159" s="16">
        <v>7.2</v>
      </c>
      <c r="F159" s="16">
        <v>64.95</v>
      </c>
      <c r="H159" s="8">
        <f>D158</f>
        <v>22756</v>
      </c>
      <c r="I159" s="8">
        <f>D160</f>
        <v>59.71</v>
      </c>
      <c r="K159" s="8" t="str">
        <f t="shared" ref="K159:K160" si="24">TEXT(H159,"#,##0")&amp;" ("&amp;TEXT(I159,"0.00")&amp;")"</f>
        <v>22,756 (59.71)</v>
      </c>
      <c r="N159" s="11"/>
      <c r="O159" s="21"/>
      <c r="P159" s="16">
        <v>18.97</v>
      </c>
      <c r="Q159" s="16">
        <v>4.6500000000000004</v>
      </c>
      <c r="R159" s="16">
        <v>2.84</v>
      </c>
      <c r="S159" s="16">
        <v>26.45</v>
      </c>
    </row>
    <row r="160" spans="1:19" x14ac:dyDescent="0.3">
      <c r="A160" s="11"/>
      <c r="B160" s="21"/>
      <c r="C160" s="16">
        <v>29.2</v>
      </c>
      <c r="D160" s="16">
        <v>59.71</v>
      </c>
      <c r="E160" s="16">
        <v>11.09</v>
      </c>
      <c r="F160" s="16"/>
      <c r="H160" s="8">
        <f>E158</f>
        <v>4228</v>
      </c>
      <c r="I160" s="8">
        <f>E160</f>
        <v>11.09</v>
      </c>
      <c r="K160" s="8" t="str">
        <f t="shared" si="24"/>
        <v>4,228 (11.09)</v>
      </c>
      <c r="N160" s="11"/>
      <c r="O160" s="21"/>
      <c r="P160" s="16">
        <v>71.7</v>
      </c>
      <c r="Q160" s="16">
        <v>17.57</v>
      </c>
      <c r="R160" s="16">
        <v>10.74</v>
      </c>
      <c r="S160" s="16"/>
    </row>
    <row r="161" spans="1:19" x14ac:dyDescent="0.3">
      <c r="A161" s="11"/>
      <c r="B161" s="21"/>
      <c r="C161" s="16">
        <v>71.7</v>
      </c>
      <c r="D161" s="16">
        <v>65.94</v>
      </c>
      <c r="E161" s="16">
        <v>48.87</v>
      </c>
      <c r="F161" s="16"/>
      <c r="N161" s="11"/>
      <c r="O161" s="21"/>
      <c r="P161" s="16">
        <v>29.2</v>
      </c>
      <c r="Q161" s="16">
        <v>23.59</v>
      </c>
      <c r="R161" s="16">
        <v>18.5</v>
      </c>
      <c r="S161" s="16"/>
    </row>
    <row r="162" spans="1:19" x14ac:dyDescent="0.3">
      <c r="A162" s="11"/>
      <c r="B162" s="21">
        <v>2</v>
      </c>
      <c r="C162" s="16">
        <v>2727</v>
      </c>
      <c r="D162" s="16">
        <v>6709</v>
      </c>
      <c r="E162" s="16">
        <v>2125</v>
      </c>
      <c r="F162" s="16">
        <v>11561</v>
      </c>
      <c r="H162" s="8">
        <f>C162</f>
        <v>2727</v>
      </c>
      <c r="I162" s="8">
        <f>C164</f>
        <v>23.59</v>
      </c>
      <c r="K162" s="8" t="str">
        <f>TEXT(H162,"#,##0")&amp;" ("&amp;TEXT(I162,"0.00")&amp;")"</f>
        <v>2,727 (23.59)</v>
      </c>
      <c r="N162" s="11"/>
      <c r="O162" s="21">
        <v>2</v>
      </c>
      <c r="P162" s="16">
        <v>22756</v>
      </c>
      <c r="Q162" s="16">
        <v>6709</v>
      </c>
      <c r="R162" s="16">
        <v>5045</v>
      </c>
      <c r="S162" s="16">
        <v>34510</v>
      </c>
    </row>
    <row r="163" spans="1:19" x14ac:dyDescent="0.3">
      <c r="A163" s="11"/>
      <c r="B163" s="21"/>
      <c r="C163" s="16">
        <v>4.6500000000000004</v>
      </c>
      <c r="D163" s="16">
        <v>11.43</v>
      </c>
      <c r="E163" s="16">
        <v>3.62</v>
      </c>
      <c r="F163" s="16">
        <v>19.7</v>
      </c>
      <c r="H163" s="8">
        <f>D162</f>
        <v>6709</v>
      </c>
      <c r="I163" s="8">
        <f>D164</f>
        <v>58.03</v>
      </c>
      <c r="K163" s="8" t="str">
        <f t="shared" ref="K163:K164" si="25">TEXT(H163,"#,##0")&amp;" ("&amp;TEXT(I163,"0.00")&amp;")"</f>
        <v>6,709 (58.03)</v>
      </c>
      <c r="N163" s="11"/>
      <c r="O163" s="21"/>
      <c r="P163" s="16">
        <v>38.78</v>
      </c>
      <c r="Q163" s="16">
        <v>11.43</v>
      </c>
      <c r="R163" s="16">
        <v>8.6</v>
      </c>
      <c r="S163" s="16">
        <v>58.8</v>
      </c>
    </row>
    <row r="164" spans="1:19" x14ac:dyDescent="0.3">
      <c r="A164" s="11"/>
      <c r="B164" s="21"/>
      <c r="C164" s="16">
        <v>23.59</v>
      </c>
      <c r="D164" s="16">
        <v>58.03</v>
      </c>
      <c r="E164" s="16">
        <v>18.38</v>
      </c>
      <c r="F164" s="16"/>
      <c r="H164" s="8">
        <f>E162</f>
        <v>2125</v>
      </c>
      <c r="I164" s="8">
        <f>E164</f>
        <v>18.38</v>
      </c>
      <c r="K164" s="8" t="str">
        <f t="shared" si="25"/>
        <v>2,125 (18.38)</v>
      </c>
      <c r="N164" s="11"/>
      <c r="O164" s="21"/>
      <c r="P164" s="16">
        <v>65.94</v>
      </c>
      <c r="Q164" s="16">
        <v>19.440000000000001</v>
      </c>
      <c r="R164" s="16">
        <v>14.62</v>
      </c>
      <c r="S164" s="16"/>
    </row>
    <row r="165" spans="1:19" x14ac:dyDescent="0.3">
      <c r="A165" s="11"/>
      <c r="B165" s="21"/>
      <c r="C165" s="16">
        <v>17.57</v>
      </c>
      <c r="D165" s="16">
        <v>19.440000000000001</v>
      </c>
      <c r="E165" s="16">
        <v>24.56</v>
      </c>
      <c r="F165" s="16"/>
      <c r="N165" s="11"/>
      <c r="O165" s="21"/>
      <c r="P165" s="16">
        <v>59.71</v>
      </c>
      <c r="Q165" s="16">
        <v>58.03</v>
      </c>
      <c r="R165" s="16">
        <v>55.99</v>
      </c>
      <c r="S165" s="16"/>
    </row>
    <row r="166" spans="1:19" x14ac:dyDescent="0.3">
      <c r="A166" s="11"/>
      <c r="B166" s="21">
        <v>3</v>
      </c>
      <c r="C166" s="16">
        <v>1667</v>
      </c>
      <c r="D166" s="16">
        <v>5045</v>
      </c>
      <c r="E166" s="16">
        <v>2299</v>
      </c>
      <c r="F166" s="16">
        <v>9011</v>
      </c>
      <c r="H166" s="8">
        <f>C166</f>
        <v>1667</v>
      </c>
      <c r="I166" s="8">
        <f>C168</f>
        <v>18.5</v>
      </c>
      <c r="K166" s="8" t="str">
        <f>TEXT(H166,"#,##0")&amp;" ("&amp;TEXT(I166,"0.00")&amp;")"</f>
        <v>1,667 (18.50)</v>
      </c>
      <c r="N166" s="11"/>
      <c r="O166" s="21">
        <v>3</v>
      </c>
      <c r="P166" s="16">
        <v>4228</v>
      </c>
      <c r="Q166" s="16">
        <v>2125</v>
      </c>
      <c r="R166" s="16">
        <v>2299</v>
      </c>
      <c r="S166" s="16">
        <v>8652</v>
      </c>
    </row>
    <row r="167" spans="1:19" x14ac:dyDescent="0.3">
      <c r="A167" s="11"/>
      <c r="B167" s="21"/>
      <c r="C167" s="16">
        <v>2.84</v>
      </c>
      <c r="D167" s="16">
        <v>8.6</v>
      </c>
      <c r="E167" s="16">
        <v>3.92</v>
      </c>
      <c r="F167" s="16">
        <v>15.35</v>
      </c>
      <c r="H167" s="8">
        <f>D166</f>
        <v>5045</v>
      </c>
      <c r="I167" s="8">
        <f>D168</f>
        <v>55.99</v>
      </c>
      <c r="K167" s="8" t="str">
        <f t="shared" ref="K167:K168" si="26">TEXT(H167,"#,##0")&amp;" ("&amp;TEXT(I167,"0.00")&amp;")"</f>
        <v>5,045 (55.99)</v>
      </c>
      <c r="N167" s="11"/>
      <c r="O167" s="21"/>
      <c r="P167" s="16">
        <v>7.2</v>
      </c>
      <c r="Q167" s="16">
        <v>3.62</v>
      </c>
      <c r="R167" s="16">
        <v>3.92</v>
      </c>
      <c r="S167" s="16">
        <v>14.74</v>
      </c>
    </row>
    <row r="168" spans="1:19" x14ac:dyDescent="0.3">
      <c r="A168" s="11"/>
      <c r="B168" s="21"/>
      <c r="C168" s="16">
        <v>18.5</v>
      </c>
      <c r="D168" s="16">
        <v>55.99</v>
      </c>
      <c r="E168" s="16">
        <v>25.51</v>
      </c>
      <c r="F168" s="16"/>
      <c r="H168" s="8">
        <f>E166</f>
        <v>2299</v>
      </c>
      <c r="I168" s="8">
        <f>E168</f>
        <v>25.51</v>
      </c>
      <c r="K168" s="8" t="str">
        <f t="shared" si="26"/>
        <v>2,299 (25.51)</v>
      </c>
      <c r="N168" s="11"/>
      <c r="O168" s="21"/>
      <c r="P168" s="16">
        <v>48.87</v>
      </c>
      <c r="Q168" s="16">
        <v>24.56</v>
      </c>
      <c r="R168" s="16">
        <v>26.57</v>
      </c>
      <c r="S168" s="16"/>
    </row>
    <row r="169" spans="1:19" x14ac:dyDescent="0.3">
      <c r="A169" s="11"/>
      <c r="B169" s="21"/>
      <c r="C169" s="16">
        <v>10.74</v>
      </c>
      <c r="D169" s="16">
        <v>14.62</v>
      </c>
      <c r="E169" s="16">
        <v>26.57</v>
      </c>
      <c r="F169" s="16"/>
      <c r="N169" s="11"/>
      <c r="O169" s="21"/>
      <c r="P169" s="16">
        <v>11.09</v>
      </c>
      <c r="Q169" s="16">
        <v>18.38</v>
      </c>
      <c r="R169" s="16">
        <v>25.51</v>
      </c>
      <c r="S169" s="16"/>
    </row>
    <row r="170" spans="1:19" x14ac:dyDescent="0.3">
      <c r="A170" s="11"/>
      <c r="B170" s="21" t="s">
        <v>52</v>
      </c>
      <c r="C170" s="16">
        <v>15524</v>
      </c>
      <c r="D170" s="16">
        <v>34510</v>
      </c>
      <c r="E170" s="16">
        <v>8652</v>
      </c>
      <c r="F170" s="16">
        <v>58686</v>
      </c>
      <c r="N170" s="11"/>
      <c r="O170" s="21" t="s">
        <v>52</v>
      </c>
      <c r="P170" s="16">
        <v>38114</v>
      </c>
      <c r="Q170" s="16">
        <v>11561</v>
      </c>
      <c r="R170" s="16">
        <v>9011</v>
      </c>
      <c r="S170" s="16">
        <v>58686</v>
      </c>
    </row>
    <row r="171" spans="1:19" x14ac:dyDescent="0.3">
      <c r="A171" s="11"/>
      <c r="B171" s="21"/>
      <c r="C171" s="16">
        <v>26.45</v>
      </c>
      <c r="D171" s="16">
        <v>58.8</v>
      </c>
      <c r="E171" s="16">
        <v>14.74</v>
      </c>
      <c r="F171" s="16">
        <v>100</v>
      </c>
      <c r="N171" s="11"/>
      <c r="O171" s="21"/>
      <c r="P171" s="16">
        <v>64.95</v>
      </c>
      <c r="Q171" s="16">
        <v>19.7</v>
      </c>
      <c r="R171" s="16">
        <v>15.35</v>
      </c>
      <c r="S171" s="16">
        <v>100</v>
      </c>
    </row>
    <row r="172" spans="1:19" x14ac:dyDescent="0.3">
      <c r="A172" s="11"/>
      <c r="B172" s="22"/>
      <c r="C172" s="22"/>
      <c r="D172" s="22"/>
      <c r="E172" s="22"/>
      <c r="F172" s="22"/>
      <c r="N172" s="11"/>
      <c r="O172" s="22"/>
      <c r="P172" s="22"/>
      <c r="Q172" s="22"/>
      <c r="R172" s="22"/>
      <c r="S172" s="22"/>
    </row>
    <row r="173" spans="1:19" ht="16.5" thickBot="1" x14ac:dyDescent="0.35"/>
    <row r="174" spans="1:19" ht="16.5" customHeight="1" x14ac:dyDescent="0.3">
      <c r="A174" s="14" t="s">
        <v>47</v>
      </c>
      <c r="B174" s="23" t="s">
        <v>70</v>
      </c>
      <c r="C174" s="24"/>
      <c r="D174" s="24"/>
      <c r="E174" s="24"/>
      <c r="F174" s="24"/>
      <c r="N174" s="14" t="s">
        <v>47</v>
      </c>
      <c r="O174" s="23" t="s">
        <v>71</v>
      </c>
      <c r="P174" s="24"/>
      <c r="Q174" s="24"/>
      <c r="R174" s="24"/>
      <c r="S174" s="24"/>
    </row>
    <row r="175" spans="1:19" ht="16.5" customHeight="1" x14ac:dyDescent="0.3">
      <c r="A175" s="10" t="s">
        <v>50</v>
      </c>
      <c r="B175" s="21" t="s">
        <v>21</v>
      </c>
      <c r="C175" s="25" t="s">
        <v>12</v>
      </c>
      <c r="D175" s="25"/>
      <c r="E175" s="25"/>
      <c r="F175" s="25"/>
      <c r="N175" s="10" t="s">
        <v>50</v>
      </c>
      <c r="O175" s="21" t="s">
        <v>12</v>
      </c>
      <c r="P175" s="25" t="s">
        <v>21</v>
      </c>
      <c r="Q175" s="25"/>
      <c r="R175" s="25"/>
      <c r="S175" s="25"/>
    </row>
    <row r="176" spans="1:19" ht="34.5" x14ac:dyDescent="0.3">
      <c r="A176" s="10" t="s">
        <v>51</v>
      </c>
      <c r="B176" s="21"/>
      <c r="C176" s="15">
        <v>1</v>
      </c>
      <c r="D176" s="15">
        <v>2</v>
      </c>
      <c r="E176" s="15">
        <v>3</v>
      </c>
      <c r="F176" s="15" t="s">
        <v>52</v>
      </c>
      <c r="N176" s="10" t="s">
        <v>51</v>
      </c>
      <c r="O176" s="21"/>
      <c r="P176" s="15">
        <v>1</v>
      </c>
      <c r="Q176" s="15">
        <v>2</v>
      </c>
      <c r="R176" s="15">
        <v>3</v>
      </c>
      <c r="S176" s="15" t="s">
        <v>52</v>
      </c>
    </row>
    <row r="177" spans="1:19" ht="34.5" x14ac:dyDescent="0.3">
      <c r="A177" s="10" t="s">
        <v>53</v>
      </c>
      <c r="B177" s="21">
        <v>1</v>
      </c>
      <c r="C177" s="16">
        <v>15727</v>
      </c>
      <c r="D177" s="16">
        <v>14502</v>
      </c>
      <c r="E177" s="16">
        <v>7885</v>
      </c>
      <c r="F177" s="16">
        <v>38114</v>
      </c>
      <c r="H177" s="8">
        <f>C177</f>
        <v>15727</v>
      </c>
      <c r="I177" s="8">
        <f>C179</f>
        <v>41.26</v>
      </c>
      <c r="K177" s="8" t="str">
        <f>TEXT(H177,"#,##0")&amp;" ("&amp;TEXT(I177,"0.00")&amp;")"</f>
        <v>15,727 (41.26)</v>
      </c>
      <c r="N177" s="10" t="s">
        <v>53</v>
      </c>
      <c r="O177" s="21">
        <v>1</v>
      </c>
      <c r="P177" s="16">
        <v>15727</v>
      </c>
      <c r="Q177" s="16">
        <v>4324</v>
      </c>
      <c r="R177" s="16">
        <v>3024</v>
      </c>
      <c r="S177" s="16">
        <v>23075</v>
      </c>
    </row>
    <row r="178" spans="1:19" x14ac:dyDescent="0.3">
      <c r="A178" s="11"/>
      <c r="B178" s="21"/>
      <c r="C178" s="16">
        <v>26.8</v>
      </c>
      <c r="D178" s="16">
        <v>24.71</v>
      </c>
      <c r="E178" s="16">
        <v>13.44</v>
      </c>
      <c r="F178" s="16">
        <v>64.95</v>
      </c>
      <c r="H178" s="8">
        <f>D177</f>
        <v>14502</v>
      </c>
      <c r="I178" s="8">
        <f>D179</f>
        <v>38.049999999999997</v>
      </c>
      <c r="K178" s="8" t="str">
        <f t="shared" ref="K178:K179" si="27">TEXT(H178,"#,##0")&amp;" ("&amp;TEXT(I178,"0.00")&amp;")"</f>
        <v>14,502 (38.05)</v>
      </c>
      <c r="N178" s="11"/>
      <c r="O178" s="21"/>
      <c r="P178" s="16">
        <v>26.8</v>
      </c>
      <c r="Q178" s="16">
        <v>7.37</v>
      </c>
      <c r="R178" s="16">
        <v>5.15</v>
      </c>
      <c r="S178" s="16">
        <v>39.32</v>
      </c>
    </row>
    <row r="179" spans="1:19" x14ac:dyDescent="0.3">
      <c r="A179" s="11"/>
      <c r="B179" s="21"/>
      <c r="C179" s="16">
        <v>41.26</v>
      </c>
      <c r="D179" s="16">
        <v>38.049999999999997</v>
      </c>
      <c r="E179" s="16">
        <v>20.69</v>
      </c>
      <c r="F179" s="16"/>
      <c r="H179" s="8">
        <f>E177</f>
        <v>7885</v>
      </c>
      <c r="I179" s="8">
        <f>E179</f>
        <v>20.69</v>
      </c>
      <c r="K179" s="8" t="str">
        <f t="shared" si="27"/>
        <v>7,885 (20.69)</v>
      </c>
      <c r="N179" s="11"/>
      <c r="O179" s="21"/>
      <c r="P179" s="16">
        <v>68.16</v>
      </c>
      <c r="Q179" s="16">
        <v>18.739999999999998</v>
      </c>
      <c r="R179" s="16">
        <v>13.11</v>
      </c>
      <c r="S179" s="16"/>
    </row>
    <row r="180" spans="1:19" x14ac:dyDescent="0.3">
      <c r="A180" s="11"/>
      <c r="B180" s="21"/>
      <c r="C180" s="16">
        <v>68.16</v>
      </c>
      <c r="D180" s="16">
        <v>70.290000000000006</v>
      </c>
      <c r="E180" s="16">
        <v>52.64</v>
      </c>
      <c r="F180" s="16"/>
      <c r="N180" s="11"/>
      <c r="O180" s="21"/>
      <c r="P180" s="16">
        <v>41.26</v>
      </c>
      <c r="Q180" s="16">
        <v>37.4</v>
      </c>
      <c r="R180" s="16">
        <v>33.56</v>
      </c>
      <c r="S180" s="16"/>
    </row>
    <row r="181" spans="1:19" x14ac:dyDescent="0.3">
      <c r="A181" s="11"/>
      <c r="B181" s="21">
        <v>2</v>
      </c>
      <c r="C181" s="16">
        <v>4324</v>
      </c>
      <c r="D181" s="16">
        <v>3548</v>
      </c>
      <c r="E181" s="16">
        <v>3689</v>
      </c>
      <c r="F181" s="16">
        <v>11561</v>
      </c>
      <c r="H181" s="8">
        <f>C181</f>
        <v>4324</v>
      </c>
      <c r="I181" s="8">
        <f>C183</f>
        <v>37.4</v>
      </c>
      <c r="K181" s="8" t="str">
        <f>TEXT(H181,"#,##0")&amp;" ("&amp;TEXT(I181,"0.00")&amp;")"</f>
        <v>4,324 (37.40)</v>
      </c>
      <c r="N181" s="11"/>
      <c r="O181" s="21">
        <v>2</v>
      </c>
      <c r="P181" s="16">
        <v>14502</v>
      </c>
      <c r="Q181" s="16">
        <v>3548</v>
      </c>
      <c r="R181" s="16">
        <v>2583</v>
      </c>
      <c r="S181" s="16">
        <v>20633</v>
      </c>
    </row>
    <row r="182" spans="1:19" x14ac:dyDescent="0.3">
      <c r="A182" s="11"/>
      <c r="B182" s="21"/>
      <c r="C182" s="16">
        <v>7.37</v>
      </c>
      <c r="D182" s="16">
        <v>6.05</v>
      </c>
      <c r="E182" s="16">
        <v>6.29</v>
      </c>
      <c r="F182" s="16">
        <v>19.7</v>
      </c>
      <c r="H182" s="8">
        <f>D181</f>
        <v>3548</v>
      </c>
      <c r="I182" s="8">
        <f>D183</f>
        <v>30.69</v>
      </c>
      <c r="K182" s="8" t="str">
        <f t="shared" ref="K182:K183" si="28">TEXT(H182,"#,##0")&amp;" ("&amp;TEXT(I182,"0.00")&amp;")"</f>
        <v>3,548 (30.69)</v>
      </c>
      <c r="N182" s="11"/>
      <c r="O182" s="21"/>
      <c r="P182" s="16">
        <v>24.71</v>
      </c>
      <c r="Q182" s="16">
        <v>6.05</v>
      </c>
      <c r="R182" s="16">
        <v>4.4000000000000004</v>
      </c>
      <c r="S182" s="16">
        <v>35.159999999999997</v>
      </c>
    </row>
    <row r="183" spans="1:19" x14ac:dyDescent="0.3">
      <c r="A183" s="11"/>
      <c r="B183" s="21"/>
      <c r="C183" s="16">
        <v>37.4</v>
      </c>
      <c r="D183" s="16">
        <v>30.69</v>
      </c>
      <c r="E183" s="16">
        <v>31.91</v>
      </c>
      <c r="F183" s="16"/>
      <c r="H183" s="8">
        <f>E181</f>
        <v>3689</v>
      </c>
      <c r="I183" s="8">
        <f>E183</f>
        <v>31.91</v>
      </c>
      <c r="K183" s="8" t="str">
        <f t="shared" si="28"/>
        <v>3,689 (31.91)</v>
      </c>
      <c r="N183" s="11"/>
      <c r="O183" s="21"/>
      <c r="P183" s="16">
        <v>70.290000000000006</v>
      </c>
      <c r="Q183" s="16">
        <v>17.2</v>
      </c>
      <c r="R183" s="16">
        <v>12.52</v>
      </c>
      <c r="S183" s="16"/>
    </row>
    <row r="184" spans="1:19" x14ac:dyDescent="0.3">
      <c r="A184" s="11"/>
      <c r="B184" s="21"/>
      <c r="C184" s="16">
        <v>18.739999999999998</v>
      </c>
      <c r="D184" s="16">
        <v>17.2</v>
      </c>
      <c r="E184" s="16">
        <v>24.63</v>
      </c>
      <c r="F184" s="16"/>
      <c r="N184" s="11"/>
      <c r="O184" s="21"/>
      <c r="P184" s="16">
        <v>38.049999999999997</v>
      </c>
      <c r="Q184" s="16">
        <v>30.69</v>
      </c>
      <c r="R184" s="16">
        <v>28.66</v>
      </c>
      <c r="S184" s="16"/>
    </row>
    <row r="185" spans="1:19" x14ac:dyDescent="0.3">
      <c r="A185" s="11"/>
      <c r="B185" s="21">
        <v>3</v>
      </c>
      <c r="C185" s="16">
        <v>3024</v>
      </c>
      <c r="D185" s="16">
        <v>2583</v>
      </c>
      <c r="E185" s="16">
        <v>3404</v>
      </c>
      <c r="F185" s="16">
        <v>9011</v>
      </c>
      <c r="H185" s="8">
        <f>C185</f>
        <v>3024</v>
      </c>
      <c r="I185" s="8">
        <f>C187</f>
        <v>33.56</v>
      </c>
      <c r="K185" s="8" t="str">
        <f>TEXT(H185,"#,##0")&amp;" ("&amp;TEXT(I185,"0.00")&amp;")"</f>
        <v>3,024 (33.56)</v>
      </c>
      <c r="N185" s="11"/>
      <c r="O185" s="21">
        <v>3</v>
      </c>
      <c r="P185" s="16">
        <v>7885</v>
      </c>
      <c r="Q185" s="16">
        <v>3689</v>
      </c>
      <c r="R185" s="16">
        <v>3404</v>
      </c>
      <c r="S185" s="16">
        <v>14978</v>
      </c>
    </row>
    <row r="186" spans="1:19" x14ac:dyDescent="0.3">
      <c r="A186" s="11"/>
      <c r="B186" s="21"/>
      <c r="C186" s="16">
        <v>5.15</v>
      </c>
      <c r="D186" s="16">
        <v>4.4000000000000004</v>
      </c>
      <c r="E186" s="16">
        <v>5.8</v>
      </c>
      <c r="F186" s="16">
        <v>15.35</v>
      </c>
      <c r="H186" s="8">
        <f>D185</f>
        <v>2583</v>
      </c>
      <c r="I186" s="8">
        <f>D187</f>
        <v>28.66</v>
      </c>
      <c r="K186" s="8" t="str">
        <f t="shared" ref="K186:K187" si="29">TEXT(H186,"#,##0")&amp;" ("&amp;TEXT(I186,"0.00")&amp;")"</f>
        <v>2,583 (28.66)</v>
      </c>
      <c r="N186" s="11"/>
      <c r="O186" s="21"/>
      <c r="P186" s="16">
        <v>13.44</v>
      </c>
      <c r="Q186" s="16">
        <v>6.29</v>
      </c>
      <c r="R186" s="16">
        <v>5.8</v>
      </c>
      <c r="S186" s="16">
        <v>25.52</v>
      </c>
    </row>
    <row r="187" spans="1:19" x14ac:dyDescent="0.3">
      <c r="A187" s="11"/>
      <c r="B187" s="21"/>
      <c r="C187" s="16">
        <v>33.56</v>
      </c>
      <c r="D187" s="16">
        <v>28.66</v>
      </c>
      <c r="E187" s="16">
        <v>37.78</v>
      </c>
      <c r="F187" s="16"/>
      <c r="H187" s="8">
        <f>E185</f>
        <v>3404</v>
      </c>
      <c r="I187" s="8">
        <f>E187</f>
        <v>37.78</v>
      </c>
      <c r="K187" s="8" t="str">
        <f t="shared" si="29"/>
        <v>3,404 (37.78)</v>
      </c>
      <c r="N187" s="11"/>
      <c r="O187" s="21"/>
      <c r="P187" s="16">
        <v>52.64</v>
      </c>
      <c r="Q187" s="16">
        <v>24.63</v>
      </c>
      <c r="R187" s="16">
        <v>22.73</v>
      </c>
      <c r="S187" s="16"/>
    </row>
    <row r="188" spans="1:19" x14ac:dyDescent="0.3">
      <c r="A188" s="11"/>
      <c r="B188" s="21"/>
      <c r="C188" s="16">
        <v>13.11</v>
      </c>
      <c r="D188" s="16">
        <v>12.52</v>
      </c>
      <c r="E188" s="16">
        <v>22.73</v>
      </c>
      <c r="F188" s="16"/>
      <c r="N188" s="11"/>
      <c r="O188" s="21"/>
      <c r="P188" s="16">
        <v>20.69</v>
      </c>
      <c r="Q188" s="16">
        <v>31.91</v>
      </c>
      <c r="R188" s="16">
        <v>37.78</v>
      </c>
      <c r="S188" s="16"/>
    </row>
    <row r="189" spans="1:19" x14ac:dyDescent="0.3">
      <c r="A189" s="11"/>
      <c r="B189" s="21" t="s">
        <v>52</v>
      </c>
      <c r="C189" s="16">
        <v>23075</v>
      </c>
      <c r="D189" s="16">
        <v>20633</v>
      </c>
      <c r="E189" s="16">
        <v>14978</v>
      </c>
      <c r="F189" s="16">
        <v>58686</v>
      </c>
      <c r="N189" s="11"/>
      <c r="O189" s="21" t="s">
        <v>52</v>
      </c>
      <c r="P189" s="16">
        <v>38114</v>
      </c>
      <c r="Q189" s="16">
        <v>11561</v>
      </c>
      <c r="R189" s="16">
        <v>9011</v>
      </c>
      <c r="S189" s="16">
        <v>58686</v>
      </c>
    </row>
    <row r="190" spans="1:19" x14ac:dyDescent="0.3">
      <c r="A190" s="11"/>
      <c r="B190" s="21"/>
      <c r="C190" s="16">
        <v>39.32</v>
      </c>
      <c r="D190" s="16">
        <v>35.159999999999997</v>
      </c>
      <c r="E190" s="16">
        <v>25.52</v>
      </c>
      <c r="F190" s="16">
        <v>100</v>
      </c>
      <c r="N190" s="11"/>
      <c r="O190" s="21"/>
      <c r="P190" s="16">
        <v>64.95</v>
      </c>
      <c r="Q190" s="16">
        <v>19.7</v>
      </c>
      <c r="R190" s="16">
        <v>15.35</v>
      </c>
      <c r="S190" s="16">
        <v>100</v>
      </c>
    </row>
    <row r="191" spans="1:19" x14ac:dyDescent="0.3">
      <c r="A191" s="11"/>
      <c r="B191" s="22"/>
      <c r="C191" s="22"/>
      <c r="D191" s="22"/>
      <c r="E191" s="22"/>
      <c r="F191" s="22"/>
      <c r="N191" s="11"/>
      <c r="O191" s="22"/>
      <c r="P191" s="22"/>
      <c r="Q191" s="22"/>
      <c r="R191" s="22"/>
      <c r="S191" s="22"/>
    </row>
    <row r="192" spans="1:19" ht="16.5" thickBot="1" x14ac:dyDescent="0.35"/>
    <row r="193" spans="1:19" ht="16.5" customHeight="1" x14ac:dyDescent="0.3">
      <c r="A193" s="14" t="s">
        <v>47</v>
      </c>
      <c r="B193" s="23" t="s">
        <v>72</v>
      </c>
      <c r="C193" s="24"/>
      <c r="D193" s="24"/>
      <c r="E193" s="24"/>
      <c r="N193" s="14" t="s">
        <v>47</v>
      </c>
      <c r="O193" s="23" t="s">
        <v>73</v>
      </c>
      <c r="P193" s="24"/>
      <c r="Q193" s="24"/>
      <c r="R193" s="24"/>
      <c r="S193" s="24"/>
    </row>
    <row r="194" spans="1:19" ht="16.5" customHeight="1" x14ac:dyDescent="0.3">
      <c r="A194" s="10" t="s">
        <v>50</v>
      </c>
      <c r="B194" s="21" t="s">
        <v>21</v>
      </c>
      <c r="C194" s="25" t="s">
        <v>13</v>
      </c>
      <c r="D194" s="25"/>
      <c r="E194" s="25"/>
      <c r="N194" s="10" t="s">
        <v>50</v>
      </c>
      <c r="O194" s="21" t="s">
        <v>13</v>
      </c>
      <c r="P194" s="25" t="s">
        <v>21</v>
      </c>
      <c r="Q194" s="25"/>
      <c r="R194" s="25"/>
      <c r="S194" s="25"/>
    </row>
    <row r="195" spans="1:19" ht="34.5" x14ac:dyDescent="0.3">
      <c r="A195" s="10" t="s">
        <v>51</v>
      </c>
      <c r="B195" s="21"/>
      <c r="C195" s="15">
        <v>0</v>
      </c>
      <c r="D195" s="15">
        <v>1</v>
      </c>
      <c r="E195" s="15" t="s">
        <v>52</v>
      </c>
      <c r="N195" s="10" t="s">
        <v>51</v>
      </c>
      <c r="O195" s="21"/>
      <c r="P195" s="15">
        <v>1</v>
      </c>
      <c r="Q195" s="15">
        <v>2</v>
      </c>
      <c r="R195" s="15">
        <v>3</v>
      </c>
      <c r="S195" s="15" t="s">
        <v>52</v>
      </c>
    </row>
    <row r="196" spans="1:19" ht="34.5" x14ac:dyDescent="0.3">
      <c r="A196" s="10" t="s">
        <v>53</v>
      </c>
      <c r="B196" s="21">
        <v>1</v>
      </c>
      <c r="C196" s="16">
        <v>31968</v>
      </c>
      <c r="D196" s="16">
        <v>6146</v>
      </c>
      <c r="E196" s="16">
        <v>38114</v>
      </c>
      <c r="H196" s="8">
        <f>C196</f>
        <v>31968</v>
      </c>
      <c r="I196" s="8">
        <f>C198</f>
        <v>83.87</v>
      </c>
      <c r="K196" s="8" t="str">
        <f>TEXT(H196,"#,##0")&amp;" ("&amp;TEXT(I196,"0.00")&amp;")"</f>
        <v>31,968 (83.87)</v>
      </c>
      <c r="N196" s="10" t="s">
        <v>53</v>
      </c>
      <c r="O196" s="21">
        <v>0</v>
      </c>
      <c r="P196" s="16">
        <v>31968</v>
      </c>
      <c r="Q196" s="16">
        <v>7986</v>
      </c>
      <c r="R196" s="16">
        <v>4293</v>
      </c>
      <c r="S196" s="16">
        <v>44247</v>
      </c>
    </row>
    <row r="197" spans="1:19" x14ac:dyDescent="0.3">
      <c r="A197" s="11"/>
      <c r="B197" s="21"/>
      <c r="C197" s="16">
        <v>54.47</v>
      </c>
      <c r="D197" s="16">
        <v>10.47</v>
      </c>
      <c r="E197" s="16">
        <v>64.95</v>
      </c>
      <c r="H197" s="8">
        <f>D196</f>
        <v>6146</v>
      </c>
      <c r="I197" s="8">
        <f>D198</f>
        <v>16.13</v>
      </c>
      <c r="K197" s="8" t="str">
        <f t="shared" ref="K197" si="30">TEXT(H197,"#,##0")&amp;" ("&amp;TEXT(I197,"0.00")&amp;")"</f>
        <v>6,146 (16.13)</v>
      </c>
      <c r="N197" s="11"/>
      <c r="O197" s="21"/>
      <c r="P197" s="16">
        <v>54.47</v>
      </c>
      <c r="Q197" s="16">
        <v>13.61</v>
      </c>
      <c r="R197" s="16">
        <v>7.32</v>
      </c>
      <c r="S197" s="16">
        <v>75.400000000000006</v>
      </c>
    </row>
    <row r="198" spans="1:19" x14ac:dyDescent="0.3">
      <c r="A198" s="11"/>
      <c r="B198" s="21"/>
      <c r="C198" s="16">
        <v>83.87</v>
      </c>
      <c r="D198" s="16">
        <v>16.13</v>
      </c>
      <c r="E198" s="16"/>
      <c r="N198" s="11"/>
      <c r="O198" s="21"/>
      <c r="P198" s="16">
        <v>72.25</v>
      </c>
      <c r="Q198" s="16">
        <v>18.05</v>
      </c>
      <c r="R198" s="16">
        <v>9.6999999999999993</v>
      </c>
      <c r="S198" s="16"/>
    </row>
    <row r="199" spans="1:19" x14ac:dyDescent="0.3">
      <c r="A199" s="11"/>
      <c r="B199" s="21"/>
      <c r="C199" s="16">
        <v>72.25</v>
      </c>
      <c r="D199" s="16">
        <v>42.57</v>
      </c>
      <c r="E199" s="16"/>
      <c r="N199" s="11"/>
      <c r="O199" s="21"/>
      <c r="P199" s="16">
        <v>83.87</v>
      </c>
      <c r="Q199" s="16">
        <v>69.08</v>
      </c>
      <c r="R199" s="16">
        <v>47.64</v>
      </c>
      <c r="S199" s="16"/>
    </row>
    <row r="200" spans="1:19" x14ac:dyDescent="0.3">
      <c r="A200" s="11"/>
      <c r="B200" s="21">
        <v>2</v>
      </c>
      <c r="C200" s="16">
        <v>7986</v>
      </c>
      <c r="D200" s="16">
        <v>3575</v>
      </c>
      <c r="E200" s="16">
        <v>11561</v>
      </c>
      <c r="H200" s="8">
        <f>C200</f>
        <v>7986</v>
      </c>
      <c r="I200" s="8">
        <f>C202</f>
        <v>69.08</v>
      </c>
      <c r="K200" s="8" t="str">
        <f>TEXT(H200,"#,##0")&amp;" ("&amp;TEXT(I200,"0.00")&amp;")"</f>
        <v>7,986 (69.08)</v>
      </c>
      <c r="N200" s="11"/>
      <c r="O200" s="21">
        <v>1</v>
      </c>
      <c r="P200" s="16">
        <v>6146</v>
      </c>
      <c r="Q200" s="16">
        <v>3575</v>
      </c>
      <c r="R200" s="16">
        <v>4718</v>
      </c>
      <c r="S200" s="16">
        <v>14439</v>
      </c>
    </row>
    <row r="201" spans="1:19" x14ac:dyDescent="0.3">
      <c r="A201" s="11"/>
      <c r="B201" s="21"/>
      <c r="C201" s="16">
        <v>13.61</v>
      </c>
      <c r="D201" s="16">
        <v>6.09</v>
      </c>
      <c r="E201" s="16">
        <v>19.7</v>
      </c>
      <c r="H201" s="8">
        <f>D200</f>
        <v>3575</v>
      </c>
      <c r="I201" s="8">
        <f>D202</f>
        <v>30.92</v>
      </c>
      <c r="K201" s="8" t="str">
        <f t="shared" ref="K201" si="31">TEXT(H201,"#,##0")&amp;" ("&amp;TEXT(I201,"0.00")&amp;")"</f>
        <v>3,575 (30.92)</v>
      </c>
      <c r="N201" s="11"/>
      <c r="O201" s="21"/>
      <c r="P201" s="16">
        <v>10.47</v>
      </c>
      <c r="Q201" s="16">
        <v>6.09</v>
      </c>
      <c r="R201" s="16">
        <v>8.0399999999999991</v>
      </c>
      <c r="S201" s="16">
        <v>24.6</v>
      </c>
    </row>
    <row r="202" spans="1:19" x14ac:dyDescent="0.3">
      <c r="A202" s="11"/>
      <c r="B202" s="21"/>
      <c r="C202" s="16">
        <v>69.08</v>
      </c>
      <c r="D202" s="16">
        <v>30.92</v>
      </c>
      <c r="E202" s="16"/>
      <c r="N202" s="11"/>
      <c r="O202" s="21"/>
      <c r="P202" s="16">
        <v>42.57</v>
      </c>
      <c r="Q202" s="16">
        <v>24.76</v>
      </c>
      <c r="R202" s="16">
        <v>32.68</v>
      </c>
      <c r="S202" s="16"/>
    </row>
    <row r="203" spans="1:19" x14ac:dyDescent="0.3">
      <c r="A203" s="11"/>
      <c r="B203" s="21"/>
      <c r="C203" s="16">
        <v>18.05</v>
      </c>
      <c r="D203" s="16">
        <v>24.76</v>
      </c>
      <c r="E203" s="16"/>
      <c r="N203" s="11"/>
      <c r="O203" s="21"/>
      <c r="P203" s="16">
        <v>16.13</v>
      </c>
      <c r="Q203" s="16">
        <v>30.92</v>
      </c>
      <c r="R203" s="16">
        <v>52.36</v>
      </c>
      <c r="S203" s="16"/>
    </row>
    <row r="204" spans="1:19" x14ac:dyDescent="0.3">
      <c r="A204" s="11"/>
      <c r="B204" s="21">
        <v>3</v>
      </c>
      <c r="C204" s="16">
        <v>4293</v>
      </c>
      <c r="D204" s="16">
        <v>4718</v>
      </c>
      <c r="E204" s="16">
        <v>9011</v>
      </c>
      <c r="H204" s="8">
        <f>C204</f>
        <v>4293</v>
      </c>
      <c r="I204" s="8">
        <f>C206</f>
        <v>47.64</v>
      </c>
      <c r="K204" s="8" t="str">
        <f>TEXT(H204,"#,##0")&amp;" ("&amp;TEXT(I204,"0.00")&amp;")"</f>
        <v>4,293 (47.64)</v>
      </c>
      <c r="N204" s="11"/>
      <c r="O204" s="21" t="s">
        <v>52</v>
      </c>
      <c r="P204" s="16">
        <v>38114</v>
      </c>
      <c r="Q204" s="16">
        <v>11561</v>
      </c>
      <c r="R204" s="16">
        <v>9011</v>
      </c>
      <c r="S204" s="16">
        <v>58686</v>
      </c>
    </row>
    <row r="205" spans="1:19" x14ac:dyDescent="0.3">
      <c r="A205" s="11"/>
      <c r="B205" s="21"/>
      <c r="C205" s="16">
        <v>7.32</v>
      </c>
      <c r="D205" s="16">
        <v>8.0399999999999991</v>
      </c>
      <c r="E205" s="16">
        <v>15.35</v>
      </c>
      <c r="H205" s="8">
        <f>D204</f>
        <v>4718</v>
      </c>
      <c r="I205" s="8">
        <f>D206</f>
        <v>52.36</v>
      </c>
      <c r="K205" s="8" t="str">
        <f t="shared" ref="K205" si="32">TEXT(H205,"#,##0")&amp;" ("&amp;TEXT(I205,"0.00")&amp;")"</f>
        <v>4,718 (52.36)</v>
      </c>
      <c r="N205" s="11"/>
      <c r="O205" s="21"/>
      <c r="P205" s="16">
        <v>64.95</v>
      </c>
      <c r="Q205" s="16">
        <v>19.7</v>
      </c>
      <c r="R205" s="16">
        <v>15.35</v>
      </c>
      <c r="S205" s="16">
        <v>100</v>
      </c>
    </row>
    <row r="206" spans="1:19" x14ac:dyDescent="0.3">
      <c r="A206" s="11"/>
      <c r="B206" s="21"/>
      <c r="C206" s="16">
        <v>47.64</v>
      </c>
      <c r="D206" s="16">
        <v>52.36</v>
      </c>
      <c r="E206" s="16"/>
      <c r="N206" s="11"/>
      <c r="O206" s="22"/>
      <c r="P206" s="22"/>
      <c r="Q206" s="22"/>
      <c r="R206" s="22"/>
      <c r="S206" s="22"/>
    </row>
    <row r="207" spans="1:19" ht="16.5" thickBot="1" x14ac:dyDescent="0.35">
      <c r="A207" s="11"/>
      <c r="B207" s="21"/>
      <c r="C207" s="16">
        <v>9.6999999999999993</v>
      </c>
      <c r="D207" s="16">
        <v>32.68</v>
      </c>
      <c r="E207" s="16"/>
    </row>
    <row r="208" spans="1:19" ht="16.5" customHeight="1" x14ac:dyDescent="0.3">
      <c r="A208" s="11"/>
      <c r="B208" s="21" t="s">
        <v>52</v>
      </c>
      <c r="C208" s="16">
        <v>44247</v>
      </c>
      <c r="D208" s="16">
        <v>14439</v>
      </c>
      <c r="E208" s="16">
        <v>58686</v>
      </c>
      <c r="N208" s="14" t="s">
        <v>47</v>
      </c>
      <c r="O208" s="23" t="s">
        <v>74</v>
      </c>
      <c r="P208" s="24"/>
      <c r="Q208" s="24"/>
      <c r="R208" s="24"/>
      <c r="S208" s="24"/>
    </row>
    <row r="209" spans="1:19" ht="16.5" customHeight="1" x14ac:dyDescent="0.3">
      <c r="A209" s="11"/>
      <c r="B209" s="21"/>
      <c r="C209" s="16">
        <v>75.400000000000006</v>
      </c>
      <c r="D209" s="16">
        <v>24.6</v>
      </c>
      <c r="E209" s="16">
        <v>100</v>
      </c>
      <c r="N209" s="10" t="s">
        <v>50</v>
      </c>
      <c r="O209" s="21" t="s">
        <v>27</v>
      </c>
      <c r="P209" s="25" t="s">
        <v>21</v>
      </c>
      <c r="Q209" s="25"/>
      <c r="R209" s="25"/>
      <c r="S209" s="25"/>
    </row>
    <row r="210" spans="1:19" ht="34.5" x14ac:dyDescent="0.3">
      <c r="A210" s="11"/>
      <c r="B210" s="22"/>
      <c r="C210" s="22"/>
      <c r="D210" s="22"/>
      <c r="E210" s="22"/>
      <c r="N210" s="10" t="s">
        <v>51</v>
      </c>
      <c r="O210" s="21"/>
      <c r="P210" s="15">
        <v>1</v>
      </c>
      <c r="Q210" s="15">
        <v>2</v>
      </c>
      <c r="R210" s="15">
        <v>3</v>
      </c>
      <c r="S210" s="15" t="s">
        <v>52</v>
      </c>
    </row>
    <row r="211" spans="1:19" ht="35.25" thickBot="1" x14ac:dyDescent="0.35">
      <c r="N211" s="10" t="s">
        <v>53</v>
      </c>
      <c r="O211" s="21">
        <v>0</v>
      </c>
      <c r="P211" s="16">
        <v>35255</v>
      </c>
      <c r="Q211" s="16">
        <v>7732</v>
      </c>
      <c r="R211" s="16">
        <v>4364</v>
      </c>
      <c r="S211" s="16">
        <v>47351</v>
      </c>
    </row>
    <row r="212" spans="1:19" ht="16.5" customHeight="1" x14ac:dyDescent="0.3">
      <c r="A212" s="14" t="s">
        <v>47</v>
      </c>
      <c r="B212" s="23" t="s">
        <v>75</v>
      </c>
      <c r="C212" s="24"/>
      <c r="D212" s="24"/>
      <c r="E212" s="24"/>
      <c r="N212" s="11"/>
      <c r="O212" s="21"/>
      <c r="P212" s="16">
        <v>60.07</v>
      </c>
      <c r="Q212" s="16">
        <v>13.18</v>
      </c>
      <c r="R212" s="16">
        <v>7.44</v>
      </c>
      <c r="S212" s="16">
        <v>80.69</v>
      </c>
    </row>
    <row r="213" spans="1:19" ht="16.5" customHeight="1" x14ac:dyDescent="0.3">
      <c r="A213" s="10" t="s">
        <v>50</v>
      </c>
      <c r="B213" s="21" t="s">
        <v>21</v>
      </c>
      <c r="C213" s="25" t="s">
        <v>27</v>
      </c>
      <c r="D213" s="25"/>
      <c r="E213" s="25"/>
      <c r="N213" s="11"/>
      <c r="O213" s="21"/>
      <c r="P213" s="16">
        <v>74.45</v>
      </c>
      <c r="Q213" s="16">
        <v>16.329999999999998</v>
      </c>
      <c r="R213" s="16">
        <v>9.2200000000000006</v>
      </c>
      <c r="S213" s="16"/>
    </row>
    <row r="214" spans="1:19" ht="34.5" x14ac:dyDescent="0.3">
      <c r="A214" s="10" t="s">
        <v>51</v>
      </c>
      <c r="B214" s="21"/>
      <c r="C214" s="15">
        <v>0</v>
      </c>
      <c r="D214" s="15">
        <v>1</v>
      </c>
      <c r="E214" s="15" t="s">
        <v>52</v>
      </c>
      <c r="N214" s="11"/>
      <c r="O214" s="21"/>
      <c r="P214" s="16">
        <v>92.5</v>
      </c>
      <c r="Q214" s="16">
        <v>66.88</v>
      </c>
      <c r="R214" s="16">
        <v>48.43</v>
      </c>
      <c r="S214" s="16"/>
    </row>
    <row r="215" spans="1:19" ht="34.5" x14ac:dyDescent="0.3">
      <c r="A215" s="10" t="s">
        <v>53</v>
      </c>
      <c r="B215" s="21">
        <v>1</v>
      </c>
      <c r="C215" s="16">
        <v>35255</v>
      </c>
      <c r="D215" s="16">
        <v>2859</v>
      </c>
      <c r="E215" s="16">
        <v>38114</v>
      </c>
      <c r="H215" s="8">
        <f>C215</f>
        <v>35255</v>
      </c>
      <c r="I215" s="8">
        <f>C217</f>
        <v>92.5</v>
      </c>
      <c r="K215" s="8" t="str">
        <f>TEXT(H215,"#,##0")&amp;" ("&amp;TEXT(I215,"0.00")&amp;")"</f>
        <v>35,255 (92.50)</v>
      </c>
      <c r="N215" s="11"/>
      <c r="O215" s="21">
        <v>1</v>
      </c>
      <c r="P215" s="16">
        <v>2859</v>
      </c>
      <c r="Q215" s="16">
        <v>3829</v>
      </c>
      <c r="R215" s="16">
        <v>4647</v>
      </c>
      <c r="S215" s="16">
        <v>11335</v>
      </c>
    </row>
    <row r="216" spans="1:19" x14ac:dyDescent="0.3">
      <c r="A216" s="11"/>
      <c r="B216" s="21"/>
      <c r="C216" s="16">
        <v>60.07</v>
      </c>
      <c r="D216" s="16">
        <v>4.87</v>
      </c>
      <c r="E216" s="16">
        <v>64.95</v>
      </c>
      <c r="H216" s="8">
        <f>D215</f>
        <v>2859</v>
      </c>
      <c r="I216" s="8">
        <f>D217</f>
        <v>7.5</v>
      </c>
      <c r="K216" s="8" t="str">
        <f t="shared" ref="K216" si="33">TEXT(H216,"#,##0")&amp;" ("&amp;TEXT(I216,"0.00")&amp;")"</f>
        <v>2,859 (7.50)</v>
      </c>
      <c r="N216" s="11"/>
      <c r="O216" s="21"/>
      <c r="P216" s="16">
        <v>4.87</v>
      </c>
      <c r="Q216" s="16">
        <v>6.52</v>
      </c>
      <c r="R216" s="16">
        <v>7.92</v>
      </c>
      <c r="S216" s="16">
        <v>19.309999999999999</v>
      </c>
    </row>
    <row r="217" spans="1:19" x14ac:dyDescent="0.3">
      <c r="A217" s="11"/>
      <c r="B217" s="21"/>
      <c r="C217" s="16">
        <v>92.5</v>
      </c>
      <c r="D217" s="16">
        <v>7.5</v>
      </c>
      <c r="E217" s="16"/>
      <c r="N217" s="11"/>
      <c r="O217" s="21"/>
      <c r="P217" s="16">
        <v>25.22</v>
      </c>
      <c r="Q217" s="16">
        <v>33.78</v>
      </c>
      <c r="R217" s="16">
        <v>41</v>
      </c>
      <c r="S217" s="16"/>
    </row>
    <row r="218" spans="1:19" x14ac:dyDescent="0.3">
      <c r="A218" s="11"/>
      <c r="B218" s="21"/>
      <c r="C218" s="16">
        <v>74.45</v>
      </c>
      <c r="D218" s="16">
        <v>25.22</v>
      </c>
      <c r="E218" s="16"/>
      <c r="N218" s="11"/>
      <c r="O218" s="21"/>
      <c r="P218" s="16">
        <v>7.5</v>
      </c>
      <c r="Q218" s="16">
        <v>33.119999999999997</v>
      </c>
      <c r="R218" s="16">
        <v>51.57</v>
      </c>
      <c r="S218" s="16"/>
    </row>
    <row r="219" spans="1:19" x14ac:dyDescent="0.3">
      <c r="A219" s="11"/>
      <c r="B219" s="21">
        <v>2</v>
      </c>
      <c r="C219" s="16">
        <v>7732</v>
      </c>
      <c r="D219" s="16">
        <v>3829</v>
      </c>
      <c r="E219" s="16">
        <v>11561</v>
      </c>
      <c r="H219" s="8">
        <f>C219</f>
        <v>7732</v>
      </c>
      <c r="I219" s="8">
        <f>C221</f>
        <v>66.88</v>
      </c>
      <c r="K219" s="8" t="str">
        <f>TEXT(H219,"#,##0")&amp;" ("&amp;TEXT(I219,"0.00")&amp;")"</f>
        <v>7,732 (66.88)</v>
      </c>
      <c r="N219" s="11"/>
      <c r="O219" s="21" t="s">
        <v>52</v>
      </c>
      <c r="P219" s="16">
        <v>38114</v>
      </c>
      <c r="Q219" s="16">
        <v>11561</v>
      </c>
      <c r="R219" s="16">
        <v>9011</v>
      </c>
      <c r="S219" s="16">
        <v>58686</v>
      </c>
    </row>
    <row r="220" spans="1:19" x14ac:dyDescent="0.3">
      <c r="A220" s="11"/>
      <c r="B220" s="21"/>
      <c r="C220" s="16">
        <v>13.18</v>
      </c>
      <c r="D220" s="16">
        <v>6.52</v>
      </c>
      <c r="E220" s="16">
        <v>19.7</v>
      </c>
      <c r="H220" s="8">
        <f>D219</f>
        <v>3829</v>
      </c>
      <c r="I220" s="8">
        <f>D221</f>
        <v>33.119999999999997</v>
      </c>
      <c r="K220" s="8" t="str">
        <f t="shared" ref="K220" si="34">TEXT(H220,"#,##0")&amp;" ("&amp;TEXT(I220,"0.00")&amp;")"</f>
        <v>3,829 (33.12)</v>
      </c>
      <c r="N220" s="11"/>
      <c r="O220" s="21"/>
      <c r="P220" s="16">
        <v>64.95</v>
      </c>
      <c r="Q220" s="16">
        <v>19.7</v>
      </c>
      <c r="R220" s="16">
        <v>15.35</v>
      </c>
      <c r="S220" s="16">
        <v>100</v>
      </c>
    </row>
    <row r="221" spans="1:19" x14ac:dyDescent="0.3">
      <c r="A221" s="11"/>
      <c r="B221" s="21"/>
      <c r="C221" s="16">
        <v>66.88</v>
      </c>
      <c r="D221" s="16">
        <v>33.119999999999997</v>
      </c>
      <c r="E221" s="16"/>
      <c r="N221" s="11"/>
      <c r="O221" s="22"/>
      <c r="P221" s="22"/>
      <c r="Q221" s="22"/>
      <c r="R221" s="22"/>
      <c r="S221" s="22"/>
    </row>
    <row r="222" spans="1:19" ht="16.5" thickBot="1" x14ac:dyDescent="0.35">
      <c r="A222" s="11"/>
      <c r="B222" s="21"/>
      <c r="C222" s="16">
        <v>16.329999999999998</v>
      </c>
      <c r="D222" s="16">
        <v>33.78</v>
      </c>
      <c r="E222" s="16"/>
    </row>
    <row r="223" spans="1:19" ht="16.5" customHeight="1" x14ac:dyDescent="0.3">
      <c r="A223" s="11"/>
      <c r="B223" s="21">
        <v>3</v>
      </c>
      <c r="C223" s="16">
        <v>4364</v>
      </c>
      <c r="D223" s="16">
        <v>4647</v>
      </c>
      <c r="E223" s="16">
        <v>9011</v>
      </c>
      <c r="H223" s="8">
        <f>C223</f>
        <v>4364</v>
      </c>
      <c r="I223" s="8">
        <f>C225</f>
        <v>48.43</v>
      </c>
      <c r="K223" s="8" t="str">
        <f>TEXT(H223,"#,##0")&amp;" ("&amp;TEXT(I223,"0.00")&amp;")"</f>
        <v>4,364 (48.43)</v>
      </c>
      <c r="N223" s="14" t="s">
        <v>47</v>
      </c>
      <c r="O223" s="23" t="s">
        <v>76</v>
      </c>
      <c r="P223" s="24"/>
      <c r="Q223" s="24"/>
      <c r="R223" s="24"/>
      <c r="S223" s="24"/>
    </row>
    <row r="224" spans="1:19" ht="16.5" customHeight="1" x14ac:dyDescent="0.3">
      <c r="A224" s="11"/>
      <c r="B224" s="21"/>
      <c r="C224" s="16">
        <v>7.44</v>
      </c>
      <c r="D224" s="16">
        <v>7.92</v>
      </c>
      <c r="E224" s="16">
        <v>15.35</v>
      </c>
      <c r="H224" s="8">
        <f>D223</f>
        <v>4647</v>
      </c>
      <c r="I224" s="8">
        <f>D225</f>
        <v>51.57</v>
      </c>
      <c r="K224" s="8" t="str">
        <f t="shared" ref="K224" si="35">TEXT(H224,"#,##0")&amp;" ("&amp;TEXT(I224,"0.00")&amp;")"</f>
        <v>4,647 (51.57)</v>
      </c>
      <c r="N224" s="10" t="s">
        <v>50</v>
      </c>
      <c r="O224" s="21" t="s">
        <v>28</v>
      </c>
      <c r="P224" s="25" t="s">
        <v>21</v>
      </c>
      <c r="Q224" s="25"/>
      <c r="R224" s="25"/>
      <c r="S224" s="25"/>
    </row>
    <row r="225" spans="1:19" ht="34.5" x14ac:dyDescent="0.3">
      <c r="A225" s="11"/>
      <c r="B225" s="21"/>
      <c r="C225" s="16">
        <v>48.43</v>
      </c>
      <c r="D225" s="16">
        <v>51.57</v>
      </c>
      <c r="E225" s="16"/>
      <c r="N225" s="10" t="s">
        <v>51</v>
      </c>
      <c r="O225" s="21"/>
      <c r="P225" s="15">
        <v>1</v>
      </c>
      <c r="Q225" s="15">
        <v>2</v>
      </c>
      <c r="R225" s="15">
        <v>3</v>
      </c>
      <c r="S225" s="15" t="s">
        <v>52</v>
      </c>
    </row>
    <row r="226" spans="1:19" ht="34.5" x14ac:dyDescent="0.3">
      <c r="A226" s="11"/>
      <c r="B226" s="21"/>
      <c r="C226" s="16">
        <v>9.2200000000000006</v>
      </c>
      <c r="D226" s="16">
        <v>41</v>
      </c>
      <c r="E226" s="16"/>
      <c r="N226" s="10" t="s">
        <v>53</v>
      </c>
      <c r="O226" s="21">
        <v>0</v>
      </c>
      <c r="P226" s="16">
        <v>37278</v>
      </c>
      <c r="Q226" s="16">
        <v>10207</v>
      </c>
      <c r="R226" s="16">
        <v>6134</v>
      </c>
      <c r="S226" s="16">
        <v>53619</v>
      </c>
    </row>
    <row r="227" spans="1:19" x14ac:dyDescent="0.3">
      <c r="A227" s="11"/>
      <c r="B227" s="21" t="s">
        <v>52</v>
      </c>
      <c r="C227" s="16">
        <v>47351</v>
      </c>
      <c r="D227" s="16">
        <v>11335</v>
      </c>
      <c r="E227" s="16">
        <v>58686</v>
      </c>
      <c r="N227" s="11"/>
      <c r="O227" s="21"/>
      <c r="P227" s="16">
        <v>63.52</v>
      </c>
      <c r="Q227" s="16">
        <v>17.39</v>
      </c>
      <c r="R227" s="16">
        <v>10.45</v>
      </c>
      <c r="S227" s="16">
        <v>91.37</v>
      </c>
    </row>
    <row r="228" spans="1:19" x14ac:dyDescent="0.3">
      <c r="A228" s="11"/>
      <c r="B228" s="21"/>
      <c r="C228" s="16">
        <v>80.69</v>
      </c>
      <c r="D228" s="16">
        <v>19.309999999999999</v>
      </c>
      <c r="E228" s="16">
        <v>100</v>
      </c>
      <c r="N228" s="11"/>
      <c r="O228" s="21"/>
      <c r="P228" s="16">
        <v>69.52</v>
      </c>
      <c r="Q228" s="16">
        <v>19.04</v>
      </c>
      <c r="R228" s="16">
        <v>11.44</v>
      </c>
      <c r="S228" s="16"/>
    </row>
    <row r="229" spans="1:19" x14ac:dyDescent="0.3">
      <c r="A229" s="11"/>
      <c r="B229" s="22"/>
      <c r="C229" s="22"/>
      <c r="D229" s="22"/>
      <c r="E229" s="22"/>
      <c r="N229" s="11"/>
      <c r="O229" s="21"/>
      <c r="P229" s="16">
        <v>97.81</v>
      </c>
      <c r="Q229" s="16">
        <v>88.29</v>
      </c>
      <c r="R229" s="16">
        <v>68.069999999999993</v>
      </c>
      <c r="S229" s="16"/>
    </row>
    <row r="230" spans="1:19" ht="16.5" thickBot="1" x14ac:dyDescent="0.35">
      <c r="N230" s="11"/>
      <c r="O230" s="21">
        <v>1</v>
      </c>
      <c r="P230" s="16">
        <v>836</v>
      </c>
      <c r="Q230" s="16">
        <v>1354</v>
      </c>
      <c r="R230" s="16">
        <v>2877</v>
      </c>
      <c r="S230" s="16">
        <v>5067</v>
      </c>
    </row>
    <row r="231" spans="1:19" ht="16.5" customHeight="1" x14ac:dyDescent="0.3">
      <c r="A231" s="14" t="s">
        <v>47</v>
      </c>
      <c r="B231" s="23" t="s">
        <v>77</v>
      </c>
      <c r="C231" s="24"/>
      <c r="D231" s="24"/>
      <c r="E231" s="24"/>
      <c r="N231" s="11"/>
      <c r="O231" s="21"/>
      <c r="P231" s="16">
        <v>1.42</v>
      </c>
      <c r="Q231" s="16">
        <v>2.31</v>
      </c>
      <c r="R231" s="16">
        <v>4.9000000000000004</v>
      </c>
      <c r="S231" s="16">
        <v>8.6300000000000008</v>
      </c>
    </row>
    <row r="232" spans="1:19" ht="16.5" customHeight="1" x14ac:dyDescent="0.3">
      <c r="A232" s="10" t="s">
        <v>50</v>
      </c>
      <c r="B232" s="21" t="s">
        <v>21</v>
      </c>
      <c r="C232" s="25" t="s">
        <v>28</v>
      </c>
      <c r="D232" s="25"/>
      <c r="E232" s="25"/>
      <c r="N232" s="11"/>
      <c r="O232" s="21"/>
      <c r="P232" s="16">
        <v>16.5</v>
      </c>
      <c r="Q232" s="16">
        <v>26.72</v>
      </c>
      <c r="R232" s="16">
        <v>56.78</v>
      </c>
      <c r="S232" s="16"/>
    </row>
    <row r="233" spans="1:19" ht="34.5" x14ac:dyDescent="0.3">
      <c r="A233" s="10" t="s">
        <v>51</v>
      </c>
      <c r="B233" s="21"/>
      <c r="C233" s="15">
        <v>0</v>
      </c>
      <c r="D233" s="15">
        <v>1</v>
      </c>
      <c r="E233" s="15" t="s">
        <v>52</v>
      </c>
      <c r="N233" s="11"/>
      <c r="O233" s="21"/>
      <c r="P233" s="16">
        <v>2.19</v>
      </c>
      <c r="Q233" s="16">
        <v>11.71</v>
      </c>
      <c r="R233" s="16">
        <v>31.93</v>
      </c>
      <c r="S233" s="16"/>
    </row>
    <row r="234" spans="1:19" ht="34.5" x14ac:dyDescent="0.3">
      <c r="A234" s="10" t="s">
        <v>53</v>
      </c>
      <c r="B234" s="21">
        <v>1</v>
      </c>
      <c r="C234" s="16">
        <v>37278</v>
      </c>
      <c r="D234" s="16">
        <v>836</v>
      </c>
      <c r="E234" s="16">
        <v>38114</v>
      </c>
      <c r="H234" s="8">
        <f>C234</f>
        <v>37278</v>
      </c>
      <c r="I234" s="8">
        <f>C236</f>
        <v>97.81</v>
      </c>
      <c r="K234" s="8" t="str">
        <f>TEXT(H234,"#,##0")&amp;" ("&amp;TEXT(I234,"0.00")&amp;")"</f>
        <v>37,278 (97.81)</v>
      </c>
      <c r="N234" s="11"/>
      <c r="O234" s="21" t="s">
        <v>52</v>
      </c>
      <c r="P234" s="16">
        <v>38114</v>
      </c>
      <c r="Q234" s="16">
        <v>11561</v>
      </c>
      <c r="R234" s="16">
        <v>9011</v>
      </c>
      <c r="S234" s="16">
        <v>58686</v>
      </c>
    </row>
    <row r="235" spans="1:19" x14ac:dyDescent="0.3">
      <c r="A235" s="11"/>
      <c r="B235" s="21"/>
      <c r="C235" s="16">
        <v>63.52</v>
      </c>
      <c r="D235" s="16">
        <v>1.42</v>
      </c>
      <c r="E235" s="16">
        <v>64.95</v>
      </c>
      <c r="H235" s="8">
        <f>D234</f>
        <v>836</v>
      </c>
      <c r="I235" s="8">
        <f>D236</f>
        <v>2.19</v>
      </c>
      <c r="K235" s="8" t="str">
        <f t="shared" ref="K235" si="36">TEXT(H235,"#,##0")&amp;" ("&amp;TEXT(I235,"0.00")&amp;")"</f>
        <v>836 (2.19)</v>
      </c>
      <c r="N235" s="11"/>
      <c r="O235" s="21"/>
      <c r="P235" s="16">
        <v>64.95</v>
      </c>
      <c r="Q235" s="16">
        <v>19.7</v>
      </c>
      <c r="R235" s="16">
        <v>15.35</v>
      </c>
      <c r="S235" s="16">
        <v>100</v>
      </c>
    </row>
    <row r="236" spans="1:19" x14ac:dyDescent="0.3">
      <c r="A236" s="11"/>
      <c r="B236" s="21"/>
      <c r="C236" s="16">
        <v>97.81</v>
      </c>
      <c r="D236" s="16">
        <v>2.19</v>
      </c>
      <c r="E236" s="16"/>
      <c r="N236" s="11"/>
      <c r="O236" s="22"/>
      <c r="P236" s="22"/>
      <c r="Q236" s="22"/>
      <c r="R236" s="22"/>
      <c r="S236" s="22"/>
    </row>
    <row r="237" spans="1:19" ht="16.5" thickBot="1" x14ac:dyDescent="0.35">
      <c r="A237" s="11"/>
      <c r="B237" s="21"/>
      <c r="C237" s="16">
        <v>69.52</v>
      </c>
      <c r="D237" s="16">
        <v>16.5</v>
      </c>
      <c r="E237" s="16"/>
    </row>
    <row r="238" spans="1:19" ht="16.5" customHeight="1" x14ac:dyDescent="0.3">
      <c r="A238" s="11"/>
      <c r="B238" s="21">
        <v>2</v>
      </c>
      <c r="C238" s="16">
        <v>10207</v>
      </c>
      <c r="D238" s="16">
        <v>1354</v>
      </c>
      <c r="E238" s="16">
        <v>11561</v>
      </c>
      <c r="H238" s="8">
        <f>C238</f>
        <v>10207</v>
      </c>
      <c r="I238" s="8">
        <f>C240</f>
        <v>88.29</v>
      </c>
      <c r="K238" s="8" t="str">
        <f>TEXT(H238,"#,##0")&amp;" ("&amp;TEXT(I238,"0.00")&amp;")"</f>
        <v>10,207 (88.29)</v>
      </c>
      <c r="N238" s="14" t="s">
        <v>47</v>
      </c>
      <c r="O238" s="23" t="s">
        <v>78</v>
      </c>
      <c r="P238" s="24"/>
      <c r="Q238" s="24"/>
      <c r="R238" s="24"/>
      <c r="S238" s="24"/>
    </row>
    <row r="239" spans="1:19" ht="16.5" customHeight="1" x14ac:dyDescent="0.3">
      <c r="A239" s="11"/>
      <c r="B239" s="21"/>
      <c r="C239" s="16">
        <v>17.39</v>
      </c>
      <c r="D239" s="16">
        <v>2.31</v>
      </c>
      <c r="E239" s="16">
        <v>19.7</v>
      </c>
      <c r="H239" s="8">
        <f>D238</f>
        <v>1354</v>
      </c>
      <c r="I239" s="8">
        <f>D240</f>
        <v>11.71</v>
      </c>
      <c r="K239" s="8" t="str">
        <f t="shared" ref="K239" si="37">TEXT(H239,"#,##0")&amp;" ("&amp;TEXT(I239,"0.00")&amp;")"</f>
        <v>1,354 (11.71)</v>
      </c>
      <c r="N239" s="10" t="s">
        <v>50</v>
      </c>
      <c r="O239" s="21" t="s">
        <v>14</v>
      </c>
      <c r="P239" s="25" t="s">
        <v>21</v>
      </c>
      <c r="Q239" s="25"/>
      <c r="R239" s="25"/>
      <c r="S239" s="25"/>
    </row>
    <row r="240" spans="1:19" ht="34.5" x14ac:dyDescent="0.3">
      <c r="A240" s="11"/>
      <c r="B240" s="21"/>
      <c r="C240" s="16">
        <v>88.29</v>
      </c>
      <c r="D240" s="16">
        <v>11.71</v>
      </c>
      <c r="E240" s="16"/>
      <c r="N240" s="10" t="s">
        <v>51</v>
      </c>
      <c r="O240" s="21"/>
      <c r="P240" s="15">
        <v>1</v>
      </c>
      <c r="Q240" s="15">
        <v>2</v>
      </c>
      <c r="R240" s="15">
        <v>3</v>
      </c>
      <c r="S240" s="15" t="s">
        <v>52</v>
      </c>
    </row>
    <row r="241" spans="1:19" ht="34.5" x14ac:dyDescent="0.3">
      <c r="A241" s="11"/>
      <c r="B241" s="21"/>
      <c r="C241" s="16">
        <v>19.04</v>
      </c>
      <c r="D241" s="16">
        <v>26.72</v>
      </c>
      <c r="E241" s="16"/>
      <c r="N241" s="10" t="s">
        <v>53</v>
      </c>
      <c r="O241" s="21">
        <v>0</v>
      </c>
      <c r="P241" s="16">
        <v>34786</v>
      </c>
      <c r="Q241" s="16">
        <v>7346</v>
      </c>
      <c r="R241" s="16">
        <v>4014</v>
      </c>
      <c r="S241" s="16">
        <v>46146</v>
      </c>
    </row>
    <row r="242" spans="1:19" x14ac:dyDescent="0.3">
      <c r="A242" s="11"/>
      <c r="B242" s="21">
        <v>3</v>
      </c>
      <c r="C242" s="16">
        <v>6134</v>
      </c>
      <c r="D242" s="16">
        <v>2877</v>
      </c>
      <c r="E242" s="16">
        <v>9011</v>
      </c>
      <c r="H242" s="8">
        <f>C242</f>
        <v>6134</v>
      </c>
      <c r="I242" s="8">
        <f>C244</f>
        <v>68.069999999999993</v>
      </c>
      <c r="K242" s="8" t="str">
        <f>TEXT(H242,"#,##0")&amp;" ("&amp;TEXT(I242,"0.00")&amp;")"</f>
        <v>6,134 (68.07)</v>
      </c>
      <c r="N242" s="11"/>
      <c r="O242" s="21"/>
      <c r="P242" s="16">
        <v>59.27</v>
      </c>
      <c r="Q242" s="16">
        <v>12.52</v>
      </c>
      <c r="R242" s="16">
        <v>6.84</v>
      </c>
      <c r="S242" s="16">
        <v>78.63</v>
      </c>
    </row>
    <row r="243" spans="1:19" x14ac:dyDescent="0.3">
      <c r="A243" s="11"/>
      <c r="B243" s="21"/>
      <c r="C243" s="16">
        <v>10.45</v>
      </c>
      <c r="D243" s="16">
        <v>4.9000000000000004</v>
      </c>
      <c r="E243" s="16">
        <v>15.35</v>
      </c>
      <c r="H243" s="8">
        <f>D242</f>
        <v>2877</v>
      </c>
      <c r="I243" s="8">
        <f>D244</f>
        <v>31.93</v>
      </c>
      <c r="K243" s="8" t="str">
        <f t="shared" ref="K243" si="38">TEXT(H243,"#,##0")&amp;" ("&amp;TEXT(I243,"0.00")&amp;")"</f>
        <v>2,877 (31.93)</v>
      </c>
      <c r="N243" s="11"/>
      <c r="O243" s="21"/>
      <c r="P243" s="16">
        <v>75.38</v>
      </c>
      <c r="Q243" s="16">
        <v>15.92</v>
      </c>
      <c r="R243" s="16">
        <v>8.6999999999999993</v>
      </c>
      <c r="S243" s="16"/>
    </row>
    <row r="244" spans="1:19" x14ac:dyDescent="0.3">
      <c r="A244" s="11"/>
      <c r="B244" s="21"/>
      <c r="C244" s="16">
        <v>68.069999999999993</v>
      </c>
      <c r="D244" s="16">
        <v>31.93</v>
      </c>
      <c r="E244" s="16"/>
      <c r="N244" s="11"/>
      <c r="O244" s="21"/>
      <c r="P244" s="16">
        <v>91.27</v>
      </c>
      <c r="Q244" s="16">
        <v>63.54</v>
      </c>
      <c r="R244" s="16">
        <v>44.55</v>
      </c>
      <c r="S244" s="16"/>
    </row>
    <row r="245" spans="1:19" x14ac:dyDescent="0.3">
      <c r="A245" s="11"/>
      <c r="B245" s="21"/>
      <c r="C245" s="16">
        <v>11.44</v>
      </c>
      <c r="D245" s="16">
        <v>56.78</v>
      </c>
      <c r="E245" s="16"/>
      <c r="N245" s="11"/>
      <c r="O245" s="21">
        <v>1</v>
      </c>
      <c r="P245" s="16">
        <v>3328</v>
      </c>
      <c r="Q245" s="16">
        <v>4215</v>
      </c>
      <c r="R245" s="16">
        <v>4997</v>
      </c>
      <c r="S245" s="16">
        <v>12540</v>
      </c>
    </row>
    <row r="246" spans="1:19" x14ac:dyDescent="0.3">
      <c r="A246" s="11"/>
      <c r="B246" s="21" t="s">
        <v>52</v>
      </c>
      <c r="C246" s="16">
        <v>53619</v>
      </c>
      <c r="D246" s="16">
        <v>5067</v>
      </c>
      <c r="E246" s="16">
        <v>58686</v>
      </c>
      <c r="N246" s="11"/>
      <c r="O246" s="21"/>
      <c r="P246" s="16">
        <v>5.67</v>
      </c>
      <c r="Q246" s="16">
        <v>7.18</v>
      </c>
      <c r="R246" s="16">
        <v>8.51</v>
      </c>
      <c r="S246" s="16">
        <v>21.37</v>
      </c>
    </row>
    <row r="247" spans="1:19" x14ac:dyDescent="0.3">
      <c r="A247" s="11"/>
      <c r="B247" s="21"/>
      <c r="C247" s="16">
        <v>91.37</v>
      </c>
      <c r="D247" s="16">
        <v>8.6300000000000008</v>
      </c>
      <c r="E247" s="16">
        <v>100</v>
      </c>
      <c r="N247" s="11"/>
      <c r="O247" s="21"/>
      <c r="P247" s="16">
        <v>26.54</v>
      </c>
      <c r="Q247" s="16">
        <v>33.61</v>
      </c>
      <c r="R247" s="16">
        <v>39.85</v>
      </c>
      <c r="S247" s="16"/>
    </row>
    <row r="248" spans="1:19" x14ac:dyDescent="0.3">
      <c r="A248" s="11"/>
      <c r="B248" s="22"/>
      <c r="C248" s="22"/>
      <c r="D248" s="22"/>
      <c r="E248" s="22"/>
      <c r="N248" s="11"/>
      <c r="O248" s="21"/>
      <c r="P248" s="16">
        <v>8.73</v>
      </c>
      <c r="Q248" s="16">
        <v>36.46</v>
      </c>
      <c r="R248" s="16">
        <v>55.45</v>
      </c>
      <c r="S248" s="16"/>
    </row>
    <row r="249" spans="1:19" ht="16.5" thickBot="1" x14ac:dyDescent="0.35">
      <c r="N249" s="11"/>
      <c r="O249" s="21" t="s">
        <v>52</v>
      </c>
      <c r="P249" s="16">
        <v>38114</v>
      </c>
      <c r="Q249" s="16">
        <v>11561</v>
      </c>
      <c r="R249" s="16">
        <v>9011</v>
      </c>
      <c r="S249" s="16">
        <v>58686</v>
      </c>
    </row>
    <row r="250" spans="1:19" ht="16.5" customHeight="1" x14ac:dyDescent="0.3">
      <c r="A250" s="14" t="s">
        <v>47</v>
      </c>
      <c r="B250" s="23" t="s">
        <v>79</v>
      </c>
      <c r="C250" s="24"/>
      <c r="D250" s="24"/>
      <c r="E250" s="24"/>
      <c r="N250" s="11"/>
      <c r="O250" s="21"/>
      <c r="P250" s="16">
        <v>64.95</v>
      </c>
      <c r="Q250" s="16">
        <v>19.7</v>
      </c>
      <c r="R250" s="16">
        <v>15.35</v>
      </c>
      <c r="S250" s="16">
        <v>100</v>
      </c>
    </row>
    <row r="251" spans="1:19" ht="16.5" customHeight="1" x14ac:dyDescent="0.3">
      <c r="A251" s="10" t="s">
        <v>50</v>
      </c>
      <c r="B251" s="21" t="s">
        <v>21</v>
      </c>
      <c r="C251" s="25" t="s">
        <v>14</v>
      </c>
      <c r="D251" s="25"/>
      <c r="E251" s="25"/>
      <c r="N251" s="11"/>
      <c r="O251" s="22"/>
      <c r="P251" s="22"/>
      <c r="Q251" s="22"/>
      <c r="R251" s="22"/>
      <c r="S251" s="22"/>
    </row>
    <row r="252" spans="1:19" ht="35.25" thickBot="1" x14ac:dyDescent="0.35">
      <c r="A252" s="10" t="s">
        <v>51</v>
      </c>
      <c r="B252" s="21"/>
      <c r="C252" s="15">
        <v>0</v>
      </c>
      <c r="D252" s="15">
        <v>1</v>
      </c>
      <c r="E252" s="15" t="s">
        <v>52</v>
      </c>
    </row>
    <row r="253" spans="1:19" ht="34.5" x14ac:dyDescent="0.3">
      <c r="A253" s="10" t="s">
        <v>53</v>
      </c>
      <c r="B253" s="21">
        <v>1</v>
      </c>
      <c r="C253" s="16">
        <v>34786</v>
      </c>
      <c r="D253" s="16">
        <v>3328</v>
      </c>
      <c r="E253" s="16">
        <v>38114</v>
      </c>
      <c r="H253" s="8">
        <f>C253</f>
        <v>34786</v>
      </c>
      <c r="I253" s="8">
        <f>C255</f>
        <v>91.27</v>
      </c>
      <c r="K253" s="8" t="str">
        <f>TEXT(H253,"#,##0")&amp;" ("&amp;TEXT(I253,"0.00")&amp;")"</f>
        <v>34,786 (91.27)</v>
      </c>
      <c r="N253" s="14" t="s">
        <v>47</v>
      </c>
      <c r="O253" s="23" t="s">
        <v>80</v>
      </c>
      <c r="P253" s="24"/>
      <c r="Q253" s="24"/>
      <c r="R253" s="24"/>
      <c r="S253" s="24"/>
    </row>
    <row r="254" spans="1:19" ht="16.5" customHeight="1" x14ac:dyDescent="0.3">
      <c r="A254" s="11"/>
      <c r="B254" s="21"/>
      <c r="C254" s="16">
        <v>59.27</v>
      </c>
      <c r="D254" s="16">
        <v>5.67</v>
      </c>
      <c r="E254" s="16">
        <v>64.95</v>
      </c>
      <c r="H254" s="8">
        <f>D253</f>
        <v>3328</v>
      </c>
      <c r="I254" s="8">
        <f>D255</f>
        <v>8.73</v>
      </c>
      <c r="K254" s="8" t="str">
        <f t="shared" ref="K254" si="39">TEXT(H254,"#,##0")&amp;" ("&amp;TEXT(I254,"0.00")&amp;")"</f>
        <v>3,328 (8.73)</v>
      </c>
      <c r="N254" s="10" t="s">
        <v>50</v>
      </c>
      <c r="O254" s="21" t="s">
        <v>15</v>
      </c>
      <c r="P254" s="25" t="s">
        <v>21</v>
      </c>
      <c r="Q254" s="25"/>
      <c r="R254" s="25"/>
      <c r="S254" s="25"/>
    </row>
    <row r="255" spans="1:19" ht="34.5" x14ac:dyDescent="0.3">
      <c r="A255" s="11"/>
      <c r="B255" s="21"/>
      <c r="C255" s="16">
        <v>91.27</v>
      </c>
      <c r="D255" s="16">
        <v>8.73</v>
      </c>
      <c r="E255" s="16"/>
      <c r="N255" s="10" t="s">
        <v>51</v>
      </c>
      <c r="O255" s="21"/>
      <c r="P255" s="15">
        <v>1</v>
      </c>
      <c r="Q255" s="15">
        <v>2</v>
      </c>
      <c r="R255" s="15">
        <v>3</v>
      </c>
      <c r="S255" s="15" t="s">
        <v>52</v>
      </c>
    </row>
    <row r="256" spans="1:19" ht="34.5" x14ac:dyDescent="0.3">
      <c r="A256" s="11"/>
      <c r="B256" s="21"/>
      <c r="C256" s="16">
        <v>75.38</v>
      </c>
      <c r="D256" s="16">
        <v>26.54</v>
      </c>
      <c r="E256" s="16"/>
      <c r="N256" s="10" t="s">
        <v>53</v>
      </c>
      <c r="O256" s="21">
        <v>0</v>
      </c>
      <c r="P256" s="16">
        <v>33809</v>
      </c>
      <c r="Q256" s="16">
        <v>8730</v>
      </c>
      <c r="R256" s="16">
        <v>6719</v>
      </c>
      <c r="S256" s="16">
        <v>49258</v>
      </c>
    </row>
    <row r="257" spans="1:19" x14ac:dyDescent="0.3">
      <c r="A257" s="11"/>
      <c r="B257" s="21">
        <v>2</v>
      </c>
      <c r="C257" s="16">
        <v>7346</v>
      </c>
      <c r="D257" s="16">
        <v>4215</v>
      </c>
      <c r="E257" s="16">
        <v>11561</v>
      </c>
      <c r="H257" s="8">
        <f>C257</f>
        <v>7346</v>
      </c>
      <c r="I257" s="8">
        <f>C259</f>
        <v>63.54</v>
      </c>
      <c r="K257" s="8" t="str">
        <f>TEXT(H257,"#,##0")&amp;" ("&amp;TEXT(I257,"0.00")&amp;")"</f>
        <v>7,346 (63.54)</v>
      </c>
      <c r="N257" s="11"/>
      <c r="O257" s="21"/>
      <c r="P257" s="16">
        <v>57.61</v>
      </c>
      <c r="Q257" s="16">
        <v>14.88</v>
      </c>
      <c r="R257" s="16">
        <v>11.45</v>
      </c>
      <c r="S257" s="16">
        <v>83.93</v>
      </c>
    </row>
    <row r="258" spans="1:19" x14ac:dyDescent="0.3">
      <c r="A258" s="11"/>
      <c r="B258" s="21"/>
      <c r="C258" s="16">
        <v>12.52</v>
      </c>
      <c r="D258" s="16">
        <v>7.18</v>
      </c>
      <c r="E258" s="16">
        <v>19.7</v>
      </c>
      <c r="H258" s="8">
        <f>D257</f>
        <v>4215</v>
      </c>
      <c r="I258" s="8">
        <f>D259</f>
        <v>36.46</v>
      </c>
      <c r="K258" s="8" t="str">
        <f t="shared" ref="K258" si="40">TEXT(H258,"#,##0")&amp;" ("&amp;TEXT(I258,"0.00")&amp;")"</f>
        <v>4,215 (36.46)</v>
      </c>
      <c r="N258" s="11"/>
      <c r="O258" s="21"/>
      <c r="P258" s="16">
        <v>68.64</v>
      </c>
      <c r="Q258" s="16">
        <v>17.72</v>
      </c>
      <c r="R258" s="16">
        <v>13.64</v>
      </c>
      <c r="S258" s="16"/>
    </row>
    <row r="259" spans="1:19" x14ac:dyDescent="0.3">
      <c r="A259" s="11"/>
      <c r="B259" s="21"/>
      <c r="C259" s="16">
        <v>63.54</v>
      </c>
      <c r="D259" s="16">
        <v>36.46</v>
      </c>
      <c r="E259" s="16"/>
      <c r="N259" s="11"/>
      <c r="O259" s="21"/>
      <c r="P259" s="16">
        <v>88.7</v>
      </c>
      <c r="Q259" s="16">
        <v>75.510000000000005</v>
      </c>
      <c r="R259" s="16">
        <v>74.56</v>
      </c>
      <c r="S259" s="16"/>
    </row>
    <row r="260" spans="1:19" x14ac:dyDescent="0.3">
      <c r="A260" s="11"/>
      <c r="B260" s="21"/>
      <c r="C260" s="16">
        <v>15.92</v>
      </c>
      <c r="D260" s="16">
        <v>33.61</v>
      </c>
      <c r="E260" s="16"/>
      <c r="N260" s="11"/>
      <c r="O260" s="21">
        <v>1</v>
      </c>
      <c r="P260" s="16">
        <v>4305</v>
      </c>
      <c r="Q260" s="16">
        <v>2831</v>
      </c>
      <c r="R260" s="16">
        <v>2292</v>
      </c>
      <c r="S260" s="16">
        <v>9428</v>
      </c>
    </row>
    <row r="261" spans="1:19" x14ac:dyDescent="0.3">
      <c r="A261" s="11"/>
      <c r="B261" s="21">
        <v>3</v>
      </c>
      <c r="C261" s="16">
        <v>4014</v>
      </c>
      <c r="D261" s="16">
        <v>4997</v>
      </c>
      <c r="E261" s="16">
        <v>9011</v>
      </c>
      <c r="H261" s="8">
        <f>C261</f>
        <v>4014</v>
      </c>
      <c r="I261" s="8">
        <f>C263</f>
        <v>44.55</v>
      </c>
      <c r="K261" s="8" t="str">
        <f>TEXT(H261,"#,##0")&amp;" ("&amp;TEXT(I261,"0.00")&amp;")"</f>
        <v>4,014 (44.55)</v>
      </c>
      <c r="N261" s="11"/>
      <c r="O261" s="21"/>
      <c r="P261" s="16">
        <v>7.34</v>
      </c>
      <c r="Q261" s="16">
        <v>4.82</v>
      </c>
      <c r="R261" s="16">
        <v>3.91</v>
      </c>
      <c r="S261" s="16">
        <v>16.07</v>
      </c>
    </row>
    <row r="262" spans="1:19" x14ac:dyDescent="0.3">
      <c r="A262" s="11"/>
      <c r="B262" s="21"/>
      <c r="C262" s="16">
        <v>6.84</v>
      </c>
      <c r="D262" s="16">
        <v>8.51</v>
      </c>
      <c r="E262" s="16">
        <v>15.35</v>
      </c>
      <c r="H262" s="8">
        <f>D261</f>
        <v>4997</v>
      </c>
      <c r="I262" s="8">
        <f>D263</f>
        <v>55.45</v>
      </c>
      <c r="K262" s="8" t="str">
        <f t="shared" ref="K262" si="41">TEXT(H262,"#,##0")&amp;" ("&amp;TEXT(I262,"0.00")&amp;")"</f>
        <v>4,997 (55.45)</v>
      </c>
      <c r="N262" s="11"/>
      <c r="O262" s="21"/>
      <c r="P262" s="16">
        <v>45.66</v>
      </c>
      <c r="Q262" s="16">
        <v>30.03</v>
      </c>
      <c r="R262" s="16">
        <v>24.31</v>
      </c>
      <c r="S262" s="16"/>
    </row>
    <row r="263" spans="1:19" x14ac:dyDescent="0.3">
      <c r="A263" s="11"/>
      <c r="B263" s="21"/>
      <c r="C263" s="16">
        <v>44.55</v>
      </c>
      <c r="D263" s="16">
        <v>55.45</v>
      </c>
      <c r="E263" s="16"/>
      <c r="N263" s="11"/>
      <c r="O263" s="21"/>
      <c r="P263" s="16">
        <v>11.3</v>
      </c>
      <c r="Q263" s="16">
        <v>24.49</v>
      </c>
      <c r="R263" s="16">
        <v>25.44</v>
      </c>
      <c r="S263" s="16"/>
    </row>
    <row r="264" spans="1:19" x14ac:dyDescent="0.3">
      <c r="A264" s="11"/>
      <c r="B264" s="21"/>
      <c r="C264" s="16">
        <v>8.6999999999999993</v>
      </c>
      <c r="D264" s="16">
        <v>39.85</v>
      </c>
      <c r="E264" s="16"/>
      <c r="N264" s="11"/>
      <c r="O264" s="21" t="s">
        <v>52</v>
      </c>
      <c r="P264" s="16">
        <v>38114</v>
      </c>
      <c r="Q264" s="16">
        <v>11561</v>
      </c>
      <c r="R264" s="16">
        <v>9011</v>
      </c>
      <c r="S264" s="16">
        <v>58686</v>
      </c>
    </row>
    <row r="265" spans="1:19" x14ac:dyDescent="0.3">
      <c r="A265" s="11"/>
      <c r="B265" s="21" t="s">
        <v>52</v>
      </c>
      <c r="C265" s="16">
        <v>46146</v>
      </c>
      <c r="D265" s="16">
        <v>12540</v>
      </c>
      <c r="E265" s="16">
        <v>58686</v>
      </c>
      <c r="N265" s="11"/>
      <c r="O265" s="21"/>
      <c r="P265" s="16">
        <v>64.95</v>
      </c>
      <c r="Q265" s="16">
        <v>19.7</v>
      </c>
      <c r="R265" s="16">
        <v>15.35</v>
      </c>
      <c r="S265" s="16">
        <v>100</v>
      </c>
    </row>
    <row r="266" spans="1:19" x14ac:dyDescent="0.3">
      <c r="A266" s="11"/>
      <c r="B266" s="21"/>
      <c r="C266" s="16">
        <v>78.63</v>
      </c>
      <c r="D266" s="16">
        <v>21.37</v>
      </c>
      <c r="E266" s="16">
        <v>100</v>
      </c>
      <c r="N266" s="11"/>
      <c r="O266" s="22"/>
      <c r="P266" s="22"/>
      <c r="Q266" s="22"/>
      <c r="R266" s="22"/>
      <c r="S266" s="22"/>
    </row>
    <row r="267" spans="1:19" ht="16.5" thickBot="1" x14ac:dyDescent="0.35">
      <c r="A267" s="11"/>
      <c r="B267" s="22"/>
      <c r="C267" s="22"/>
      <c r="D267" s="22"/>
      <c r="E267" s="22"/>
    </row>
    <row r="268" spans="1:19" ht="18" thickBot="1" x14ac:dyDescent="0.35">
      <c r="N268" s="14" t="s">
        <v>47</v>
      </c>
      <c r="O268" s="23" t="s">
        <v>81</v>
      </c>
      <c r="P268" s="24"/>
      <c r="Q268" s="24"/>
      <c r="R268" s="24"/>
      <c r="S268" s="24"/>
    </row>
    <row r="269" spans="1:19" ht="16.5" customHeight="1" x14ac:dyDescent="0.3">
      <c r="A269" s="14" t="s">
        <v>47</v>
      </c>
      <c r="B269" s="23" t="s">
        <v>82</v>
      </c>
      <c r="C269" s="24"/>
      <c r="D269" s="24"/>
      <c r="E269" s="24"/>
      <c r="N269" s="10" t="s">
        <v>50</v>
      </c>
      <c r="O269" s="21" t="s">
        <v>16</v>
      </c>
      <c r="P269" s="25" t="s">
        <v>21</v>
      </c>
      <c r="Q269" s="25"/>
      <c r="R269" s="25"/>
      <c r="S269" s="25"/>
    </row>
    <row r="270" spans="1:19" ht="16.5" customHeight="1" x14ac:dyDescent="0.3">
      <c r="A270" s="10" t="s">
        <v>50</v>
      </c>
      <c r="B270" s="21" t="s">
        <v>21</v>
      </c>
      <c r="C270" s="25" t="s">
        <v>15</v>
      </c>
      <c r="D270" s="25"/>
      <c r="E270" s="25"/>
      <c r="N270" s="10" t="s">
        <v>51</v>
      </c>
      <c r="O270" s="21"/>
      <c r="P270" s="15">
        <v>1</v>
      </c>
      <c r="Q270" s="15">
        <v>2</v>
      </c>
      <c r="R270" s="15">
        <v>3</v>
      </c>
      <c r="S270" s="15" t="s">
        <v>52</v>
      </c>
    </row>
    <row r="271" spans="1:19" ht="34.5" x14ac:dyDescent="0.3">
      <c r="A271" s="10" t="s">
        <v>51</v>
      </c>
      <c r="B271" s="21"/>
      <c r="C271" s="15">
        <v>0</v>
      </c>
      <c r="D271" s="15">
        <v>1</v>
      </c>
      <c r="E271" s="15" t="s">
        <v>52</v>
      </c>
      <c r="N271" s="10" t="s">
        <v>53</v>
      </c>
      <c r="O271" s="21">
        <v>0</v>
      </c>
      <c r="P271" s="16">
        <v>37854</v>
      </c>
      <c r="Q271" s="16">
        <v>11242</v>
      </c>
      <c r="R271" s="16">
        <v>8546</v>
      </c>
      <c r="S271" s="16">
        <v>57642</v>
      </c>
    </row>
    <row r="272" spans="1:19" ht="34.5" x14ac:dyDescent="0.3">
      <c r="A272" s="10" t="s">
        <v>53</v>
      </c>
      <c r="B272" s="21">
        <v>1</v>
      </c>
      <c r="C272" s="16">
        <v>33809</v>
      </c>
      <c r="D272" s="16">
        <v>4305</v>
      </c>
      <c r="E272" s="16">
        <v>38114</v>
      </c>
      <c r="H272" s="8">
        <f>C272</f>
        <v>33809</v>
      </c>
      <c r="I272" s="8">
        <f>C274</f>
        <v>88.7</v>
      </c>
      <c r="K272" s="8" t="str">
        <f>TEXT(H272,"#,##0")&amp;" ("&amp;TEXT(I272,"0.00")&amp;")"</f>
        <v>33,809 (88.70)</v>
      </c>
      <c r="N272" s="11"/>
      <c r="O272" s="21"/>
      <c r="P272" s="16">
        <v>64.5</v>
      </c>
      <c r="Q272" s="16">
        <v>19.16</v>
      </c>
      <c r="R272" s="16">
        <v>14.56</v>
      </c>
      <c r="S272" s="16">
        <v>98.22</v>
      </c>
    </row>
    <row r="273" spans="1:19" x14ac:dyDescent="0.3">
      <c r="A273" s="11"/>
      <c r="B273" s="21"/>
      <c r="C273" s="16">
        <v>57.61</v>
      </c>
      <c r="D273" s="16">
        <v>7.34</v>
      </c>
      <c r="E273" s="16">
        <v>64.95</v>
      </c>
      <c r="H273" s="8">
        <f>D272</f>
        <v>4305</v>
      </c>
      <c r="I273" s="8">
        <f>D274</f>
        <v>11.3</v>
      </c>
      <c r="K273" s="8" t="str">
        <f t="shared" ref="K273" si="42">TEXT(H273,"#,##0")&amp;" ("&amp;TEXT(I273,"0.00")&amp;")"</f>
        <v>4,305 (11.30)</v>
      </c>
      <c r="N273" s="11"/>
      <c r="O273" s="21"/>
      <c r="P273" s="16">
        <v>65.67</v>
      </c>
      <c r="Q273" s="16">
        <v>19.5</v>
      </c>
      <c r="R273" s="16">
        <v>14.83</v>
      </c>
      <c r="S273" s="16"/>
    </row>
    <row r="274" spans="1:19" x14ac:dyDescent="0.3">
      <c r="A274" s="11"/>
      <c r="B274" s="21"/>
      <c r="C274" s="16">
        <v>88.7</v>
      </c>
      <c r="D274" s="16">
        <v>11.3</v>
      </c>
      <c r="E274" s="16"/>
      <c r="N274" s="11"/>
      <c r="O274" s="21"/>
      <c r="P274" s="16">
        <v>99.32</v>
      </c>
      <c r="Q274" s="16">
        <v>97.24</v>
      </c>
      <c r="R274" s="16">
        <v>94.84</v>
      </c>
      <c r="S274" s="16"/>
    </row>
    <row r="275" spans="1:19" x14ac:dyDescent="0.3">
      <c r="A275" s="11"/>
      <c r="B275" s="21"/>
      <c r="C275" s="16">
        <v>68.64</v>
      </c>
      <c r="D275" s="16">
        <v>45.66</v>
      </c>
      <c r="E275" s="16"/>
      <c r="N275" s="11"/>
      <c r="O275" s="21">
        <v>1</v>
      </c>
      <c r="P275" s="16">
        <v>260</v>
      </c>
      <c r="Q275" s="16">
        <v>319</v>
      </c>
      <c r="R275" s="16">
        <v>465</v>
      </c>
      <c r="S275" s="16">
        <v>1044</v>
      </c>
    </row>
    <row r="276" spans="1:19" x14ac:dyDescent="0.3">
      <c r="A276" s="11"/>
      <c r="B276" s="21">
        <v>2</v>
      </c>
      <c r="C276" s="16">
        <v>8730</v>
      </c>
      <c r="D276" s="16">
        <v>2831</v>
      </c>
      <c r="E276" s="16">
        <v>11561</v>
      </c>
      <c r="H276" s="8">
        <f>C276</f>
        <v>8730</v>
      </c>
      <c r="I276" s="8">
        <f>C278</f>
        <v>75.510000000000005</v>
      </c>
      <c r="K276" s="8" t="str">
        <f>TEXT(H276,"#,##0")&amp;" ("&amp;TEXT(I276,"0.00")&amp;")"</f>
        <v>8,730 (75.51)</v>
      </c>
      <c r="N276" s="11"/>
      <c r="O276" s="21"/>
      <c r="P276" s="16">
        <v>0.44</v>
      </c>
      <c r="Q276" s="16">
        <v>0.54</v>
      </c>
      <c r="R276" s="16">
        <v>0.79</v>
      </c>
      <c r="S276" s="16">
        <v>1.78</v>
      </c>
    </row>
    <row r="277" spans="1:19" x14ac:dyDescent="0.3">
      <c r="A277" s="11"/>
      <c r="B277" s="21"/>
      <c r="C277" s="16">
        <v>14.88</v>
      </c>
      <c r="D277" s="16">
        <v>4.82</v>
      </c>
      <c r="E277" s="16">
        <v>19.7</v>
      </c>
      <c r="H277" s="8">
        <f>D276</f>
        <v>2831</v>
      </c>
      <c r="I277" s="8">
        <f>D278</f>
        <v>24.49</v>
      </c>
      <c r="K277" s="8" t="str">
        <f t="shared" ref="K277" si="43">TEXT(H277,"#,##0")&amp;" ("&amp;TEXT(I277,"0.00")&amp;")"</f>
        <v>2,831 (24.49)</v>
      </c>
      <c r="N277" s="11"/>
      <c r="O277" s="21"/>
      <c r="P277" s="16">
        <v>24.9</v>
      </c>
      <c r="Q277" s="16">
        <v>30.56</v>
      </c>
      <c r="R277" s="16">
        <v>44.54</v>
      </c>
      <c r="S277" s="16"/>
    </row>
    <row r="278" spans="1:19" x14ac:dyDescent="0.3">
      <c r="A278" s="11"/>
      <c r="B278" s="21"/>
      <c r="C278" s="16">
        <v>75.510000000000005</v>
      </c>
      <c r="D278" s="16">
        <v>24.49</v>
      </c>
      <c r="E278" s="16"/>
      <c r="N278" s="11"/>
      <c r="O278" s="21"/>
      <c r="P278" s="16">
        <v>0.68</v>
      </c>
      <c r="Q278" s="16">
        <v>2.76</v>
      </c>
      <c r="R278" s="16">
        <v>5.16</v>
      </c>
      <c r="S278" s="16"/>
    </row>
    <row r="279" spans="1:19" x14ac:dyDescent="0.3">
      <c r="A279" s="11"/>
      <c r="B279" s="21"/>
      <c r="C279" s="16">
        <v>17.72</v>
      </c>
      <c r="D279" s="16">
        <v>30.03</v>
      </c>
      <c r="E279" s="16"/>
      <c r="N279" s="11"/>
      <c r="O279" s="21" t="s">
        <v>52</v>
      </c>
      <c r="P279" s="16">
        <v>38114</v>
      </c>
      <c r="Q279" s="16">
        <v>11561</v>
      </c>
      <c r="R279" s="16">
        <v>9011</v>
      </c>
      <c r="S279" s="16">
        <v>58686</v>
      </c>
    </row>
    <row r="280" spans="1:19" x14ac:dyDescent="0.3">
      <c r="A280" s="11"/>
      <c r="B280" s="21">
        <v>3</v>
      </c>
      <c r="C280" s="16">
        <v>6719</v>
      </c>
      <c r="D280" s="16">
        <v>2292</v>
      </c>
      <c r="E280" s="16">
        <v>9011</v>
      </c>
      <c r="H280" s="8">
        <f>C280</f>
        <v>6719</v>
      </c>
      <c r="I280" s="8">
        <f>C282</f>
        <v>74.56</v>
      </c>
      <c r="K280" s="8" t="str">
        <f>TEXT(H280,"#,##0")&amp;" ("&amp;TEXT(I280,"0.00")&amp;")"</f>
        <v>6,719 (74.56)</v>
      </c>
      <c r="N280" s="11"/>
      <c r="O280" s="21"/>
      <c r="P280" s="16">
        <v>64.95</v>
      </c>
      <c r="Q280" s="16">
        <v>19.7</v>
      </c>
      <c r="R280" s="16">
        <v>15.35</v>
      </c>
      <c r="S280" s="16">
        <v>100</v>
      </c>
    </row>
    <row r="281" spans="1:19" x14ac:dyDescent="0.3">
      <c r="A281" s="11"/>
      <c r="B281" s="21"/>
      <c r="C281" s="16">
        <v>11.45</v>
      </c>
      <c r="D281" s="16">
        <v>3.91</v>
      </c>
      <c r="E281" s="16">
        <v>15.35</v>
      </c>
      <c r="H281" s="8">
        <f>D280</f>
        <v>2292</v>
      </c>
      <c r="I281" s="8">
        <f>D282</f>
        <v>25.44</v>
      </c>
      <c r="K281" s="8" t="str">
        <f t="shared" ref="K281" si="44">TEXT(H281,"#,##0")&amp;" ("&amp;TEXT(I281,"0.00")&amp;")"</f>
        <v>2,292 (25.44)</v>
      </c>
      <c r="N281" s="11"/>
      <c r="O281" s="22"/>
      <c r="P281" s="22"/>
      <c r="Q281" s="22"/>
      <c r="R281" s="22"/>
      <c r="S281" s="22"/>
    </row>
    <row r="282" spans="1:19" ht="16.5" thickBot="1" x14ac:dyDescent="0.35">
      <c r="A282" s="11"/>
      <c r="B282" s="21"/>
      <c r="C282" s="16">
        <v>74.56</v>
      </c>
      <c r="D282" s="16">
        <v>25.44</v>
      </c>
      <c r="E282" s="16"/>
    </row>
    <row r="283" spans="1:19" ht="16.5" customHeight="1" x14ac:dyDescent="0.3">
      <c r="A283" s="11"/>
      <c r="B283" s="21"/>
      <c r="C283" s="16">
        <v>13.64</v>
      </c>
      <c r="D283" s="16">
        <v>24.31</v>
      </c>
      <c r="E283" s="16"/>
      <c r="N283" s="14" t="s">
        <v>47</v>
      </c>
      <c r="O283" s="23" t="s">
        <v>83</v>
      </c>
      <c r="P283" s="24"/>
      <c r="Q283" s="24"/>
      <c r="R283" s="24"/>
      <c r="S283" s="24"/>
    </row>
    <row r="284" spans="1:19" ht="16.5" customHeight="1" x14ac:dyDescent="0.3">
      <c r="A284" s="11"/>
      <c r="B284" s="21" t="s">
        <v>52</v>
      </c>
      <c r="C284" s="16">
        <v>49258</v>
      </c>
      <c r="D284" s="16">
        <v>9428</v>
      </c>
      <c r="E284" s="16">
        <v>58686</v>
      </c>
      <c r="N284" s="10" t="s">
        <v>50</v>
      </c>
      <c r="O284" s="21" t="s">
        <v>17</v>
      </c>
      <c r="P284" s="25" t="s">
        <v>21</v>
      </c>
      <c r="Q284" s="25"/>
      <c r="R284" s="25"/>
      <c r="S284" s="25"/>
    </row>
    <row r="285" spans="1:19" ht="34.5" x14ac:dyDescent="0.3">
      <c r="A285" s="11"/>
      <c r="B285" s="21"/>
      <c r="C285" s="16">
        <v>83.93</v>
      </c>
      <c r="D285" s="16">
        <v>16.07</v>
      </c>
      <c r="E285" s="16">
        <v>100</v>
      </c>
      <c r="N285" s="10" t="s">
        <v>51</v>
      </c>
      <c r="O285" s="21"/>
      <c r="P285" s="15">
        <v>1</v>
      </c>
      <c r="Q285" s="15">
        <v>2</v>
      </c>
      <c r="R285" s="15">
        <v>3</v>
      </c>
      <c r="S285" s="15" t="s">
        <v>52</v>
      </c>
    </row>
    <row r="286" spans="1:19" ht="34.5" x14ac:dyDescent="0.3">
      <c r="A286" s="11"/>
      <c r="B286" s="22"/>
      <c r="C286" s="22"/>
      <c r="D286" s="22"/>
      <c r="E286" s="22"/>
      <c r="N286" s="10" t="s">
        <v>53</v>
      </c>
      <c r="O286" s="21">
        <v>0</v>
      </c>
      <c r="P286" s="16">
        <v>37999</v>
      </c>
      <c r="Q286" s="16">
        <v>11409</v>
      </c>
      <c r="R286" s="16">
        <v>8748</v>
      </c>
      <c r="S286" s="16">
        <v>58156</v>
      </c>
    </row>
    <row r="287" spans="1:19" ht="16.5" thickBot="1" x14ac:dyDescent="0.35">
      <c r="N287" s="11"/>
      <c r="O287" s="21"/>
      <c r="P287" s="16">
        <v>64.75</v>
      </c>
      <c r="Q287" s="16">
        <v>19.440000000000001</v>
      </c>
      <c r="R287" s="16">
        <v>14.91</v>
      </c>
      <c r="S287" s="16">
        <v>99.1</v>
      </c>
    </row>
    <row r="288" spans="1:19" ht="16.5" customHeight="1" x14ac:dyDescent="0.3">
      <c r="A288" s="14" t="s">
        <v>47</v>
      </c>
      <c r="B288" s="23" t="s">
        <v>84</v>
      </c>
      <c r="C288" s="24"/>
      <c r="D288" s="24"/>
      <c r="E288" s="24"/>
      <c r="N288" s="11"/>
      <c r="O288" s="21"/>
      <c r="P288" s="16">
        <v>65.34</v>
      </c>
      <c r="Q288" s="16">
        <v>19.62</v>
      </c>
      <c r="R288" s="16">
        <v>15.04</v>
      </c>
      <c r="S288" s="16"/>
    </row>
    <row r="289" spans="1:19" ht="16.5" customHeight="1" x14ac:dyDescent="0.3">
      <c r="A289" s="10" t="s">
        <v>50</v>
      </c>
      <c r="B289" s="21" t="s">
        <v>21</v>
      </c>
      <c r="C289" s="25" t="s">
        <v>16</v>
      </c>
      <c r="D289" s="25"/>
      <c r="E289" s="25"/>
      <c r="N289" s="11"/>
      <c r="O289" s="21"/>
      <c r="P289" s="16">
        <v>99.7</v>
      </c>
      <c r="Q289" s="16">
        <v>98.69</v>
      </c>
      <c r="R289" s="16">
        <v>97.08</v>
      </c>
      <c r="S289" s="16"/>
    </row>
    <row r="290" spans="1:19" ht="34.5" x14ac:dyDescent="0.3">
      <c r="A290" s="10" t="s">
        <v>51</v>
      </c>
      <c r="B290" s="21"/>
      <c r="C290" s="15">
        <v>0</v>
      </c>
      <c r="D290" s="15">
        <v>1</v>
      </c>
      <c r="E290" s="15" t="s">
        <v>52</v>
      </c>
      <c r="N290" s="11"/>
      <c r="O290" s="21">
        <v>1</v>
      </c>
      <c r="P290" s="16">
        <v>115</v>
      </c>
      <c r="Q290" s="16">
        <v>152</v>
      </c>
      <c r="R290" s="16">
        <v>263</v>
      </c>
      <c r="S290" s="16">
        <v>530</v>
      </c>
    </row>
    <row r="291" spans="1:19" ht="34.5" x14ac:dyDescent="0.3">
      <c r="A291" s="10" t="s">
        <v>53</v>
      </c>
      <c r="B291" s="21">
        <v>1</v>
      </c>
      <c r="C291" s="16">
        <v>37854</v>
      </c>
      <c r="D291" s="16">
        <v>260</v>
      </c>
      <c r="E291" s="16">
        <v>38114</v>
      </c>
      <c r="H291" s="8">
        <f>C291</f>
        <v>37854</v>
      </c>
      <c r="I291" s="8">
        <f>C293</f>
        <v>99.32</v>
      </c>
      <c r="K291" s="8" t="str">
        <f>TEXT(H291,"#,##0")&amp;" ("&amp;TEXT(I291,"0.00")&amp;")"</f>
        <v>37,854 (99.32)</v>
      </c>
      <c r="N291" s="11"/>
      <c r="O291" s="21"/>
      <c r="P291" s="16">
        <v>0.2</v>
      </c>
      <c r="Q291" s="16">
        <v>0.26</v>
      </c>
      <c r="R291" s="16">
        <v>0.45</v>
      </c>
      <c r="S291" s="16">
        <v>0.9</v>
      </c>
    </row>
    <row r="292" spans="1:19" x14ac:dyDescent="0.3">
      <c r="A292" s="11"/>
      <c r="B292" s="21"/>
      <c r="C292" s="16">
        <v>64.5</v>
      </c>
      <c r="D292" s="16">
        <v>0.44</v>
      </c>
      <c r="E292" s="16">
        <v>64.95</v>
      </c>
      <c r="H292" s="8">
        <f>D291</f>
        <v>260</v>
      </c>
      <c r="I292" s="8">
        <f>D293</f>
        <v>0.68</v>
      </c>
      <c r="K292" s="8" t="str">
        <f t="shared" ref="K292" si="45">TEXT(H292,"#,##0")&amp;" ("&amp;TEXT(I292,"0.00")&amp;")"</f>
        <v>260 (0.68)</v>
      </c>
      <c r="N292" s="11"/>
      <c r="O292" s="21"/>
      <c r="P292" s="16">
        <v>21.7</v>
      </c>
      <c r="Q292" s="16">
        <v>28.68</v>
      </c>
      <c r="R292" s="16">
        <v>49.62</v>
      </c>
      <c r="S292" s="16"/>
    </row>
    <row r="293" spans="1:19" x14ac:dyDescent="0.3">
      <c r="A293" s="11"/>
      <c r="B293" s="21"/>
      <c r="C293" s="16">
        <v>99.32</v>
      </c>
      <c r="D293" s="16">
        <v>0.68</v>
      </c>
      <c r="E293" s="16"/>
      <c r="N293" s="11"/>
      <c r="O293" s="21"/>
      <c r="P293" s="16">
        <v>0.3</v>
      </c>
      <c r="Q293" s="16">
        <v>1.31</v>
      </c>
      <c r="R293" s="16">
        <v>2.92</v>
      </c>
      <c r="S293" s="16"/>
    </row>
    <row r="294" spans="1:19" x14ac:dyDescent="0.3">
      <c r="A294" s="11"/>
      <c r="B294" s="21"/>
      <c r="C294" s="16">
        <v>65.67</v>
      </c>
      <c r="D294" s="16">
        <v>24.9</v>
      </c>
      <c r="E294" s="16"/>
      <c r="N294" s="11"/>
      <c r="O294" s="21" t="s">
        <v>52</v>
      </c>
      <c r="P294" s="16">
        <v>38114</v>
      </c>
      <c r="Q294" s="16">
        <v>11561</v>
      </c>
      <c r="R294" s="16">
        <v>9011</v>
      </c>
      <c r="S294" s="16">
        <v>58686</v>
      </c>
    </row>
    <row r="295" spans="1:19" x14ac:dyDescent="0.3">
      <c r="A295" s="11"/>
      <c r="B295" s="21">
        <v>2</v>
      </c>
      <c r="C295" s="16">
        <v>11242</v>
      </c>
      <c r="D295" s="16">
        <v>319</v>
      </c>
      <c r="E295" s="16">
        <v>11561</v>
      </c>
      <c r="H295" s="8">
        <f>C295</f>
        <v>11242</v>
      </c>
      <c r="I295" s="8">
        <f>C297</f>
        <v>97.24</v>
      </c>
      <c r="K295" s="8" t="str">
        <f>TEXT(H295,"#,##0")&amp;" ("&amp;TEXT(I295,"0.00")&amp;")"</f>
        <v>11,242 (97.24)</v>
      </c>
      <c r="N295" s="11"/>
      <c r="O295" s="21"/>
      <c r="P295" s="16">
        <v>64.95</v>
      </c>
      <c r="Q295" s="16">
        <v>19.7</v>
      </c>
      <c r="R295" s="16">
        <v>15.35</v>
      </c>
      <c r="S295" s="16">
        <v>100</v>
      </c>
    </row>
    <row r="296" spans="1:19" x14ac:dyDescent="0.3">
      <c r="A296" s="11"/>
      <c r="B296" s="21"/>
      <c r="C296" s="16">
        <v>19.16</v>
      </c>
      <c r="D296" s="16">
        <v>0.54</v>
      </c>
      <c r="E296" s="16">
        <v>19.7</v>
      </c>
      <c r="H296" s="8">
        <f>D295</f>
        <v>319</v>
      </c>
      <c r="I296" s="8">
        <f>D297</f>
        <v>2.76</v>
      </c>
      <c r="K296" s="8" t="str">
        <f t="shared" ref="K296" si="46">TEXT(H296,"#,##0")&amp;" ("&amp;TEXT(I296,"0.00")&amp;")"</f>
        <v>319 (2.76)</v>
      </c>
      <c r="N296" s="11"/>
      <c r="O296" s="22"/>
      <c r="P296" s="22"/>
      <c r="Q296" s="22"/>
      <c r="R296" s="22"/>
      <c r="S296" s="22"/>
    </row>
    <row r="297" spans="1:19" ht="16.5" thickBot="1" x14ac:dyDescent="0.35">
      <c r="A297" s="11"/>
      <c r="B297" s="21"/>
      <c r="C297" s="16">
        <v>97.24</v>
      </c>
      <c r="D297" s="16">
        <v>2.76</v>
      </c>
      <c r="E297" s="16"/>
    </row>
    <row r="298" spans="1:19" ht="16.5" customHeight="1" x14ac:dyDescent="0.3">
      <c r="A298" s="11"/>
      <c r="B298" s="21"/>
      <c r="C298" s="16">
        <v>19.5</v>
      </c>
      <c r="D298" s="16">
        <v>30.56</v>
      </c>
      <c r="E298" s="16"/>
      <c r="N298" s="14" t="s">
        <v>47</v>
      </c>
      <c r="O298" s="23" t="s">
        <v>85</v>
      </c>
      <c r="P298" s="24"/>
      <c r="Q298" s="24"/>
      <c r="R298" s="24"/>
      <c r="S298" s="24"/>
    </row>
    <row r="299" spans="1:19" ht="16.5" customHeight="1" x14ac:dyDescent="0.3">
      <c r="A299" s="11"/>
      <c r="B299" s="21">
        <v>3</v>
      </c>
      <c r="C299" s="16">
        <v>8546</v>
      </c>
      <c r="D299" s="16">
        <v>465</v>
      </c>
      <c r="E299" s="16">
        <v>9011</v>
      </c>
      <c r="H299" s="8">
        <f>C299</f>
        <v>8546</v>
      </c>
      <c r="I299" s="8">
        <f>C301</f>
        <v>94.84</v>
      </c>
      <c r="K299" s="8" t="str">
        <f>TEXT(H299,"#,##0")&amp;" ("&amp;TEXT(I299,"0.00")&amp;")"</f>
        <v>8,546 (94.84)</v>
      </c>
      <c r="N299" s="10" t="s">
        <v>50</v>
      </c>
      <c r="O299" s="21" t="s">
        <v>18</v>
      </c>
      <c r="P299" s="25" t="s">
        <v>21</v>
      </c>
      <c r="Q299" s="25"/>
      <c r="R299" s="25"/>
      <c r="S299" s="25"/>
    </row>
    <row r="300" spans="1:19" ht="34.5" x14ac:dyDescent="0.3">
      <c r="A300" s="11"/>
      <c r="B300" s="21"/>
      <c r="C300" s="16">
        <v>14.56</v>
      </c>
      <c r="D300" s="16">
        <v>0.79</v>
      </c>
      <c r="E300" s="16">
        <v>15.35</v>
      </c>
      <c r="H300" s="8">
        <f>D299</f>
        <v>465</v>
      </c>
      <c r="I300" s="8">
        <f>D301</f>
        <v>5.16</v>
      </c>
      <c r="K300" s="8" t="str">
        <f t="shared" ref="K300" si="47">TEXT(H300,"#,##0")&amp;" ("&amp;TEXT(I300,"0.00")&amp;")"</f>
        <v>465 (5.16)</v>
      </c>
      <c r="N300" s="10" t="s">
        <v>51</v>
      </c>
      <c r="O300" s="21"/>
      <c r="P300" s="15">
        <v>1</v>
      </c>
      <c r="Q300" s="15">
        <v>2</v>
      </c>
      <c r="R300" s="15">
        <v>3</v>
      </c>
      <c r="S300" s="15" t="s">
        <v>52</v>
      </c>
    </row>
    <row r="301" spans="1:19" ht="34.5" x14ac:dyDescent="0.3">
      <c r="A301" s="11"/>
      <c r="B301" s="21"/>
      <c r="C301" s="16">
        <v>94.84</v>
      </c>
      <c r="D301" s="16">
        <v>5.16</v>
      </c>
      <c r="E301" s="16"/>
      <c r="N301" s="10" t="s">
        <v>53</v>
      </c>
      <c r="O301" s="21">
        <v>0</v>
      </c>
      <c r="P301" s="16">
        <v>37826</v>
      </c>
      <c r="Q301" s="16">
        <v>11242</v>
      </c>
      <c r="R301" s="16">
        <v>8647</v>
      </c>
      <c r="S301" s="16">
        <v>57715</v>
      </c>
    </row>
    <row r="302" spans="1:19" x14ac:dyDescent="0.3">
      <c r="A302" s="11"/>
      <c r="B302" s="21"/>
      <c r="C302" s="16">
        <v>14.83</v>
      </c>
      <c r="D302" s="16">
        <v>44.54</v>
      </c>
      <c r="E302" s="16"/>
      <c r="N302" s="11"/>
      <c r="O302" s="21"/>
      <c r="P302" s="16">
        <v>64.45</v>
      </c>
      <c r="Q302" s="16">
        <v>19.16</v>
      </c>
      <c r="R302" s="16">
        <v>14.73</v>
      </c>
      <c r="S302" s="16">
        <v>98.35</v>
      </c>
    </row>
    <row r="303" spans="1:19" x14ac:dyDescent="0.3">
      <c r="A303" s="11"/>
      <c r="B303" s="21" t="s">
        <v>52</v>
      </c>
      <c r="C303" s="16">
        <v>57642</v>
      </c>
      <c r="D303" s="16">
        <v>1044</v>
      </c>
      <c r="E303" s="16">
        <v>58686</v>
      </c>
      <c r="N303" s="11"/>
      <c r="O303" s="21"/>
      <c r="P303" s="16">
        <v>65.540000000000006</v>
      </c>
      <c r="Q303" s="16">
        <v>19.48</v>
      </c>
      <c r="R303" s="16">
        <v>14.98</v>
      </c>
      <c r="S303" s="16"/>
    </row>
    <row r="304" spans="1:19" x14ac:dyDescent="0.3">
      <c r="A304" s="11"/>
      <c r="B304" s="21"/>
      <c r="C304" s="16">
        <v>98.22</v>
      </c>
      <c r="D304" s="16">
        <v>1.78</v>
      </c>
      <c r="E304" s="16">
        <v>100</v>
      </c>
      <c r="N304" s="11"/>
      <c r="O304" s="21"/>
      <c r="P304" s="16">
        <v>99.24</v>
      </c>
      <c r="Q304" s="16">
        <v>97.24</v>
      </c>
      <c r="R304" s="16">
        <v>95.96</v>
      </c>
      <c r="S304" s="16"/>
    </row>
    <row r="305" spans="1:19" x14ac:dyDescent="0.3">
      <c r="A305" s="11"/>
      <c r="B305" s="22"/>
      <c r="C305" s="22"/>
      <c r="D305" s="22"/>
      <c r="E305" s="22"/>
      <c r="N305" s="11"/>
      <c r="O305" s="21">
        <v>1</v>
      </c>
      <c r="P305" s="16">
        <v>288</v>
      </c>
      <c r="Q305" s="16">
        <v>319</v>
      </c>
      <c r="R305" s="16">
        <v>364</v>
      </c>
      <c r="S305" s="16">
        <v>971</v>
      </c>
    </row>
    <row r="306" spans="1:19" ht="16.5" thickBot="1" x14ac:dyDescent="0.35">
      <c r="N306" s="11"/>
      <c r="O306" s="21"/>
      <c r="P306" s="16">
        <v>0.49</v>
      </c>
      <c r="Q306" s="16">
        <v>0.54</v>
      </c>
      <c r="R306" s="16">
        <v>0.62</v>
      </c>
      <c r="S306" s="16">
        <v>1.65</v>
      </c>
    </row>
    <row r="307" spans="1:19" ht="16.5" customHeight="1" x14ac:dyDescent="0.3">
      <c r="A307" s="14" t="s">
        <v>47</v>
      </c>
      <c r="B307" s="23" t="s">
        <v>86</v>
      </c>
      <c r="C307" s="24"/>
      <c r="D307" s="24"/>
      <c r="E307" s="24"/>
      <c r="N307" s="11"/>
      <c r="O307" s="21"/>
      <c r="P307" s="16">
        <v>29.66</v>
      </c>
      <c r="Q307" s="16">
        <v>32.85</v>
      </c>
      <c r="R307" s="16">
        <v>37.49</v>
      </c>
      <c r="S307" s="16"/>
    </row>
    <row r="308" spans="1:19" ht="16.5" customHeight="1" x14ac:dyDescent="0.3">
      <c r="A308" s="10" t="s">
        <v>50</v>
      </c>
      <c r="B308" s="21" t="s">
        <v>21</v>
      </c>
      <c r="C308" s="25" t="s">
        <v>17</v>
      </c>
      <c r="D308" s="25"/>
      <c r="E308" s="25"/>
      <c r="N308" s="11"/>
      <c r="O308" s="21"/>
      <c r="P308" s="16">
        <v>0.76</v>
      </c>
      <c r="Q308" s="16">
        <v>2.76</v>
      </c>
      <c r="R308" s="16">
        <v>4.04</v>
      </c>
      <c r="S308" s="16"/>
    </row>
    <row r="309" spans="1:19" ht="34.5" x14ac:dyDescent="0.3">
      <c r="A309" s="10" t="s">
        <v>51</v>
      </c>
      <c r="B309" s="21"/>
      <c r="C309" s="15">
        <v>0</v>
      </c>
      <c r="D309" s="15">
        <v>1</v>
      </c>
      <c r="E309" s="15" t="s">
        <v>52</v>
      </c>
      <c r="N309" s="11"/>
      <c r="O309" s="21" t="s">
        <v>52</v>
      </c>
      <c r="P309" s="16">
        <v>38114</v>
      </c>
      <c r="Q309" s="16">
        <v>11561</v>
      </c>
      <c r="R309" s="16">
        <v>9011</v>
      </c>
      <c r="S309" s="16">
        <v>58686</v>
      </c>
    </row>
    <row r="310" spans="1:19" ht="34.5" x14ac:dyDescent="0.3">
      <c r="A310" s="10" t="s">
        <v>53</v>
      </c>
      <c r="B310" s="21">
        <v>1</v>
      </c>
      <c r="C310" s="16">
        <v>37999</v>
      </c>
      <c r="D310" s="16">
        <v>115</v>
      </c>
      <c r="E310" s="16">
        <v>38114</v>
      </c>
      <c r="H310" s="8">
        <f>C310</f>
        <v>37999</v>
      </c>
      <c r="I310" s="8">
        <f>C312</f>
        <v>99.7</v>
      </c>
      <c r="K310" s="8" t="str">
        <f>TEXT(H310,"#,##0")&amp;" ("&amp;TEXT(I310,"0.00")&amp;")"</f>
        <v>37,999 (99.70)</v>
      </c>
      <c r="N310" s="11"/>
      <c r="O310" s="21"/>
      <c r="P310" s="16">
        <v>64.95</v>
      </c>
      <c r="Q310" s="16">
        <v>19.7</v>
      </c>
      <c r="R310" s="16">
        <v>15.35</v>
      </c>
      <c r="S310" s="16">
        <v>100</v>
      </c>
    </row>
    <row r="311" spans="1:19" x14ac:dyDescent="0.3">
      <c r="A311" s="11"/>
      <c r="B311" s="21"/>
      <c r="C311" s="16">
        <v>64.75</v>
      </c>
      <c r="D311" s="16">
        <v>0.2</v>
      </c>
      <c r="E311" s="16">
        <v>64.95</v>
      </c>
      <c r="H311" s="8">
        <f>D310</f>
        <v>115</v>
      </c>
      <c r="I311" s="8">
        <f>D312</f>
        <v>0.3</v>
      </c>
      <c r="K311" s="8" t="str">
        <f t="shared" ref="K311" si="48">TEXT(H311,"#,##0")&amp;" ("&amp;TEXT(I311,"0.00")&amp;")"</f>
        <v>115 (0.30)</v>
      </c>
      <c r="N311" s="11"/>
      <c r="O311" s="22"/>
      <c r="P311" s="22"/>
      <c r="Q311" s="22"/>
      <c r="R311" s="22"/>
      <c r="S311" s="22"/>
    </row>
    <row r="312" spans="1:19" x14ac:dyDescent="0.3">
      <c r="A312" s="11"/>
      <c r="B312" s="21"/>
      <c r="C312" s="16">
        <v>99.7</v>
      </c>
      <c r="D312" s="16">
        <v>0.3</v>
      </c>
      <c r="E312" s="16"/>
    </row>
    <row r="313" spans="1:19" x14ac:dyDescent="0.3">
      <c r="A313" s="11"/>
      <c r="B313" s="21"/>
      <c r="C313" s="16">
        <v>65.34</v>
      </c>
      <c r="D313" s="16">
        <v>21.7</v>
      </c>
      <c r="E313" s="16"/>
    </row>
    <row r="314" spans="1:19" x14ac:dyDescent="0.3">
      <c r="A314" s="11"/>
      <c r="B314" s="21">
        <v>2</v>
      </c>
      <c r="C314" s="16">
        <v>11409</v>
      </c>
      <c r="D314" s="16">
        <v>152</v>
      </c>
      <c r="E314" s="16">
        <v>11561</v>
      </c>
      <c r="H314" s="8">
        <f>C314</f>
        <v>11409</v>
      </c>
      <c r="I314" s="8">
        <f>C316</f>
        <v>98.69</v>
      </c>
      <c r="K314" s="8" t="str">
        <f>TEXT(H314,"#,##0")&amp;" ("&amp;TEXT(I314,"0.00")&amp;")"</f>
        <v>11,409 (98.69)</v>
      </c>
    </row>
    <row r="315" spans="1:19" x14ac:dyDescent="0.3">
      <c r="A315" s="11"/>
      <c r="B315" s="21"/>
      <c r="C315" s="16">
        <v>19.440000000000001</v>
      </c>
      <c r="D315" s="16">
        <v>0.26</v>
      </c>
      <c r="E315" s="16">
        <v>19.7</v>
      </c>
      <c r="H315" s="8">
        <f>D314</f>
        <v>152</v>
      </c>
      <c r="I315" s="8">
        <f>D316</f>
        <v>1.31</v>
      </c>
      <c r="K315" s="8" t="str">
        <f t="shared" ref="K315" si="49">TEXT(H315,"#,##0")&amp;" ("&amp;TEXT(I315,"0.00")&amp;")"</f>
        <v>152 (1.31)</v>
      </c>
    </row>
    <row r="316" spans="1:19" x14ac:dyDescent="0.3">
      <c r="A316" s="11"/>
      <c r="B316" s="21"/>
      <c r="C316" s="16">
        <v>98.69</v>
      </c>
      <c r="D316" s="16">
        <v>1.31</v>
      </c>
      <c r="E316" s="16"/>
    </row>
    <row r="317" spans="1:19" x14ac:dyDescent="0.3">
      <c r="A317" s="11"/>
      <c r="B317" s="21"/>
      <c r="C317" s="16">
        <v>19.62</v>
      </c>
      <c r="D317" s="16">
        <v>28.68</v>
      </c>
      <c r="E317" s="16"/>
    </row>
    <row r="318" spans="1:19" x14ac:dyDescent="0.3">
      <c r="A318" s="11"/>
      <c r="B318" s="21">
        <v>3</v>
      </c>
      <c r="C318" s="16">
        <v>8748</v>
      </c>
      <c r="D318" s="16">
        <v>263</v>
      </c>
      <c r="E318" s="16">
        <v>9011</v>
      </c>
      <c r="H318" s="8">
        <f>C318</f>
        <v>8748</v>
      </c>
      <c r="I318" s="8">
        <f>C320</f>
        <v>97.08</v>
      </c>
      <c r="K318" s="8" t="str">
        <f>TEXT(H318,"#,##0")&amp;" ("&amp;TEXT(I318,"0.00")&amp;")"</f>
        <v>8,748 (97.08)</v>
      </c>
    </row>
    <row r="319" spans="1:19" x14ac:dyDescent="0.3">
      <c r="A319" s="11"/>
      <c r="B319" s="21"/>
      <c r="C319" s="16">
        <v>14.91</v>
      </c>
      <c r="D319" s="16">
        <v>0.45</v>
      </c>
      <c r="E319" s="16">
        <v>15.35</v>
      </c>
      <c r="H319" s="8">
        <f>D318</f>
        <v>263</v>
      </c>
      <c r="I319" s="8">
        <f>D320</f>
        <v>2.92</v>
      </c>
      <c r="K319" s="8" t="str">
        <f t="shared" ref="K319" si="50">TEXT(H319,"#,##0")&amp;" ("&amp;TEXT(I319,"0.00")&amp;")"</f>
        <v>263 (2.92)</v>
      </c>
    </row>
    <row r="320" spans="1:19" x14ac:dyDescent="0.3">
      <c r="A320" s="11"/>
      <c r="B320" s="21"/>
      <c r="C320" s="16">
        <v>97.08</v>
      </c>
      <c r="D320" s="16">
        <v>2.92</v>
      </c>
      <c r="E320" s="16"/>
    </row>
    <row r="321" spans="1:11" x14ac:dyDescent="0.3">
      <c r="A321" s="11"/>
      <c r="B321" s="21"/>
      <c r="C321" s="16">
        <v>15.04</v>
      </c>
      <c r="D321" s="16">
        <v>49.62</v>
      </c>
      <c r="E321" s="16"/>
    </row>
    <row r="322" spans="1:11" x14ac:dyDescent="0.3">
      <c r="A322" s="11"/>
      <c r="B322" s="21" t="s">
        <v>52</v>
      </c>
      <c r="C322" s="16">
        <v>58156</v>
      </c>
      <c r="D322" s="16">
        <v>530</v>
      </c>
      <c r="E322" s="16">
        <v>58686</v>
      </c>
    </row>
    <row r="323" spans="1:11" x14ac:dyDescent="0.3">
      <c r="A323" s="11"/>
      <c r="B323" s="21"/>
      <c r="C323" s="16">
        <v>99.1</v>
      </c>
      <c r="D323" s="16">
        <v>0.9</v>
      </c>
      <c r="E323" s="16">
        <v>100</v>
      </c>
    </row>
    <row r="324" spans="1:11" x14ac:dyDescent="0.3">
      <c r="A324" s="11"/>
      <c r="B324" s="22"/>
      <c r="C324" s="22"/>
      <c r="D324" s="22"/>
      <c r="E324" s="22"/>
    </row>
    <row r="325" spans="1:11" ht="16.5" thickBot="1" x14ac:dyDescent="0.35"/>
    <row r="326" spans="1:11" ht="16.5" customHeight="1" x14ac:dyDescent="0.3">
      <c r="A326" s="14" t="s">
        <v>47</v>
      </c>
      <c r="B326" s="23" t="s">
        <v>87</v>
      </c>
      <c r="C326" s="24"/>
      <c r="D326" s="24"/>
      <c r="E326" s="24"/>
    </row>
    <row r="327" spans="1:11" ht="16.5" customHeight="1" x14ac:dyDescent="0.3">
      <c r="A327" s="10" t="s">
        <v>50</v>
      </c>
      <c r="B327" s="21" t="s">
        <v>21</v>
      </c>
      <c r="C327" s="25" t="s">
        <v>18</v>
      </c>
      <c r="D327" s="25"/>
      <c r="E327" s="25"/>
    </row>
    <row r="328" spans="1:11" ht="34.5" x14ac:dyDescent="0.3">
      <c r="A328" s="10" t="s">
        <v>51</v>
      </c>
      <c r="B328" s="21"/>
      <c r="C328" s="15">
        <v>0</v>
      </c>
      <c r="D328" s="15">
        <v>1</v>
      </c>
      <c r="E328" s="15" t="s">
        <v>52</v>
      </c>
    </row>
    <row r="329" spans="1:11" ht="34.5" x14ac:dyDescent="0.3">
      <c r="A329" s="10" t="s">
        <v>53</v>
      </c>
      <c r="B329" s="21">
        <v>1</v>
      </c>
      <c r="C329" s="16">
        <v>37826</v>
      </c>
      <c r="D329" s="16">
        <v>288</v>
      </c>
      <c r="E329" s="16">
        <v>38114</v>
      </c>
      <c r="H329" s="8">
        <f>C329</f>
        <v>37826</v>
      </c>
      <c r="I329" s="8">
        <f>C331</f>
        <v>99.24</v>
      </c>
      <c r="K329" s="8" t="str">
        <f>TEXT(H329,"#,##0")&amp;" ("&amp;TEXT(I329,"0.00")&amp;")"</f>
        <v>37,826 (99.24)</v>
      </c>
    </row>
    <row r="330" spans="1:11" x14ac:dyDescent="0.3">
      <c r="A330" s="11"/>
      <c r="B330" s="21"/>
      <c r="C330" s="16">
        <v>64.45</v>
      </c>
      <c r="D330" s="16">
        <v>0.49</v>
      </c>
      <c r="E330" s="16">
        <v>64.95</v>
      </c>
      <c r="H330" s="8">
        <f>D329</f>
        <v>288</v>
      </c>
      <c r="I330" s="8">
        <f>D331</f>
        <v>0.76</v>
      </c>
      <c r="K330" s="8" t="str">
        <f t="shared" ref="K330" si="51">TEXT(H330,"#,##0")&amp;" ("&amp;TEXT(I330,"0.00")&amp;")"</f>
        <v>288 (0.76)</v>
      </c>
    </row>
    <row r="331" spans="1:11" x14ac:dyDescent="0.3">
      <c r="A331" s="11"/>
      <c r="B331" s="21"/>
      <c r="C331" s="16">
        <v>99.24</v>
      </c>
      <c r="D331" s="16">
        <v>0.76</v>
      </c>
      <c r="E331" s="16"/>
    </row>
    <row r="332" spans="1:11" x14ac:dyDescent="0.3">
      <c r="A332" s="11"/>
      <c r="B332" s="21"/>
      <c r="C332" s="16">
        <v>65.540000000000006</v>
      </c>
      <c r="D332" s="16">
        <v>29.66</v>
      </c>
      <c r="E332" s="16"/>
    </row>
    <row r="333" spans="1:11" x14ac:dyDescent="0.3">
      <c r="A333" s="11"/>
      <c r="B333" s="21">
        <v>2</v>
      </c>
      <c r="C333" s="16">
        <v>11242</v>
      </c>
      <c r="D333" s="16">
        <v>319</v>
      </c>
      <c r="E333" s="16">
        <v>11561</v>
      </c>
      <c r="H333" s="8">
        <f>C333</f>
        <v>11242</v>
      </c>
      <c r="I333" s="8">
        <f>C335</f>
        <v>97.24</v>
      </c>
      <c r="K333" s="8" t="str">
        <f>TEXT(H333,"#,##0")&amp;" ("&amp;TEXT(I333,"0.00")&amp;")"</f>
        <v>11,242 (97.24)</v>
      </c>
    </row>
    <row r="334" spans="1:11" x14ac:dyDescent="0.3">
      <c r="A334" s="11"/>
      <c r="B334" s="21"/>
      <c r="C334" s="16">
        <v>19.16</v>
      </c>
      <c r="D334" s="16">
        <v>0.54</v>
      </c>
      <c r="E334" s="16">
        <v>19.7</v>
      </c>
      <c r="H334" s="8">
        <f>D333</f>
        <v>319</v>
      </c>
      <c r="I334" s="8">
        <f>D335</f>
        <v>2.76</v>
      </c>
      <c r="K334" s="8" t="str">
        <f t="shared" ref="K334" si="52">TEXT(H334,"#,##0")&amp;" ("&amp;TEXT(I334,"0.00")&amp;")"</f>
        <v>319 (2.76)</v>
      </c>
    </row>
    <row r="335" spans="1:11" x14ac:dyDescent="0.3">
      <c r="A335" s="11"/>
      <c r="B335" s="21"/>
      <c r="C335" s="16">
        <v>97.24</v>
      </c>
      <c r="D335" s="16">
        <v>2.76</v>
      </c>
      <c r="E335" s="16"/>
    </row>
    <row r="336" spans="1:11" x14ac:dyDescent="0.3">
      <c r="A336" s="11"/>
      <c r="B336" s="21"/>
      <c r="C336" s="16">
        <v>19.48</v>
      </c>
      <c r="D336" s="16">
        <v>32.85</v>
      </c>
      <c r="E336" s="16"/>
    </row>
    <row r="337" spans="1:11" x14ac:dyDescent="0.3">
      <c r="A337" s="11"/>
      <c r="B337" s="21">
        <v>3</v>
      </c>
      <c r="C337" s="16">
        <v>8647</v>
      </c>
      <c r="D337" s="16">
        <v>364</v>
      </c>
      <c r="E337" s="16">
        <v>9011</v>
      </c>
      <c r="H337" s="8">
        <f>C337</f>
        <v>8647</v>
      </c>
      <c r="I337" s="8">
        <f>C339</f>
        <v>95.96</v>
      </c>
      <c r="K337" s="8" t="str">
        <f>TEXT(H337,"#,##0")&amp;" ("&amp;TEXT(I337,"0.00")&amp;")"</f>
        <v>8,647 (95.96)</v>
      </c>
    </row>
    <row r="338" spans="1:11" x14ac:dyDescent="0.3">
      <c r="A338" s="11"/>
      <c r="B338" s="21"/>
      <c r="C338" s="16">
        <v>14.73</v>
      </c>
      <c r="D338" s="16">
        <v>0.62</v>
      </c>
      <c r="E338" s="16">
        <v>15.35</v>
      </c>
      <c r="H338" s="8">
        <f>D337</f>
        <v>364</v>
      </c>
      <c r="I338" s="8">
        <f>D339</f>
        <v>4.04</v>
      </c>
      <c r="K338" s="8" t="str">
        <f t="shared" ref="K338" si="53">TEXT(H338,"#,##0")&amp;" ("&amp;TEXT(I338,"0.00")&amp;")"</f>
        <v>364 (4.04)</v>
      </c>
    </row>
    <row r="339" spans="1:11" x14ac:dyDescent="0.3">
      <c r="A339" s="11"/>
      <c r="B339" s="21"/>
      <c r="C339" s="16">
        <v>95.96</v>
      </c>
      <c r="D339" s="16">
        <v>4.04</v>
      </c>
      <c r="E339" s="16"/>
    </row>
    <row r="340" spans="1:11" x14ac:dyDescent="0.3">
      <c r="A340" s="11"/>
      <c r="B340" s="21"/>
      <c r="C340" s="16">
        <v>14.98</v>
      </c>
      <c r="D340" s="16">
        <v>37.49</v>
      </c>
      <c r="E340" s="16"/>
    </row>
    <row r="341" spans="1:11" x14ac:dyDescent="0.3">
      <c r="A341" s="11"/>
      <c r="B341" s="21" t="s">
        <v>52</v>
      </c>
      <c r="C341" s="16">
        <v>57715</v>
      </c>
      <c r="D341" s="16">
        <v>971</v>
      </c>
      <c r="E341" s="16">
        <v>58686</v>
      </c>
    </row>
    <row r="342" spans="1:11" x14ac:dyDescent="0.3">
      <c r="A342" s="11"/>
      <c r="B342" s="21"/>
      <c r="C342" s="16">
        <v>98.35</v>
      </c>
      <c r="D342" s="16">
        <v>1.65</v>
      </c>
      <c r="E342" s="16">
        <v>100</v>
      </c>
    </row>
    <row r="343" spans="1:11" x14ac:dyDescent="0.3">
      <c r="A343" s="11"/>
      <c r="B343" s="22"/>
      <c r="C343" s="22"/>
      <c r="D343" s="22"/>
      <c r="E343" s="22"/>
    </row>
  </sheetData>
  <mergeCells count="280">
    <mergeCell ref="B18:B19"/>
    <mergeCell ref="B20:F20"/>
    <mergeCell ref="B22:E22"/>
    <mergeCell ref="B23:B24"/>
    <mergeCell ref="C23:E23"/>
    <mergeCell ref="B25:B28"/>
    <mergeCell ref="B3:F3"/>
    <mergeCell ref="B4:B5"/>
    <mergeCell ref="C4:F4"/>
    <mergeCell ref="B6:B9"/>
    <mergeCell ref="B10:B13"/>
    <mergeCell ref="B14:B17"/>
    <mergeCell ref="B44:B47"/>
    <mergeCell ref="B48:B51"/>
    <mergeCell ref="B52:B55"/>
    <mergeCell ref="B56:B57"/>
    <mergeCell ref="B58:E58"/>
    <mergeCell ref="B60:G60"/>
    <mergeCell ref="B29:B32"/>
    <mergeCell ref="B33:B36"/>
    <mergeCell ref="B37:B38"/>
    <mergeCell ref="B39:E39"/>
    <mergeCell ref="B41:E41"/>
    <mergeCell ref="B42:B43"/>
    <mergeCell ref="C42:E42"/>
    <mergeCell ref="B77:G77"/>
    <mergeCell ref="B79:G79"/>
    <mergeCell ref="B80:B81"/>
    <mergeCell ref="C80:G80"/>
    <mergeCell ref="B82:B85"/>
    <mergeCell ref="B86:B89"/>
    <mergeCell ref="B61:B62"/>
    <mergeCell ref="C61:G61"/>
    <mergeCell ref="B63:B66"/>
    <mergeCell ref="B67:B70"/>
    <mergeCell ref="B71:B74"/>
    <mergeCell ref="B75:B76"/>
    <mergeCell ref="B101:B104"/>
    <mergeCell ref="B105:B108"/>
    <mergeCell ref="B109:B112"/>
    <mergeCell ref="B113:B114"/>
    <mergeCell ref="B115:G115"/>
    <mergeCell ref="B117:E117"/>
    <mergeCell ref="B90:B93"/>
    <mergeCell ref="B94:B95"/>
    <mergeCell ref="B96:G96"/>
    <mergeCell ref="B98:G98"/>
    <mergeCell ref="B99:B100"/>
    <mergeCell ref="C99:G99"/>
    <mergeCell ref="B134:E134"/>
    <mergeCell ref="B136:F136"/>
    <mergeCell ref="B137:B138"/>
    <mergeCell ref="C137:F137"/>
    <mergeCell ref="B139:B142"/>
    <mergeCell ref="B143:B146"/>
    <mergeCell ref="B118:B119"/>
    <mergeCell ref="C118:E118"/>
    <mergeCell ref="B120:B123"/>
    <mergeCell ref="B124:B127"/>
    <mergeCell ref="B128:B131"/>
    <mergeCell ref="B132:B133"/>
    <mergeCell ref="B158:B161"/>
    <mergeCell ref="B162:B165"/>
    <mergeCell ref="B166:B169"/>
    <mergeCell ref="B170:B171"/>
    <mergeCell ref="B172:F172"/>
    <mergeCell ref="B174:F174"/>
    <mergeCell ref="B147:B150"/>
    <mergeCell ref="B151:B152"/>
    <mergeCell ref="B153:F153"/>
    <mergeCell ref="B155:F155"/>
    <mergeCell ref="B156:B157"/>
    <mergeCell ref="C156:F156"/>
    <mergeCell ref="B191:F191"/>
    <mergeCell ref="B193:E193"/>
    <mergeCell ref="B194:B195"/>
    <mergeCell ref="C194:E194"/>
    <mergeCell ref="B196:B199"/>
    <mergeCell ref="B200:B203"/>
    <mergeCell ref="B175:B176"/>
    <mergeCell ref="C175:F175"/>
    <mergeCell ref="B177:B180"/>
    <mergeCell ref="B181:B184"/>
    <mergeCell ref="B185:B188"/>
    <mergeCell ref="B189:B190"/>
    <mergeCell ref="B215:B218"/>
    <mergeCell ref="B219:B222"/>
    <mergeCell ref="B223:B226"/>
    <mergeCell ref="B227:B228"/>
    <mergeCell ref="B229:E229"/>
    <mergeCell ref="B231:E231"/>
    <mergeCell ref="B204:B207"/>
    <mergeCell ref="B208:B209"/>
    <mergeCell ref="B210:E210"/>
    <mergeCell ref="B212:E212"/>
    <mergeCell ref="B213:B214"/>
    <mergeCell ref="C213:E213"/>
    <mergeCell ref="B251:B252"/>
    <mergeCell ref="C251:E251"/>
    <mergeCell ref="B253:B256"/>
    <mergeCell ref="B257:B260"/>
    <mergeCell ref="B232:B233"/>
    <mergeCell ref="C232:E232"/>
    <mergeCell ref="B234:B237"/>
    <mergeCell ref="B238:B241"/>
    <mergeCell ref="B242:B245"/>
    <mergeCell ref="B246:B247"/>
    <mergeCell ref="B341:B342"/>
    <mergeCell ref="B343:E343"/>
    <mergeCell ref="O3:S3"/>
    <mergeCell ref="O4:O5"/>
    <mergeCell ref="P4:S4"/>
    <mergeCell ref="O6:O9"/>
    <mergeCell ref="O10:O13"/>
    <mergeCell ref="B318:B321"/>
    <mergeCell ref="B322:B323"/>
    <mergeCell ref="B324:E324"/>
    <mergeCell ref="B326:E326"/>
    <mergeCell ref="B327:B328"/>
    <mergeCell ref="C327:E327"/>
    <mergeCell ref="B305:E305"/>
    <mergeCell ref="B307:E307"/>
    <mergeCell ref="B308:B309"/>
    <mergeCell ref="C308:E308"/>
    <mergeCell ref="B310:B313"/>
    <mergeCell ref="B314:B317"/>
    <mergeCell ref="B289:B290"/>
    <mergeCell ref="C289:E289"/>
    <mergeCell ref="B291:B294"/>
    <mergeCell ref="B295:B298"/>
    <mergeCell ref="B299:B302"/>
    <mergeCell ref="O14:O17"/>
    <mergeCell ref="O18:O19"/>
    <mergeCell ref="O20:S20"/>
    <mergeCell ref="O22:S22"/>
    <mergeCell ref="O23:O24"/>
    <mergeCell ref="P23:S23"/>
    <mergeCell ref="B329:B332"/>
    <mergeCell ref="B333:B336"/>
    <mergeCell ref="B337:B340"/>
    <mergeCell ref="B303:B304"/>
    <mergeCell ref="B272:B275"/>
    <mergeCell ref="B276:B279"/>
    <mergeCell ref="B280:B283"/>
    <mergeCell ref="B284:B285"/>
    <mergeCell ref="B286:E286"/>
    <mergeCell ref="B288:E288"/>
    <mergeCell ref="B261:B264"/>
    <mergeCell ref="B265:B266"/>
    <mergeCell ref="B267:E267"/>
    <mergeCell ref="B269:E269"/>
    <mergeCell ref="B270:B271"/>
    <mergeCell ref="C270:E270"/>
    <mergeCell ref="B248:E248"/>
    <mergeCell ref="B250:E250"/>
    <mergeCell ref="O40:O43"/>
    <mergeCell ref="O44:O47"/>
    <mergeCell ref="O48:O49"/>
    <mergeCell ref="O50:S50"/>
    <mergeCell ref="O52:S52"/>
    <mergeCell ref="O53:O54"/>
    <mergeCell ref="P53:S53"/>
    <mergeCell ref="O25:O28"/>
    <mergeCell ref="O29:O32"/>
    <mergeCell ref="O33:O34"/>
    <mergeCell ref="O35:S35"/>
    <mergeCell ref="O37:S37"/>
    <mergeCell ref="O38:O39"/>
    <mergeCell ref="P38:S38"/>
    <mergeCell ref="O75:S75"/>
    <mergeCell ref="O76:O77"/>
    <mergeCell ref="P76:S76"/>
    <mergeCell ref="O78:O81"/>
    <mergeCell ref="O82:O85"/>
    <mergeCell ref="O86:O89"/>
    <mergeCell ref="O55:O58"/>
    <mergeCell ref="O59:O62"/>
    <mergeCell ref="O63:O66"/>
    <mergeCell ref="O67:O70"/>
    <mergeCell ref="O71:O72"/>
    <mergeCell ref="O73:S73"/>
    <mergeCell ref="O101:O104"/>
    <mergeCell ref="O105:O108"/>
    <mergeCell ref="O109:O112"/>
    <mergeCell ref="O113:O116"/>
    <mergeCell ref="O117:O118"/>
    <mergeCell ref="O119:S119"/>
    <mergeCell ref="O90:O93"/>
    <mergeCell ref="O94:O95"/>
    <mergeCell ref="O96:S96"/>
    <mergeCell ref="O98:S98"/>
    <mergeCell ref="O99:O100"/>
    <mergeCell ref="P99:S99"/>
    <mergeCell ref="O134:S134"/>
    <mergeCell ref="O136:S136"/>
    <mergeCell ref="O137:O138"/>
    <mergeCell ref="P137:S137"/>
    <mergeCell ref="O139:O142"/>
    <mergeCell ref="O143:O146"/>
    <mergeCell ref="O121:S121"/>
    <mergeCell ref="O122:O123"/>
    <mergeCell ref="P122:S122"/>
    <mergeCell ref="O124:O127"/>
    <mergeCell ref="O128:O131"/>
    <mergeCell ref="O132:O133"/>
    <mergeCell ref="O158:O161"/>
    <mergeCell ref="O162:O165"/>
    <mergeCell ref="O166:O169"/>
    <mergeCell ref="O170:O171"/>
    <mergeCell ref="O172:S172"/>
    <mergeCell ref="O174:S174"/>
    <mergeCell ref="O147:O150"/>
    <mergeCell ref="O151:O152"/>
    <mergeCell ref="O153:S153"/>
    <mergeCell ref="O155:S155"/>
    <mergeCell ref="O156:O157"/>
    <mergeCell ref="P156:S156"/>
    <mergeCell ref="O191:S191"/>
    <mergeCell ref="O193:S193"/>
    <mergeCell ref="O194:O195"/>
    <mergeCell ref="P194:S194"/>
    <mergeCell ref="O196:O199"/>
    <mergeCell ref="O200:O203"/>
    <mergeCell ref="O175:O176"/>
    <mergeCell ref="P175:S175"/>
    <mergeCell ref="O177:O180"/>
    <mergeCell ref="O181:O184"/>
    <mergeCell ref="O185:O188"/>
    <mergeCell ref="O189:O190"/>
    <mergeCell ref="O215:O218"/>
    <mergeCell ref="O219:O220"/>
    <mergeCell ref="O221:S221"/>
    <mergeCell ref="O223:S223"/>
    <mergeCell ref="O224:O225"/>
    <mergeCell ref="P224:S224"/>
    <mergeCell ref="O204:O205"/>
    <mergeCell ref="O206:S206"/>
    <mergeCell ref="O208:S208"/>
    <mergeCell ref="O209:O210"/>
    <mergeCell ref="P209:S209"/>
    <mergeCell ref="O211:O214"/>
    <mergeCell ref="O241:O244"/>
    <mergeCell ref="O245:O248"/>
    <mergeCell ref="O249:O250"/>
    <mergeCell ref="O251:S251"/>
    <mergeCell ref="O253:S253"/>
    <mergeCell ref="O254:O255"/>
    <mergeCell ref="P254:S254"/>
    <mergeCell ref="O226:O229"/>
    <mergeCell ref="O230:O233"/>
    <mergeCell ref="O234:O235"/>
    <mergeCell ref="O236:S236"/>
    <mergeCell ref="O238:S238"/>
    <mergeCell ref="O239:O240"/>
    <mergeCell ref="P239:S239"/>
    <mergeCell ref="O271:O274"/>
    <mergeCell ref="O275:O278"/>
    <mergeCell ref="O279:O280"/>
    <mergeCell ref="O281:S281"/>
    <mergeCell ref="O283:S283"/>
    <mergeCell ref="O284:O285"/>
    <mergeCell ref="P284:S284"/>
    <mergeCell ref="O256:O259"/>
    <mergeCell ref="O260:O263"/>
    <mergeCell ref="O264:O265"/>
    <mergeCell ref="O266:S266"/>
    <mergeCell ref="O268:S268"/>
    <mergeCell ref="O269:O270"/>
    <mergeCell ref="P269:S269"/>
    <mergeCell ref="O301:O304"/>
    <mergeCell ref="O305:O308"/>
    <mergeCell ref="O309:O310"/>
    <mergeCell ref="O311:S311"/>
    <mergeCell ref="O286:O289"/>
    <mergeCell ref="O290:O293"/>
    <mergeCell ref="O294:O295"/>
    <mergeCell ref="O296:S296"/>
    <mergeCell ref="O298:S298"/>
    <mergeCell ref="O299:O300"/>
    <mergeCell ref="P299:S29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88CC-4326-4D8E-8C54-2BA0DE393546}">
  <dimension ref="A1:Q314"/>
  <sheetViews>
    <sheetView workbookViewId="0">
      <selection activeCell="N301" sqref="N301:Q302"/>
    </sheetView>
  </sheetViews>
  <sheetFormatPr defaultRowHeight="15.75" x14ac:dyDescent="0.3"/>
  <cols>
    <col min="1" max="13" width="9" style="8"/>
    <col min="14" max="17" width="12.5" style="8" bestFit="1" customWidth="1"/>
    <col min="18" max="16384" width="9" style="8"/>
  </cols>
  <sheetData>
    <row r="1" spans="1:17" ht="16.5" x14ac:dyDescent="0.3">
      <c r="A1" s="1" t="s">
        <v>0</v>
      </c>
      <c r="B1"/>
      <c r="C1"/>
      <c r="D1"/>
      <c r="E1"/>
      <c r="F1"/>
      <c r="G1"/>
    </row>
    <row r="2" spans="1:17" ht="17.25" thickBot="1" x14ac:dyDescent="0.35">
      <c r="A2"/>
      <c r="B2"/>
      <c r="C2"/>
      <c r="D2"/>
      <c r="E2"/>
      <c r="F2"/>
      <c r="G2"/>
    </row>
    <row r="3" spans="1:17" ht="16.5" customHeight="1" x14ac:dyDescent="0.3">
      <c r="A3" s="5" t="s">
        <v>2</v>
      </c>
      <c r="B3" s="17" t="s">
        <v>29</v>
      </c>
      <c r="C3" s="19"/>
      <c r="D3" s="19"/>
      <c r="E3" s="19"/>
      <c r="F3" s="19"/>
      <c r="G3" s="19"/>
    </row>
    <row r="4" spans="1:17" ht="16.5" customHeight="1" x14ac:dyDescent="0.3">
      <c r="A4" s="4" t="s">
        <v>3</v>
      </c>
      <c r="B4" s="18" t="s">
        <v>1</v>
      </c>
      <c r="C4" s="20" t="s">
        <v>23</v>
      </c>
      <c r="D4" s="20"/>
      <c r="E4" s="20"/>
      <c r="F4" s="20"/>
      <c r="G4" s="20"/>
    </row>
    <row r="5" spans="1:17" ht="16.5" x14ac:dyDescent="0.3">
      <c r="A5" s="4" t="s">
        <v>19</v>
      </c>
      <c r="B5" s="18"/>
      <c r="C5" s="3">
        <v>1</v>
      </c>
      <c r="D5" s="3">
        <v>2</v>
      </c>
      <c r="E5" s="3">
        <v>3</v>
      </c>
      <c r="F5" s="3">
        <v>4</v>
      </c>
      <c r="G5" s="3" t="s">
        <v>22</v>
      </c>
    </row>
    <row r="6" spans="1:17" ht="33" x14ac:dyDescent="0.3">
      <c r="A6" s="4" t="s">
        <v>20</v>
      </c>
      <c r="B6" s="18">
        <v>1</v>
      </c>
      <c r="C6" s="6">
        <v>6155</v>
      </c>
      <c r="D6" s="6">
        <v>5189</v>
      </c>
      <c r="E6" s="6">
        <v>4481</v>
      </c>
      <c r="F6" s="6">
        <v>4876</v>
      </c>
      <c r="G6" s="6">
        <v>20701</v>
      </c>
      <c r="I6" s="8">
        <f>C6</f>
        <v>6155</v>
      </c>
      <c r="J6" s="8">
        <f t="shared" ref="J6:L6" si="0">D6</f>
        <v>5189</v>
      </c>
      <c r="K6" s="8">
        <f t="shared" si="0"/>
        <v>4481</v>
      </c>
      <c r="L6" s="8">
        <f t="shared" si="0"/>
        <v>4876</v>
      </c>
      <c r="N6" s="8" t="str">
        <f>TEXT(I6,"#,##0")&amp;" ("&amp;TEXT(I7,"0.00")&amp;")"</f>
        <v>6,155 (51.20)</v>
      </c>
      <c r="O6" s="8" t="str">
        <f t="shared" ref="O6:Q6" si="1">TEXT(J6,"#,##0")&amp;" ("&amp;TEXT(J7,"0.00")&amp;")"</f>
        <v>5,189 (36.97)</v>
      </c>
      <c r="P6" s="8" t="str">
        <f t="shared" si="1"/>
        <v>4,481 (29.30)</v>
      </c>
      <c r="Q6" s="8" t="str">
        <f t="shared" si="1"/>
        <v>4,876 (28.13)</v>
      </c>
    </row>
    <row r="7" spans="1:17" ht="16.5" x14ac:dyDescent="0.3">
      <c r="A7" s="2"/>
      <c r="B7" s="18"/>
      <c r="C7" s="6">
        <v>10.49</v>
      </c>
      <c r="D7" s="6">
        <v>8.84</v>
      </c>
      <c r="E7" s="6">
        <v>7.64</v>
      </c>
      <c r="F7" s="6">
        <v>8.31</v>
      </c>
      <c r="G7" s="6">
        <v>35.270000000000003</v>
      </c>
      <c r="I7" s="8">
        <f>C9</f>
        <v>51.2</v>
      </c>
      <c r="J7" s="8">
        <f>D9</f>
        <v>36.97</v>
      </c>
      <c r="K7" s="8">
        <f>E9</f>
        <v>29.3</v>
      </c>
      <c r="L7" s="8">
        <f>F9</f>
        <v>28.13</v>
      </c>
      <c r="N7" s="8" t="str">
        <f>TEXT(I10,"#,##0")&amp;" ("&amp;TEXT(I11,"0.00")&amp;")"</f>
        <v>3,711 (30.87)</v>
      </c>
      <c r="O7" s="8" t="str">
        <f t="shared" ref="O7:Q7" si="2">TEXT(J10,"#,##0")&amp;" ("&amp;TEXT(J11,"0.00")&amp;")"</f>
        <v>5,012 (35.71)</v>
      </c>
      <c r="P7" s="8" t="str">
        <f t="shared" si="2"/>
        <v>5,684 (37.16)</v>
      </c>
      <c r="Q7" s="8" t="str">
        <f t="shared" si="2"/>
        <v>6,794 (39.20)</v>
      </c>
    </row>
    <row r="8" spans="1:17" ht="16.5" x14ac:dyDescent="0.3">
      <c r="A8" s="2"/>
      <c r="B8" s="18"/>
      <c r="C8" s="6">
        <v>29.73</v>
      </c>
      <c r="D8" s="6">
        <v>25.07</v>
      </c>
      <c r="E8" s="6">
        <v>21.65</v>
      </c>
      <c r="F8" s="6">
        <v>23.55</v>
      </c>
      <c r="G8" s="6"/>
      <c r="N8" s="8" t="str">
        <f>TEXT(I14,"#,##0")&amp;" ("&amp;TEXT(I15,"0.00")&amp;")"</f>
        <v>2,155 (17.93)</v>
      </c>
      <c r="O8" s="8" t="str">
        <f t="shared" ref="O8:Q8" si="3">TEXT(J14,"#,##0")&amp;" ("&amp;TEXT(J15,"0.00")&amp;")"</f>
        <v>3,836 (27.33)</v>
      </c>
      <c r="P8" s="8" t="str">
        <f t="shared" si="3"/>
        <v>5,131 (33.54)</v>
      </c>
      <c r="Q8" s="8" t="str">
        <f t="shared" si="3"/>
        <v>5,662 (32.67)</v>
      </c>
    </row>
    <row r="9" spans="1:17" ht="16.5" x14ac:dyDescent="0.3">
      <c r="A9" s="2"/>
      <c r="B9" s="18"/>
      <c r="C9" s="6">
        <v>51.2</v>
      </c>
      <c r="D9" s="6">
        <v>36.97</v>
      </c>
      <c r="E9" s="6">
        <v>29.3</v>
      </c>
      <c r="F9" s="6">
        <v>28.13</v>
      </c>
      <c r="G9" s="6"/>
    </row>
    <row r="10" spans="1:17" ht="16.5" x14ac:dyDescent="0.3">
      <c r="A10" s="2"/>
      <c r="B10" s="18">
        <v>2</v>
      </c>
      <c r="C10" s="6">
        <v>3711</v>
      </c>
      <c r="D10" s="6">
        <v>5012</v>
      </c>
      <c r="E10" s="6">
        <v>5684</v>
      </c>
      <c r="F10" s="6">
        <v>6794</v>
      </c>
      <c r="G10" s="6">
        <v>21201</v>
      </c>
      <c r="I10" s="8">
        <f>C10</f>
        <v>3711</v>
      </c>
      <c r="J10" s="8">
        <f t="shared" ref="J10" si="4">D10</f>
        <v>5012</v>
      </c>
      <c r="K10" s="8">
        <f t="shared" ref="K10" si="5">E10</f>
        <v>5684</v>
      </c>
      <c r="L10" s="8">
        <f t="shared" ref="L10" si="6">F10</f>
        <v>6794</v>
      </c>
    </row>
    <row r="11" spans="1:17" ht="16.5" x14ac:dyDescent="0.3">
      <c r="A11" s="2"/>
      <c r="B11" s="18"/>
      <c r="C11" s="6">
        <v>6.32</v>
      </c>
      <c r="D11" s="6">
        <v>8.5399999999999991</v>
      </c>
      <c r="E11" s="6">
        <v>9.69</v>
      </c>
      <c r="F11" s="6">
        <v>11.58</v>
      </c>
      <c r="G11" s="6">
        <v>36.130000000000003</v>
      </c>
      <c r="I11" s="8">
        <f>C13</f>
        <v>30.87</v>
      </c>
      <c r="J11" s="8">
        <f>D13</f>
        <v>35.71</v>
      </c>
      <c r="K11" s="8">
        <f>E13</f>
        <v>37.159999999999997</v>
      </c>
      <c r="L11" s="8">
        <f>F13</f>
        <v>39.200000000000003</v>
      </c>
    </row>
    <row r="12" spans="1:17" ht="16.5" x14ac:dyDescent="0.3">
      <c r="A12" s="2"/>
      <c r="B12" s="18"/>
      <c r="C12" s="6">
        <v>17.5</v>
      </c>
      <c r="D12" s="6">
        <v>23.64</v>
      </c>
      <c r="E12" s="6">
        <v>26.81</v>
      </c>
      <c r="F12" s="6">
        <v>32.049999999999997</v>
      </c>
      <c r="G12" s="6"/>
    </row>
    <row r="13" spans="1:17" ht="16.5" x14ac:dyDescent="0.3">
      <c r="A13" s="2"/>
      <c r="B13" s="18"/>
      <c r="C13" s="6">
        <v>30.87</v>
      </c>
      <c r="D13" s="6">
        <v>35.71</v>
      </c>
      <c r="E13" s="6">
        <v>37.159999999999997</v>
      </c>
      <c r="F13" s="6">
        <v>39.200000000000003</v>
      </c>
      <c r="G13" s="6"/>
    </row>
    <row r="14" spans="1:17" ht="16.5" x14ac:dyDescent="0.3">
      <c r="A14" s="2"/>
      <c r="B14" s="18">
        <v>3</v>
      </c>
      <c r="C14" s="6">
        <v>2155</v>
      </c>
      <c r="D14" s="6">
        <v>3836</v>
      </c>
      <c r="E14" s="6">
        <v>5131</v>
      </c>
      <c r="F14" s="6">
        <v>5662</v>
      </c>
      <c r="G14" s="6">
        <v>16784</v>
      </c>
      <c r="I14" s="8">
        <f>C14</f>
        <v>2155</v>
      </c>
      <c r="J14" s="8">
        <f t="shared" ref="J14" si="7">D14</f>
        <v>3836</v>
      </c>
      <c r="K14" s="8">
        <f t="shared" ref="K14" si="8">E14</f>
        <v>5131</v>
      </c>
      <c r="L14" s="8">
        <f t="shared" ref="L14" si="9">F14</f>
        <v>5662</v>
      </c>
    </row>
    <row r="15" spans="1:17" ht="16.5" x14ac:dyDescent="0.3">
      <c r="A15" s="2"/>
      <c r="B15" s="18"/>
      <c r="C15" s="6">
        <v>3.67</v>
      </c>
      <c r="D15" s="6">
        <v>6.54</v>
      </c>
      <c r="E15" s="6">
        <v>8.74</v>
      </c>
      <c r="F15" s="6">
        <v>9.65</v>
      </c>
      <c r="G15" s="6">
        <v>28.6</v>
      </c>
      <c r="I15" s="8">
        <f>C17</f>
        <v>17.93</v>
      </c>
      <c r="J15" s="8">
        <f>D17</f>
        <v>27.33</v>
      </c>
      <c r="K15" s="8">
        <f>E17</f>
        <v>33.54</v>
      </c>
      <c r="L15" s="8">
        <f>F17</f>
        <v>32.67</v>
      </c>
    </row>
    <row r="16" spans="1:17" ht="16.5" x14ac:dyDescent="0.3">
      <c r="A16" s="2"/>
      <c r="B16" s="18"/>
      <c r="C16" s="6">
        <v>12.84</v>
      </c>
      <c r="D16" s="6">
        <v>22.86</v>
      </c>
      <c r="E16" s="6">
        <v>30.57</v>
      </c>
      <c r="F16" s="6">
        <v>33.729999999999997</v>
      </c>
      <c r="G16" s="6"/>
    </row>
    <row r="17" spans="1:17" ht="16.5" x14ac:dyDescent="0.3">
      <c r="A17" s="2"/>
      <c r="B17" s="18"/>
      <c r="C17" s="6">
        <v>17.93</v>
      </c>
      <c r="D17" s="6">
        <v>27.33</v>
      </c>
      <c r="E17" s="6">
        <v>33.54</v>
      </c>
      <c r="F17" s="6">
        <v>32.67</v>
      </c>
      <c r="G17" s="6"/>
    </row>
    <row r="18" spans="1:17" ht="15.75" customHeight="1" x14ac:dyDescent="0.3">
      <c r="A18" s="2"/>
      <c r="B18" s="18" t="s">
        <v>22</v>
      </c>
      <c r="C18" s="6">
        <v>12021</v>
      </c>
      <c r="D18" s="6">
        <v>14037</v>
      </c>
      <c r="E18" s="6">
        <v>15296</v>
      </c>
      <c r="F18" s="6">
        <v>17332</v>
      </c>
      <c r="G18" s="6">
        <v>58686</v>
      </c>
    </row>
    <row r="19" spans="1:17" ht="16.5" x14ac:dyDescent="0.3">
      <c r="A19" s="2"/>
      <c r="B19" s="18"/>
      <c r="C19" s="6">
        <v>20.48</v>
      </c>
      <c r="D19" s="6">
        <v>23.92</v>
      </c>
      <c r="E19" s="6">
        <v>26.06</v>
      </c>
      <c r="F19" s="6">
        <v>29.53</v>
      </c>
      <c r="G19" s="6">
        <v>100</v>
      </c>
    </row>
    <row r="20" spans="1:17" ht="16.5" x14ac:dyDescent="0.3">
      <c r="A20" s="2"/>
      <c r="B20" s="26"/>
      <c r="C20" s="26"/>
      <c r="D20" s="26"/>
      <c r="E20" s="26"/>
      <c r="F20" s="26"/>
      <c r="G20" s="26"/>
    </row>
    <row r="21" spans="1:17" ht="17.25" thickBot="1" x14ac:dyDescent="0.35">
      <c r="A21"/>
      <c r="B21"/>
      <c r="C21"/>
      <c r="D21"/>
      <c r="E21"/>
      <c r="F21"/>
      <c r="G21"/>
    </row>
    <row r="22" spans="1:17" ht="16.5" customHeight="1" x14ac:dyDescent="0.3">
      <c r="A22" s="5" t="s">
        <v>2</v>
      </c>
      <c r="B22" s="17" t="s">
        <v>30</v>
      </c>
      <c r="C22" s="19"/>
      <c r="D22" s="19"/>
      <c r="E22" s="19"/>
      <c r="F22" s="19"/>
      <c r="G22" s="19"/>
    </row>
    <row r="23" spans="1:17" ht="16.5" customHeight="1" x14ac:dyDescent="0.3">
      <c r="A23" s="4" t="s">
        <v>3</v>
      </c>
      <c r="B23" s="18" t="s">
        <v>4</v>
      </c>
      <c r="C23" s="20" t="s">
        <v>23</v>
      </c>
      <c r="D23" s="20"/>
      <c r="E23" s="20"/>
      <c r="F23" s="20"/>
      <c r="G23" s="20"/>
    </row>
    <row r="24" spans="1:17" ht="16.5" x14ac:dyDescent="0.3">
      <c r="A24" s="4" t="s">
        <v>19</v>
      </c>
      <c r="B24" s="18"/>
      <c r="C24" s="3">
        <v>1</v>
      </c>
      <c r="D24" s="3">
        <v>2</v>
      </c>
      <c r="E24" s="3">
        <v>3</v>
      </c>
      <c r="F24" s="3">
        <v>4</v>
      </c>
      <c r="G24" s="3" t="s">
        <v>22</v>
      </c>
    </row>
    <row r="25" spans="1:17" ht="33" x14ac:dyDescent="0.3">
      <c r="A25" s="4" t="s">
        <v>20</v>
      </c>
      <c r="B25" s="18">
        <v>1</v>
      </c>
      <c r="C25" s="6">
        <v>3131</v>
      </c>
      <c r="D25" s="6">
        <v>5487</v>
      </c>
      <c r="E25" s="6">
        <v>7676</v>
      </c>
      <c r="F25" s="6">
        <v>11102</v>
      </c>
      <c r="G25" s="6">
        <v>27396</v>
      </c>
      <c r="I25" s="8">
        <f>C25</f>
        <v>3131</v>
      </c>
      <c r="J25" s="8">
        <f t="shared" ref="J25" si="10">D25</f>
        <v>5487</v>
      </c>
      <c r="K25" s="8">
        <f t="shared" ref="K25" si="11">E25</f>
        <v>7676</v>
      </c>
      <c r="L25" s="8">
        <f t="shared" ref="L25" si="12">F25</f>
        <v>11102</v>
      </c>
      <c r="N25" s="8" t="str">
        <f>TEXT(I25,"#,##0")&amp;" ("&amp;TEXT(I26,"0.00")&amp;")"</f>
        <v>3,131 (26.05)</v>
      </c>
      <c r="O25" s="8" t="str">
        <f t="shared" ref="O25" si="13">TEXT(J25,"#,##0")&amp;" ("&amp;TEXT(J26,"0.00")&amp;")"</f>
        <v>5,487 (39.09)</v>
      </c>
      <c r="P25" s="8" t="str">
        <f t="shared" ref="P25" si="14">TEXT(K25,"#,##0")&amp;" ("&amp;TEXT(K26,"0.00")&amp;")"</f>
        <v>7,676 (50.18)</v>
      </c>
      <c r="Q25" s="8" t="str">
        <f t="shared" ref="Q25" si="15">TEXT(L25,"#,##0")&amp;" ("&amp;TEXT(L26,"0.00")&amp;")"</f>
        <v>11,102 (64.05)</v>
      </c>
    </row>
    <row r="26" spans="1:17" ht="16.5" x14ac:dyDescent="0.3">
      <c r="A26" s="2"/>
      <c r="B26" s="18"/>
      <c r="C26" s="6">
        <v>5.34</v>
      </c>
      <c r="D26" s="6">
        <v>9.35</v>
      </c>
      <c r="E26" s="6">
        <v>13.08</v>
      </c>
      <c r="F26" s="6">
        <v>18.920000000000002</v>
      </c>
      <c r="G26" s="6">
        <v>46.68</v>
      </c>
      <c r="I26" s="8">
        <f>C28</f>
        <v>26.05</v>
      </c>
      <c r="J26" s="8">
        <f>D28</f>
        <v>39.090000000000003</v>
      </c>
      <c r="K26" s="8">
        <f>E28</f>
        <v>50.18</v>
      </c>
      <c r="L26" s="8">
        <f>F28</f>
        <v>64.05</v>
      </c>
      <c r="N26" s="8" t="str">
        <f>TEXT(I29,"#,##0")&amp;" ("&amp;TEXT(I30,"0.00")&amp;")"</f>
        <v>8,890 (73.95)</v>
      </c>
      <c r="O26" s="8" t="str">
        <f t="shared" ref="O26" si="16">TEXT(J29,"#,##0")&amp;" ("&amp;TEXT(J30,"0.00")&amp;")"</f>
        <v>8,550 (60.91)</v>
      </c>
      <c r="P26" s="8" t="str">
        <f t="shared" ref="P26" si="17">TEXT(K29,"#,##0")&amp;" ("&amp;TEXT(K30,"0.00")&amp;")"</f>
        <v>7,620 (49.82)</v>
      </c>
      <c r="Q26" s="8" t="str">
        <f t="shared" ref="Q26" si="18">TEXT(L29,"#,##0")&amp;" ("&amp;TEXT(L30,"0.00")&amp;")"</f>
        <v>6,230 (35.95)</v>
      </c>
    </row>
    <row r="27" spans="1:17" ht="16.5" x14ac:dyDescent="0.3">
      <c r="A27" s="2"/>
      <c r="B27" s="18"/>
      <c r="C27" s="6">
        <v>11.43</v>
      </c>
      <c r="D27" s="6">
        <v>20.03</v>
      </c>
      <c r="E27" s="6">
        <v>28.02</v>
      </c>
      <c r="F27" s="6">
        <v>40.520000000000003</v>
      </c>
      <c r="G27" s="6"/>
    </row>
    <row r="28" spans="1:17" ht="16.5" x14ac:dyDescent="0.3">
      <c r="A28" s="2"/>
      <c r="B28" s="18"/>
      <c r="C28" s="6">
        <v>26.05</v>
      </c>
      <c r="D28" s="6">
        <v>39.090000000000003</v>
      </c>
      <c r="E28" s="6">
        <v>50.18</v>
      </c>
      <c r="F28" s="6">
        <v>64.05</v>
      </c>
      <c r="G28" s="6"/>
    </row>
    <row r="29" spans="1:17" ht="16.5" x14ac:dyDescent="0.3">
      <c r="A29" s="2"/>
      <c r="B29" s="18">
        <v>2</v>
      </c>
      <c r="C29" s="6">
        <v>8890</v>
      </c>
      <c r="D29" s="6">
        <v>8550</v>
      </c>
      <c r="E29" s="6">
        <v>7620</v>
      </c>
      <c r="F29" s="6">
        <v>6230</v>
      </c>
      <c r="G29" s="6">
        <v>31290</v>
      </c>
      <c r="I29" s="8">
        <f>C29</f>
        <v>8890</v>
      </c>
      <c r="J29" s="8">
        <f t="shared" ref="J29" si="19">D29</f>
        <v>8550</v>
      </c>
      <c r="K29" s="8">
        <f t="shared" ref="K29" si="20">E29</f>
        <v>7620</v>
      </c>
      <c r="L29" s="8">
        <f t="shared" ref="L29" si="21">F29</f>
        <v>6230</v>
      </c>
    </row>
    <row r="30" spans="1:17" ht="16.5" x14ac:dyDescent="0.3">
      <c r="A30" s="2"/>
      <c r="B30" s="18"/>
      <c r="C30" s="6">
        <v>15.15</v>
      </c>
      <c r="D30" s="6">
        <v>14.57</v>
      </c>
      <c r="E30" s="6">
        <v>12.98</v>
      </c>
      <c r="F30" s="6">
        <v>10.62</v>
      </c>
      <c r="G30" s="6">
        <v>53.32</v>
      </c>
      <c r="I30" s="8">
        <f>C32</f>
        <v>73.95</v>
      </c>
      <c r="J30" s="8">
        <f>D32</f>
        <v>60.91</v>
      </c>
      <c r="K30" s="8">
        <f>E32</f>
        <v>49.82</v>
      </c>
      <c r="L30" s="8">
        <f>F32</f>
        <v>35.950000000000003</v>
      </c>
    </row>
    <row r="31" spans="1:17" ht="16.5" x14ac:dyDescent="0.3">
      <c r="A31" s="2"/>
      <c r="B31" s="18"/>
      <c r="C31" s="6">
        <v>28.41</v>
      </c>
      <c r="D31" s="6">
        <v>27.33</v>
      </c>
      <c r="E31" s="6">
        <v>24.35</v>
      </c>
      <c r="F31" s="6">
        <v>19.91</v>
      </c>
      <c r="G31" s="6"/>
    </row>
    <row r="32" spans="1:17" ht="16.5" x14ac:dyDescent="0.3">
      <c r="A32" s="2"/>
      <c r="B32" s="18"/>
      <c r="C32" s="6">
        <v>73.95</v>
      </c>
      <c r="D32" s="6">
        <v>60.91</v>
      </c>
      <c r="E32" s="6">
        <v>49.82</v>
      </c>
      <c r="F32" s="6">
        <v>35.950000000000003</v>
      </c>
      <c r="G32" s="6"/>
    </row>
    <row r="33" spans="1:17" ht="15.75" customHeight="1" x14ac:dyDescent="0.3">
      <c r="A33" s="2"/>
      <c r="B33" s="18" t="s">
        <v>22</v>
      </c>
      <c r="C33" s="6">
        <v>12021</v>
      </c>
      <c r="D33" s="6">
        <v>14037</v>
      </c>
      <c r="E33" s="6">
        <v>15296</v>
      </c>
      <c r="F33" s="6">
        <v>17332</v>
      </c>
      <c r="G33" s="6">
        <v>58686</v>
      </c>
    </row>
    <row r="34" spans="1:17" ht="16.5" x14ac:dyDescent="0.3">
      <c r="A34" s="2"/>
      <c r="B34" s="18"/>
      <c r="C34" s="6">
        <v>20.48</v>
      </c>
      <c r="D34" s="6">
        <v>23.92</v>
      </c>
      <c r="E34" s="6">
        <v>26.06</v>
      </c>
      <c r="F34" s="6">
        <v>29.53</v>
      </c>
      <c r="G34" s="6">
        <v>100</v>
      </c>
    </row>
    <row r="35" spans="1:17" ht="16.5" x14ac:dyDescent="0.3">
      <c r="A35" s="2"/>
      <c r="B35" s="26"/>
      <c r="C35" s="26"/>
      <c r="D35" s="26"/>
      <c r="E35" s="26"/>
      <c r="F35" s="26"/>
      <c r="G35" s="26"/>
    </row>
    <row r="36" spans="1:17" ht="17.25" thickBot="1" x14ac:dyDescent="0.35">
      <c r="A36"/>
      <c r="B36"/>
      <c r="C36"/>
      <c r="D36"/>
      <c r="E36"/>
      <c r="F36"/>
      <c r="G36"/>
    </row>
    <row r="37" spans="1:17" ht="16.5" customHeight="1" x14ac:dyDescent="0.3">
      <c r="A37" s="5" t="s">
        <v>2</v>
      </c>
      <c r="B37" s="17" t="s">
        <v>31</v>
      </c>
      <c r="C37" s="19"/>
      <c r="D37" s="19"/>
      <c r="E37" s="19"/>
      <c r="F37" s="19"/>
      <c r="G37" s="19"/>
    </row>
    <row r="38" spans="1:17" ht="16.5" customHeight="1" x14ac:dyDescent="0.3">
      <c r="A38" s="4" t="s">
        <v>3</v>
      </c>
      <c r="B38" s="18" t="s">
        <v>5</v>
      </c>
      <c r="C38" s="20" t="s">
        <v>23</v>
      </c>
      <c r="D38" s="20"/>
      <c r="E38" s="20"/>
      <c r="F38" s="20"/>
      <c r="G38" s="20"/>
    </row>
    <row r="39" spans="1:17" ht="16.5" x14ac:dyDescent="0.3">
      <c r="A39" s="4" t="s">
        <v>19</v>
      </c>
      <c r="B39" s="18"/>
      <c r="C39" s="3">
        <v>1</v>
      </c>
      <c r="D39" s="3">
        <v>2</v>
      </c>
      <c r="E39" s="3">
        <v>3</v>
      </c>
      <c r="F39" s="3">
        <v>4</v>
      </c>
      <c r="G39" s="3" t="s">
        <v>22</v>
      </c>
    </row>
    <row r="40" spans="1:17" ht="33" x14ac:dyDescent="0.3">
      <c r="A40" s="4" t="s">
        <v>20</v>
      </c>
      <c r="B40" s="18">
        <v>1</v>
      </c>
      <c r="C40" s="6">
        <v>9965</v>
      </c>
      <c r="D40" s="6">
        <v>11403</v>
      </c>
      <c r="E40" s="6">
        <v>12190</v>
      </c>
      <c r="F40" s="6">
        <v>13543</v>
      </c>
      <c r="G40" s="6">
        <v>47101</v>
      </c>
      <c r="I40" s="8">
        <f>C40</f>
        <v>9965</v>
      </c>
      <c r="J40" s="8">
        <f t="shared" ref="J40" si="22">D40</f>
        <v>11403</v>
      </c>
      <c r="K40" s="8">
        <f t="shared" ref="K40" si="23">E40</f>
        <v>12190</v>
      </c>
      <c r="L40" s="8">
        <f t="shared" ref="L40" si="24">F40</f>
        <v>13543</v>
      </c>
      <c r="N40" s="8" t="str">
        <f>TEXT(I40,"#,##0")&amp;" ("&amp;TEXT(I41,"0.00")&amp;")"</f>
        <v>9,965 (82.90)</v>
      </c>
      <c r="O40" s="8" t="str">
        <f t="shared" ref="O40" si="25">TEXT(J40,"#,##0")&amp;" ("&amp;TEXT(J41,"0.00")&amp;")"</f>
        <v>11,403 (81.24)</v>
      </c>
      <c r="P40" s="8" t="str">
        <f t="shared" ref="P40" si="26">TEXT(K40,"#,##0")&amp;" ("&amp;TEXT(K41,"0.00")&amp;")"</f>
        <v>12,190 (79.69)</v>
      </c>
      <c r="Q40" s="8" t="str">
        <f t="shared" ref="Q40" si="27">TEXT(L40,"#,##0")&amp;" ("&amp;TEXT(L41,"0.00")&amp;")"</f>
        <v>13,543 (78.14)</v>
      </c>
    </row>
    <row r="41" spans="1:17" ht="16.5" x14ac:dyDescent="0.3">
      <c r="A41" s="2"/>
      <c r="B41" s="18"/>
      <c r="C41" s="6">
        <v>16.98</v>
      </c>
      <c r="D41" s="6">
        <v>19.43</v>
      </c>
      <c r="E41" s="6">
        <v>20.77</v>
      </c>
      <c r="F41" s="6">
        <v>23.08</v>
      </c>
      <c r="G41" s="6">
        <v>80.260000000000005</v>
      </c>
      <c r="I41" s="8">
        <f>C43</f>
        <v>82.9</v>
      </c>
      <c r="J41" s="8">
        <f>D43</f>
        <v>81.239999999999995</v>
      </c>
      <c r="K41" s="8">
        <f>E43</f>
        <v>79.69</v>
      </c>
      <c r="L41" s="8">
        <f>F43</f>
        <v>78.14</v>
      </c>
      <c r="N41" s="8" t="str">
        <f>TEXT(I44,"#,##0")&amp;" ("&amp;TEXT(I45,"0.00")&amp;")"</f>
        <v>2,056 (17.10)</v>
      </c>
      <c r="O41" s="8" t="str">
        <f t="shared" ref="O41" si="28">TEXT(J44,"#,##0")&amp;" ("&amp;TEXT(J45,"0.00")&amp;")"</f>
        <v>2,634 (18.76)</v>
      </c>
      <c r="P41" s="8" t="str">
        <f t="shared" ref="P41" si="29">TEXT(K44,"#,##0")&amp;" ("&amp;TEXT(K45,"0.00")&amp;")"</f>
        <v>3,106 (20.31)</v>
      </c>
      <c r="Q41" s="8" t="str">
        <f t="shared" ref="Q41" si="30">TEXT(L44,"#,##0")&amp;" ("&amp;TEXT(L45,"0.00")&amp;")"</f>
        <v>3,789 (21.86)</v>
      </c>
    </row>
    <row r="42" spans="1:17" ht="16.5" x14ac:dyDescent="0.3">
      <c r="A42" s="2"/>
      <c r="B42" s="18"/>
      <c r="C42" s="6">
        <v>21.16</v>
      </c>
      <c r="D42" s="6">
        <v>24.21</v>
      </c>
      <c r="E42" s="6">
        <v>25.88</v>
      </c>
      <c r="F42" s="6">
        <v>28.75</v>
      </c>
      <c r="G42" s="6"/>
      <c r="N42" s="8" t="str">
        <f>TEXT(I48,"#,##0")&amp;" ("&amp;TEXT(I49,"0.00")&amp;")"</f>
        <v>12,021 (0.00)</v>
      </c>
      <c r="O42" s="8" t="str">
        <f t="shared" ref="O42" si="31">TEXT(J48,"#,##0")&amp;" ("&amp;TEXT(J49,"0.00")&amp;")"</f>
        <v>14,037 (0.00)</v>
      </c>
      <c r="P42" s="8" t="str">
        <f t="shared" ref="P42" si="32">TEXT(K48,"#,##0")&amp;" ("&amp;TEXT(K49,"0.00")&amp;")"</f>
        <v>15,296 (0.00)</v>
      </c>
      <c r="Q42" s="8" t="str">
        <f t="shared" ref="Q42" si="33">TEXT(L48,"#,##0")&amp;" ("&amp;TEXT(L49,"0.00")&amp;")"</f>
        <v>17,332 (0.00)</v>
      </c>
    </row>
    <row r="43" spans="1:17" ht="16.5" x14ac:dyDescent="0.3">
      <c r="A43" s="2"/>
      <c r="B43" s="18"/>
      <c r="C43" s="6">
        <v>82.9</v>
      </c>
      <c r="D43" s="6">
        <v>81.239999999999995</v>
      </c>
      <c r="E43" s="6">
        <v>79.69</v>
      </c>
      <c r="F43" s="6">
        <v>78.14</v>
      </c>
      <c r="G43" s="6"/>
    </row>
    <row r="44" spans="1:17" ht="16.5" x14ac:dyDescent="0.3">
      <c r="A44" s="2"/>
      <c r="B44" s="18">
        <v>2</v>
      </c>
      <c r="C44" s="6">
        <v>2056</v>
      </c>
      <c r="D44" s="6">
        <v>2634</v>
      </c>
      <c r="E44" s="6">
        <v>3106</v>
      </c>
      <c r="F44" s="6">
        <v>3789</v>
      </c>
      <c r="G44" s="6">
        <v>11585</v>
      </c>
      <c r="I44" s="8">
        <f>C44</f>
        <v>2056</v>
      </c>
      <c r="J44" s="8">
        <f t="shared" ref="J44" si="34">D44</f>
        <v>2634</v>
      </c>
      <c r="K44" s="8">
        <f t="shared" ref="K44" si="35">E44</f>
        <v>3106</v>
      </c>
      <c r="L44" s="8">
        <f t="shared" ref="L44" si="36">F44</f>
        <v>3789</v>
      </c>
    </row>
    <row r="45" spans="1:17" ht="16.5" x14ac:dyDescent="0.3">
      <c r="A45" s="2"/>
      <c r="B45" s="18"/>
      <c r="C45" s="6">
        <v>3.5</v>
      </c>
      <c r="D45" s="6">
        <v>4.49</v>
      </c>
      <c r="E45" s="6">
        <v>5.29</v>
      </c>
      <c r="F45" s="6">
        <v>6.46</v>
      </c>
      <c r="G45" s="6">
        <v>19.739999999999998</v>
      </c>
      <c r="I45" s="8">
        <f>C47</f>
        <v>17.100000000000001</v>
      </c>
      <c r="J45" s="8">
        <f>D47</f>
        <v>18.760000000000002</v>
      </c>
      <c r="K45" s="8">
        <f>E47</f>
        <v>20.309999999999999</v>
      </c>
      <c r="L45" s="8">
        <f>F47</f>
        <v>21.86</v>
      </c>
    </row>
    <row r="46" spans="1:17" ht="16.5" x14ac:dyDescent="0.3">
      <c r="A46" s="2"/>
      <c r="B46" s="18"/>
      <c r="C46" s="6">
        <v>17.75</v>
      </c>
      <c r="D46" s="6">
        <v>22.74</v>
      </c>
      <c r="E46" s="6">
        <v>26.81</v>
      </c>
      <c r="F46" s="6">
        <v>32.71</v>
      </c>
      <c r="G46" s="6"/>
    </row>
    <row r="47" spans="1:17" ht="16.5" x14ac:dyDescent="0.3">
      <c r="A47" s="2"/>
      <c r="B47" s="18"/>
      <c r="C47" s="6">
        <v>17.100000000000001</v>
      </c>
      <c r="D47" s="6">
        <v>18.760000000000002</v>
      </c>
      <c r="E47" s="6">
        <v>20.309999999999999</v>
      </c>
      <c r="F47" s="6">
        <v>21.86</v>
      </c>
      <c r="G47" s="6"/>
    </row>
    <row r="48" spans="1:17" ht="15.75" customHeight="1" x14ac:dyDescent="0.3">
      <c r="A48" s="2"/>
      <c r="B48" s="18" t="s">
        <v>22</v>
      </c>
      <c r="C48" s="6">
        <v>12021</v>
      </c>
      <c r="D48" s="6">
        <v>14037</v>
      </c>
      <c r="E48" s="6">
        <v>15296</v>
      </c>
      <c r="F48" s="6">
        <v>17332</v>
      </c>
      <c r="G48" s="6">
        <v>58686</v>
      </c>
      <c r="I48" s="8">
        <f>C48</f>
        <v>12021</v>
      </c>
      <c r="J48" s="8">
        <f t="shared" ref="J48" si="37">D48</f>
        <v>14037</v>
      </c>
      <c r="K48" s="8">
        <f t="shared" ref="K48" si="38">E48</f>
        <v>15296</v>
      </c>
      <c r="L48" s="8">
        <f t="shared" ref="L48" si="39">F48</f>
        <v>17332</v>
      </c>
    </row>
    <row r="49" spans="1:17" ht="16.5" x14ac:dyDescent="0.3">
      <c r="A49" s="2"/>
      <c r="B49" s="18"/>
      <c r="C49" s="6">
        <v>20.48</v>
      </c>
      <c r="D49" s="6">
        <v>23.92</v>
      </c>
      <c r="E49" s="6">
        <v>26.06</v>
      </c>
      <c r="F49" s="6">
        <v>29.53</v>
      </c>
      <c r="G49" s="6">
        <v>100</v>
      </c>
      <c r="I49" s="8">
        <f>C51</f>
        <v>0</v>
      </c>
      <c r="J49" s="8">
        <f>D51</f>
        <v>0</v>
      </c>
      <c r="K49" s="8">
        <f>E51</f>
        <v>0</v>
      </c>
      <c r="L49" s="8">
        <f>F51</f>
        <v>0</v>
      </c>
    </row>
    <row r="50" spans="1:17" ht="16.5" x14ac:dyDescent="0.3">
      <c r="A50" s="2"/>
      <c r="B50" s="26"/>
      <c r="C50" s="26"/>
      <c r="D50" s="26"/>
      <c r="E50" s="26"/>
      <c r="F50" s="26"/>
      <c r="G50" s="26"/>
    </row>
    <row r="51" spans="1:17" ht="17.25" thickBot="1" x14ac:dyDescent="0.35">
      <c r="A51"/>
      <c r="B51"/>
      <c r="C51"/>
      <c r="D51"/>
      <c r="E51"/>
      <c r="F51"/>
      <c r="G51"/>
    </row>
    <row r="52" spans="1:17" ht="16.5" customHeight="1" x14ac:dyDescent="0.3">
      <c r="A52" s="5" t="s">
        <v>2</v>
      </c>
      <c r="B52" s="17" t="s">
        <v>32</v>
      </c>
      <c r="C52" s="19"/>
      <c r="D52" s="19"/>
      <c r="E52" s="19"/>
      <c r="F52" s="19"/>
      <c r="G52" s="19"/>
    </row>
    <row r="53" spans="1:17" ht="16.5" customHeight="1" x14ac:dyDescent="0.3">
      <c r="A53" s="4" t="s">
        <v>3</v>
      </c>
      <c r="B53" s="18" t="s">
        <v>6</v>
      </c>
      <c r="C53" s="20" t="s">
        <v>23</v>
      </c>
      <c r="D53" s="20"/>
      <c r="E53" s="20"/>
      <c r="F53" s="20"/>
      <c r="G53" s="20"/>
    </row>
    <row r="54" spans="1:17" ht="16.5" x14ac:dyDescent="0.3">
      <c r="A54" s="4" t="s">
        <v>19</v>
      </c>
      <c r="B54" s="18"/>
      <c r="C54" s="3">
        <v>1</v>
      </c>
      <c r="D54" s="3">
        <v>2</v>
      </c>
      <c r="E54" s="3">
        <v>3</v>
      </c>
      <c r="F54" s="3">
        <v>4</v>
      </c>
      <c r="G54" s="3" t="s">
        <v>22</v>
      </c>
    </row>
    <row r="55" spans="1:17" ht="33" x14ac:dyDescent="0.3">
      <c r="A55" s="4" t="s">
        <v>20</v>
      </c>
      <c r="B55" s="18">
        <v>1</v>
      </c>
      <c r="C55" s="6">
        <v>912</v>
      </c>
      <c r="D55" s="6">
        <v>1627</v>
      </c>
      <c r="E55" s="6">
        <v>2123</v>
      </c>
      <c r="F55" s="6">
        <v>2516</v>
      </c>
      <c r="G55" s="6">
        <v>7178</v>
      </c>
      <c r="I55" s="8">
        <f>C55</f>
        <v>912</v>
      </c>
      <c r="J55" s="8">
        <f t="shared" ref="J55" si="40">D55</f>
        <v>1627</v>
      </c>
      <c r="K55" s="8">
        <f t="shared" ref="K55" si="41">E55</f>
        <v>2123</v>
      </c>
      <c r="L55" s="8">
        <f t="shared" ref="L55" si="42">F55</f>
        <v>2516</v>
      </c>
      <c r="N55" s="8" t="str">
        <f>TEXT(I55,"#,##0")&amp;" ("&amp;TEXT(I56,"0.00")&amp;")"</f>
        <v>912 (7.59)</v>
      </c>
      <c r="O55" s="8" t="str">
        <f t="shared" ref="O55" si="43">TEXT(J55,"#,##0")&amp;" ("&amp;TEXT(J56,"0.00")&amp;")"</f>
        <v>1,627 (11.59)</v>
      </c>
      <c r="P55" s="8" t="str">
        <f t="shared" ref="P55" si="44">TEXT(K55,"#,##0")&amp;" ("&amp;TEXT(K56,"0.00")&amp;")"</f>
        <v>2,123 (13.88)</v>
      </c>
      <c r="Q55" s="8" t="str">
        <f t="shared" ref="Q55" si="45">TEXT(L55,"#,##0")&amp;" ("&amp;TEXT(L56,"0.00")&amp;")"</f>
        <v>2,516 (14.52)</v>
      </c>
    </row>
    <row r="56" spans="1:17" ht="16.5" x14ac:dyDescent="0.3">
      <c r="A56" s="2"/>
      <c r="B56" s="18"/>
      <c r="C56" s="6">
        <v>1.55</v>
      </c>
      <c r="D56" s="6">
        <v>2.77</v>
      </c>
      <c r="E56" s="6">
        <v>3.62</v>
      </c>
      <c r="F56" s="6">
        <v>4.29</v>
      </c>
      <c r="G56" s="6">
        <v>12.23</v>
      </c>
      <c r="I56" s="8">
        <f>C58</f>
        <v>7.59</v>
      </c>
      <c r="J56" s="8">
        <f>D58</f>
        <v>11.59</v>
      </c>
      <c r="K56" s="8">
        <f>E58</f>
        <v>13.88</v>
      </c>
      <c r="L56" s="8">
        <f>F58</f>
        <v>14.52</v>
      </c>
      <c r="N56" s="8" t="str">
        <f>TEXT(I59,"#,##0")&amp;" ("&amp;TEXT(I60,"0.00")&amp;")"</f>
        <v>1,122 (9.33)</v>
      </c>
      <c r="O56" s="8" t="str">
        <f t="shared" ref="O56" si="46">TEXT(J59,"#,##0")&amp;" ("&amp;TEXT(J60,"0.00")&amp;")"</f>
        <v>1,655 (11.79)</v>
      </c>
      <c r="P56" s="8" t="str">
        <f t="shared" ref="P56" si="47">TEXT(K59,"#,##0")&amp;" ("&amp;TEXT(K60,"0.00")&amp;")"</f>
        <v>2,243 (14.66)</v>
      </c>
      <c r="Q56" s="8" t="str">
        <f t="shared" ref="Q56" si="48">TEXT(L59,"#,##0")&amp;" ("&amp;TEXT(L60,"0.00")&amp;")"</f>
        <v>2,498 (14.41)</v>
      </c>
    </row>
    <row r="57" spans="1:17" ht="16.5" x14ac:dyDescent="0.3">
      <c r="A57" s="2"/>
      <c r="B57" s="18"/>
      <c r="C57" s="6">
        <v>12.71</v>
      </c>
      <c r="D57" s="6">
        <v>22.67</v>
      </c>
      <c r="E57" s="6">
        <v>29.58</v>
      </c>
      <c r="F57" s="6">
        <v>35.049999999999997</v>
      </c>
      <c r="G57" s="6"/>
      <c r="N57" s="8" t="str">
        <f>TEXT(I63,"#,##0")&amp;" ("&amp;TEXT(I64,"0.00")&amp;")"</f>
        <v>3,201 (26.63)</v>
      </c>
      <c r="O57" s="8" t="str">
        <f t="shared" ref="O57" si="49">TEXT(J63,"#,##0")&amp;" ("&amp;TEXT(J64,"0.00")&amp;")"</f>
        <v>4,133 (29.44)</v>
      </c>
      <c r="P57" s="8" t="str">
        <f t="shared" ref="P57" si="50">TEXT(K63,"#,##0")&amp;" ("&amp;TEXT(K64,"0.00")&amp;")"</f>
        <v>4,414 (28.86)</v>
      </c>
      <c r="Q57" s="8" t="str">
        <f t="shared" ref="Q57" si="51">TEXT(L63,"#,##0")&amp;" ("&amp;TEXT(L64,"0.00")&amp;")"</f>
        <v>5,212 (30.07)</v>
      </c>
    </row>
    <row r="58" spans="1:17" ht="16.5" x14ac:dyDescent="0.3">
      <c r="A58" s="2"/>
      <c r="B58" s="18"/>
      <c r="C58" s="6">
        <v>7.59</v>
      </c>
      <c r="D58" s="6">
        <v>11.59</v>
      </c>
      <c r="E58" s="6">
        <v>13.88</v>
      </c>
      <c r="F58" s="6">
        <v>14.52</v>
      </c>
      <c r="G58" s="6"/>
      <c r="N58" s="8" t="str">
        <f>TEXT(I67,"#,##0")&amp;" ("&amp;TEXT(I68,"0.00")&amp;")"</f>
        <v>6,786 (56.45)</v>
      </c>
      <c r="O58" s="8" t="str">
        <f t="shared" ref="O58:Q58" si="52">TEXT(J67,"#,##0")&amp;" ("&amp;TEXT(J68,"0.00")&amp;")"</f>
        <v>6,622 (47.18)</v>
      </c>
      <c r="P58" s="8" t="str">
        <f t="shared" si="52"/>
        <v>6,516 (42.60)</v>
      </c>
      <c r="Q58" s="8" t="str">
        <f t="shared" si="52"/>
        <v>7,106 (41.00)</v>
      </c>
    </row>
    <row r="59" spans="1:17" ht="16.5" x14ac:dyDescent="0.3">
      <c r="A59" s="2"/>
      <c r="B59" s="18">
        <v>2</v>
      </c>
      <c r="C59" s="6">
        <v>1122</v>
      </c>
      <c r="D59" s="6">
        <v>1655</v>
      </c>
      <c r="E59" s="6">
        <v>2243</v>
      </c>
      <c r="F59" s="6">
        <v>2498</v>
      </c>
      <c r="G59" s="6">
        <v>7518</v>
      </c>
      <c r="I59" s="8">
        <f>C59</f>
        <v>1122</v>
      </c>
      <c r="J59" s="8">
        <f t="shared" ref="J59" si="53">D59</f>
        <v>1655</v>
      </c>
      <c r="K59" s="8">
        <f t="shared" ref="K59" si="54">E59</f>
        <v>2243</v>
      </c>
      <c r="L59" s="8">
        <f t="shared" ref="L59" si="55">F59</f>
        <v>2498</v>
      </c>
    </row>
    <row r="60" spans="1:17" ht="16.5" x14ac:dyDescent="0.3">
      <c r="A60" s="2"/>
      <c r="B60" s="18"/>
      <c r="C60" s="6">
        <v>1.91</v>
      </c>
      <c r="D60" s="6">
        <v>2.82</v>
      </c>
      <c r="E60" s="6">
        <v>3.82</v>
      </c>
      <c r="F60" s="6">
        <v>4.26</v>
      </c>
      <c r="G60" s="6">
        <v>12.81</v>
      </c>
      <c r="I60" s="8">
        <f>C62</f>
        <v>9.33</v>
      </c>
      <c r="J60" s="8">
        <f>D62</f>
        <v>11.79</v>
      </c>
      <c r="K60" s="8">
        <f>E62</f>
        <v>14.66</v>
      </c>
      <c r="L60" s="8">
        <f>F62</f>
        <v>14.41</v>
      </c>
    </row>
    <row r="61" spans="1:17" ht="16.5" x14ac:dyDescent="0.3">
      <c r="A61" s="2"/>
      <c r="B61" s="18"/>
      <c r="C61" s="6">
        <v>14.92</v>
      </c>
      <c r="D61" s="6">
        <v>22.01</v>
      </c>
      <c r="E61" s="6">
        <v>29.84</v>
      </c>
      <c r="F61" s="6">
        <v>33.229999999999997</v>
      </c>
      <c r="G61" s="6"/>
    </row>
    <row r="62" spans="1:17" ht="16.5" x14ac:dyDescent="0.3">
      <c r="A62" s="2"/>
      <c r="B62" s="18"/>
      <c r="C62" s="6">
        <v>9.33</v>
      </c>
      <c r="D62" s="6">
        <v>11.79</v>
      </c>
      <c r="E62" s="6">
        <v>14.66</v>
      </c>
      <c r="F62" s="6">
        <v>14.41</v>
      </c>
      <c r="G62" s="6"/>
    </row>
    <row r="63" spans="1:17" ht="16.5" x14ac:dyDescent="0.3">
      <c r="A63" s="2"/>
      <c r="B63" s="18">
        <v>3</v>
      </c>
      <c r="C63" s="6">
        <v>3201</v>
      </c>
      <c r="D63" s="6">
        <v>4133</v>
      </c>
      <c r="E63" s="6">
        <v>4414</v>
      </c>
      <c r="F63" s="6">
        <v>5212</v>
      </c>
      <c r="G63" s="6">
        <v>16960</v>
      </c>
      <c r="I63" s="8">
        <f>C63</f>
        <v>3201</v>
      </c>
      <c r="J63" s="8">
        <f t="shared" ref="J63" si="56">D63</f>
        <v>4133</v>
      </c>
      <c r="K63" s="8">
        <f t="shared" ref="K63" si="57">E63</f>
        <v>4414</v>
      </c>
      <c r="L63" s="8">
        <f t="shared" ref="L63" si="58">F63</f>
        <v>5212</v>
      </c>
    </row>
    <row r="64" spans="1:17" ht="16.5" x14ac:dyDescent="0.3">
      <c r="A64" s="2"/>
      <c r="B64" s="18"/>
      <c r="C64" s="6">
        <v>5.45</v>
      </c>
      <c r="D64" s="6">
        <v>7.04</v>
      </c>
      <c r="E64" s="6">
        <v>7.52</v>
      </c>
      <c r="F64" s="6">
        <v>8.8800000000000008</v>
      </c>
      <c r="G64" s="6">
        <v>28.9</v>
      </c>
      <c r="I64" s="8">
        <f>C66</f>
        <v>26.63</v>
      </c>
      <c r="J64" s="8">
        <f>D66</f>
        <v>29.44</v>
      </c>
      <c r="K64" s="8">
        <f>E66</f>
        <v>28.86</v>
      </c>
      <c r="L64" s="8">
        <f>F66</f>
        <v>30.07</v>
      </c>
    </row>
    <row r="65" spans="1:17" ht="16.5" x14ac:dyDescent="0.3">
      <c r="A65" s="2"/>
      <c r="B65" s="18"/>
      <c r="C65" s="6">
        <v>18.87</v>
      </c>
      <c r="D65" s="6">
        <v>24.37</v>
      </c>
      <c r="E65" s="6">
        <v>26.03</v>
      </c>
      <c r="F65" s="6">
        <v>30.73</v>
      </c>
      <c r="G65" s="6"/>
    </row>
    <row r="66" spans="1:17" ht="16.5" x14ac:dyDescent="0.3">
      <c r="A66" s="2"/>
      <c r="B66" s="18"/>
      <c r="C66" s="6">
        <v>26.63</v>
      </c>
      <c r="D66" s="6">
        <v>29.44</v>
      </c>
      <c r="E66" s="6">
        <v>28.86</v>
      </c>
      <c r="F66" s="6">
        <v>30.07</v>
      </c>
      <c r="G66" s="6"/>
    </row>
    <row r="67" spans="1:17" ht="16.5" x14ac:dyDescent="0.3">
      <c r="A67" s="2"/>
      <c r="B67" s="18">
        <v>4</v>
      </c>
      <c r="C67" s="6">
        <v>6786</v>
      </c>
      <c r="D67" s="6">
        <v>6622</v>
      </c>
      <c r="E67" s="6">
        <v>6516</v>
      </c>
      <c r="F67" s="6">
        <v>7106</v>
      </c>
      <c r="G67" s="6">
        <v>27030</v>
      </c>
      <c r="I67" s="8">
        <f>C67</f>
        <v>6786</v>
      </c>
      <c r="J67" s="8">
        <f t="shared" ref="J67" si="59">D67</f>
        <v>6622</v>
      </c>
      <c r="K67" s="8">
        <f t="shared" ref="K67" si="60">E67</f>
        <v>6516</v>
      </c>
      <c r="L67" s="8">
        <f t="shared" ref="L67" si="61">F67</f>
        <v>7106</v>
      </c>
    </row>
    <row r="68" spans="1:17" ht="16.5" x14ac:dyDescent="0.3">
      <c r="A68" s="2"/>
      <c r="B68" s="18"/>
      <c r="C68" s="6">
        <v>11.56</v>
      </c>
      <c r="D68" s="6">
        <v>11.28</v>
      </c>
      <c r="E68" s="6">
        <v>11.1</v>
      </c>
      <c r="F68" s="6">
        <v>12.11</v>
      </c>
      <c r="G68" s="6">
        <v>46.06</v>
      </c>
      <c r="I68" s="8">
        <f>C70</f>
        <v>56.45</v>
      </c>
      <c r="J68" s="8">
        <f>D70</f>
        <v>47.18</v>
      </c>
      <c r="K68" s="8">
        <f>E70</f>
        <v>42.6</v>
      </c>
      <c r="L68" s="8">
        <f>F70</f>
        <v>41</v>
      </c>
    </row>
    <row r="69" spans="1:17" ht="16.5" x14ac:dyDescent="0.3">
      <c r="A69" s="2"/>
      <c r="B69" s="18"/>
      <c r="C69" s="6">
        <v>25.11</v>
      </c>
      <c r="D69" s="6">
        <v>24.5</v>
      </c>
      <c r="E69" s="6">
        <v>24.11</v>
      </c>
      <c r="F69" s="6">
        <v>26.29</v>
      </c>
      <c r="G69" s="6"/>
    </row>
    <row r="70" spans="1:17" ht="16.5" x14ac:dyDescent="0.3">
      <c r="A70" s="2"/>
      <c r="B70" s="18"/>
      <c r="C70" s="6">
        <v>56.45</v>
      </c>
      <c r="D70" s="6">
        <v>47.18</v>
      </c>
      <c r="E70" s="6">
        <v>42.6</v>
      </c>
      <c r="F70" s="6">
        <v>41</v>
      </c>
      <c r="G70" s="6"/>
    </row>
    <row r="71" spans="1:17" ht="15.75" customHeight="1" x14ac:dyDescent="0.3">
      <c r="A71" s="2"/>
      <c r="B71" s="18" t="s">
        <v>22</v>
      </c>
      <c r="C71" s="6">
        <v>12021</v>
      </c>
      <c r="D71" s="6">
        <v>14037</v>
      </c>
      <c r="E71" s="6">
        <v>15296</v>
      </c>
      <c r="F71" s="6">
        <v>17332</v>
      </c>
      <c r="G71" s="6">
        <v>58686</v>
      </c>
    </row>
    <row r="72" spans="1:17" ht="16.5" x14ac:dyDescent="0.3">
      <c r="A72" s="2"/>
      <c r="B72" s="18"/>
      <c r="C72" s="6">
        <v>20.48</v>
      </c>
      <c r="D72" s="6">
        <v>23.92</v>
      </c>
      <c r="E72" s="6">
        <v>26.06</v>
      </c>
      <c r="F72" s="6">
        <v>29.53</v>
      </c>
      <c r="G72" s="6">
        <v>100</v>
      </c>
    </row>
    <row r="73" spans="1:17" ht="16.5" x14ac:dyDescent="0.3">
      <c r="A73" s="2"/>
      <c r="B73" s="26"/>
      <c r="C73" s="26"/>
      <c r="D73" s="26"/>
      <c r="E73" s="26"/>
      <c r="F73" s="26"/>
      <c r="G73" s="26"/>
    </row>
    <row r="74" spans="1:17" ht="17.25" thickBot="1" x14ac:dyDescent="0.35">
      <c r="A74"/>
      <c r="B74"/>
      <c r="C74"/>
      <c r="D74"/>
      <c r="E74"/>
      <c r="F74"/>
      <c r="G74"/>
    </row>
    <row r="75" spans="1:17" ht="16.5" customHeight="1" x14ac:dyDescent="0.3">
      <c r="A75" s="5" t="s">
        <v>2</v>
      </c>
      <c r="B75" s="17" t="s">
        <v>33</v>
      </c>
      <c r="C75" s="19"/>
      <c r="D75" s="19"/>
      <c r="E75" s="19"/>
      <c r="F75" s="19"/>
      <c r="G75" s="19"/>
    </row>
    <row r="76" spans="1:17" ht="16.5" customHeight="1" x14ac:dyDescent="0.3">
      <c r="A76" s="4" t="s">
        <v>3</v>
      </c>
      <c r="B76" s="18" t="s">
        <v>7</v>
      </c>
      <c r="C76" s="20" t="s">
        <v>23</v>
      </c>
      <c r="D76" s="20"/>
      <c r="E76" s="20"/>
      <c r="F76" s="20"/>
      <c r="G76" s="20"/>
    </row>
    <row r="77" spans="1:17" ht="16.5" x14ac:dyDescent="0.3">
      <c r="A77" s="4" t="s">
        <v>19</v>
      </c>
      <c r="B77" s="18"/>
      <c r="C77" s="3">
        <v>1</v>
      </c>
      <c r="D77" s="3">
        <v>2</v>
      </c>
      <c r="E77" s="3">
        <v>3</v>
      </c>
      <c r="F77" s="3">
        <v>4</v>
      </c>
      <c r="G77" s="3" t="s">
        <v>22</v>
      </c>
    </row>
    <row r="78" spans="1:17" ht="33" x14ac:dyDescent="0.3">
      <c r="A78" s="4" t="s">
        <v>20</v>
      </c>
      <c r="B78" s="18">
        <v>1</v>
      </c>
      <c r="C78" s="6">
        <v>1193</v>
      </c>
      <c r="D78" s="6">
        <v>1874</v>
      </c>
      <c r="E78" s="6">
        <v>2357</v>
      </c>
      <c r="F78" s="6">
        <v>2880</v>
      </c>
      <c r="G78" s="6">
        <v>8304</v>
      </c>
      <c r="I78" s="8">
        <f>C78</f>
        <v>1193</v>
      </c>
      <c r="J78" s="8">
        <f t="shared" ref="J78" si="62">D78</f>
        <v>1874</v>
      </c>
      <c r="K78" s="8">
        <f t="shared" ref="K78" si="63">E78</f>
        <v>2357</v>
      </c>
      <c r="L78" s="8">
        <f t="shared" ref="L78" si="64">F78</f>
        <v>2880</v>
      </c>
      <c r="N78" s="8" t="str">
        <f>TEXT(I78,"#,##0")&amp;" ("&amp;TEXT(I79,"0.00")&amp;")"</f>
        <v>1,193 (9.92)</v>
      </c>
      <c r="O78" s="8" t="str">
        <f t="shared" ref="O78" si="65">TEXT(J78,"#,##0")&amp;" ("&amp;TEXT(J79,"0.00")&amp;")"</f>
        <v>1,874 (13.35)</v>
      </c>
      <c r="P78" s="8" t="str">
        <f t="shared" ref="P78" si="66">TEXT(K78,"#,##0")&amp;" ("&amp;TEXT(K79,"0.00")&amp;")"</f>
        <v>2,357 (15.41)</v>
      </c>
      <c r="Q78" s="8" t="str">
        <f t="shared" ref="Q78" si="67">TEXT(L78,"#,##0")&amp;" ("&amp;TEXT(L79,"0.00")&amp;")"</f>
        <v>2,880 (16.62)</v>
      </c>
    </row>
    <row r="79" spans="1:17" ht="16.5" x14ac:dyDescent="0.3">
      <c r="A79" s="2"/>
      <c r="B79" s="18"/>
      <c r="C79" s="6">
        <v>2.0299999999999998</v>
      </c>
      <c r="D79" s="6">
        <v>3.19</v>
      </c>
      <c r="E79" s="6">
        <v>4.0199999999999996</v>
      </c>
      <c r="F79" s="6">
        <v>4.91</v>
      </c>
      <c r="G79" s="6">
        <v>14.15</v>
      </c>
      <c r="I79" s="8">
        <f>C81</f>
        <v>9.92</v>
      </c>
      <c r="J79" s="8">
        <f>D81</f>
        <v>13.35</v>
      </c>
      <c r="K79" s="8">
        <f>E81</f>
        <v>15.41</v>
      </c>
      <c r="L79" s="8">
        <f>F81</f>
        <v>16.62</v>
      </c>
      <c r="N79" s="8" t="str">
        <f>TEXT(I82,"#,##0")&amp;" ("&amp;TEXT(I83,"0.00")&amp;")"</f>
        <v>2,862 (23.81)</v>
      </c>
      <c r="O79" s="8" t="str">
        <f t="shared" ref="O79" si="68">TEXT(J82,"#,##0")&amp;" ("&amp;TEXT(J83,"0.00")&amp;")"</f>
        <v>3,495 (24.90)</v>
      </c>
      <c r="P79" s="8" t="str">
        <f t="shared" ref="P79" si="69">TEXT(K82,"#,##0")&amp;" ("&amp;TEXT(K83,"0.00")&amp;")"</f>
        <v>3,894 (25.46)</v>
      </c>
      <c r="Q79" s="8" t="str">
        <f t="shared" ref="Q79" si="70">TEXT(L82,"#,##0")&amp;" ("&amp;TEXT(L83,"0.00")&amp;")"</f>
        <v>4,486 (25.88)</v>
      </c>
    </row>
    <row r="80" spans="1:17" ht="16.5" x14ac:dyDescent="0.3">
      <c r="A80" s="2"/>
      <c r="B80" s="18"/>
      <c r="C80" s="6">
        <v>14.37</v>
      </c>
      <c r="D80" s="6">
        <v>22.57</v>
      </c>
      <c r="E80" s="6">
        <v>28.38</v>
      </c>
      <c r="F80" s="6">
        <v>34.68</v>
      </c>
      <c r="G80" s="6"/>
      <c r="N80" s="8" t="str">
        <f>TEXT(I86,"#,##0")&amp;" ("&amp;TEXT(I87,"0.00")&amp;")"</f>
        <v>3,823 (31.80)</v>
      </c>
      <c r="O80" s="8" t="str">
        <f t="shared" ref="O80" si="71">TEXT(J86,"#,##0")&amp;" ("&amp;TEXT(J87,"0.00")&amp;")"</f>
        <v>4,205 (29.96)</v>
      </c>
      <c r="P80" s="8" t="str">
        <f t="shared" ref="P80" si="72">TEXT(K86,"#,##0")&amp;" ("&amp;TEXT(K87,"0.00")&amp;")"</f>
        <v>4,393 (28.72)</v>
      </c>
      <c r="Q80" s="8" t="str">
        <f t="shared" ref="Q80" si="73">TEXT(L86,"#,##0")&amp;" ("&amp;TEXT(L87,"0.00")&amp;")"</f>
        <v>4,929 (28.44)</v>
      </c>
    </row>
    <row r="81" spans="1:17" ht="16.5" x14ac:dyDescent="0.3">
      <c r="A81" s="2"/>
      <c r="B81" s="18"/>
      <c r="C81" s="6">
        <v>9.92</v>
      </c>
      <c r="D81" s="6">
        <v>13.35</v>
      </c>
      <c r="E81" s="6">
        <v>15.41</v>
      </c>
      <c r="F81" s="6">
        <v>16.62</v>
      </c>
      <c r="G81" s="6"/>
      <c r="N81" s="8" t="str">
        <f>TEXT(I90,"#,##0")&amp;" ("&amp;TEXT(I91,"0.00")&amp;")"</f>
        <v>4,143 (34.46)</v>
      </c>
      <c r="O81" s="8" t="str">
        <f t="shared" ref="O81" si="74">TEXT(J90,"#,##0")&amp;" ("&amp;TEXT(J91,"0.00")&amp;")"</f>
        <v>4,463 (31.79)</v>
      </c>
      <c r="P81" s="8" t="str">
        <f t="shared" ref="P81" si="75">TEXT(K90,"#,##0")&amp;" ("&amp;TEXT(K91,"0.00")&amp;")"</f>
        <v>4,652 (30.41)</v>
      </c>
      <c r="Q81" s="8" t="str">
        <f t="shared" ref="Q81" si="76">TEXT(L90,"#,##0")&amp;" ("&amp;TEXT(L91,"0.00")&amp;")"</f>
        <v>5,037 (29.06)</v>
      </c>
    </row>
    <row r="82" spans="1:17" ht="16.5" x14ac:dyDescent="0.3">
      <c r="A82" s="2"/>
      <c r="B82" s="18">
        <v>2</v>
      </c>
      <c r="C82" s="6">
        <v>2862</v>
      </c>
      <c r="D82" s="6">
        <v>3495</v>
      </c>
      <c r="E82" s="6">
        <v>3894</v>
      </c>
      <c r="F82" s="6">
        <v>4486</v>
      </c>
      <c r="G82" s="6">
        <v>14737</v>
      </c>
      <c r="I82" s="8">
        <f>C82</f>
        <v>2862</v>
      </c>
      <c r="J82" s="8">
        <f t="shared" ref="J82" si="77">D82</f>
        <v>3495</v>
      </c>
      <c r="K82" s="8">
        <f t="shared" ref="K82" si="78">E82</f>
        <v>3894</v>
      </c>
      <c r="L82" s="8">
        <f t="shared" ref="L82" si="79">F82</f>
        <v>4486</v>
      </c>
    </row>
    <row r="83" spans="1:17" ht="16.5" x14ac:dyDescent="0.3">
      <c r="A83" s="2"/>
      <c r="B83" s="18"/>
      <c r="C83" s="6">
        <v>4.88</v>
      </c>
      <c r="D83" s="6">
        <v>5.96</v>
      </c>
      <c r="E83" s="6">
        <v>6.64</v>
      </c>
      <c r="F83" s="6">
        <v>7.64</v>
      </c>
      <c r="G83" s="6">
        <v>25.11</v>
      </c>
      <c r="I83" s="8">
        <f>C85</f>
        <v>23.81</v>
      </c>
      <c r="J83" s="8">
        <f>D85</f>
        <v>24.9</v>
      </c>
      <c r="K83" s="8">
        <f>E85</f>
        <v>25.46</v>
      </c>
      <c r="L83" s="8">
        <f>F85</f>
        <v>25.88</v>
      </c>
    </row>
    <row r="84" spans="1:17" ht="16.5" x14ac:dyDescent="0.3">
      <c r="A84" s="2"/>
      <c r="B84" s="18"/>
      <c r="C84" s="6">
        <v>19.420000000000002</v>
      </c>
      <c r="D84" s="6">
        <v>23.72</v>
      </c>
      <c r="E84" s="6">
        <v>26.42</v>
      </c>
      <c r="F84" s="6">
        <v>30.44</v>
      </c>
      <c r="G84" s="6"/>
    </row>
    <row r="85" spans="1:17" ht="16.5" x14ac:dyDescent="0.3">
      <c r="A85" s="2"/>
      <c r="B85" s="18"/>
      <c r="C85" s="6">
        <v>23.81</v>
      </c>
      <c r="D85" s="6">
        <v>24.9</v>
      </c>
      <c r="E85" s="6">
        <v>25.46</v>
      </c>
      <c r="F85" s="6">
        <v>25.88</v>
      </c>
      <c r="G85" s="6"/>
    </row>
    <row r="86" spans="1:17" ht="16.5" x14ac:dyDescent="0.3">
      <c r="A86" s="2"/>
      <c r="B86" s="18">
        <v>3</v>
      </c>
      <c r="C86" s="6">
        <v>3823</v>
      </c>
      <c r="D86" s="6">
        <v>4205</v>
      </c>
      <c r="E86" s="6">
        <v>4393</v>
      </c>
      <c r="F86" s="6">
        <v>4929</v>
      </c>
      <c r="G86" s="6">
        <v>17350</v>
      </c>
      <c r="I86" s="8">
        <f>C86</f>
        <v>3823</v>
      </c>
      <c r="J86" s="8">
        <f t="shared" ref="J86" si="80">D86</f>
        <v>4205</v>
      </c>
      <c r="K86" s="8">
        <f t="shared" ref="K86" si="81">E86</f>
        <v>4393</v>
      </c>
      <c r="L86" s="8">
        <f t="shared" ref="L86" si="82">F86</f>
        <v>4929</v>
      </c>
    </row>
    <row r="87" spans="1:17" ht="16.5" x14ac:dyDescent="0.3">
      <c r="A87" s="2"/>
      <c r="B87" s="18"/>
      <c r="C87" s="6">
        <v>6.51</v>
      </c>
      <c r="D87" s="6">
        <v>7.17</v>
      </c>
      <c r="E87" s="6">
        <v>7.49</v>
      </c>
      <c r="F87" s="6">
        <v>8.4</v>
      </c>
      <c r="G87" s="6">
        <v>29.56</v>
      </c>
      <c r="I87" s="8">
        <f>C89</f>
        <v>31.8</v>
      </c>
      <c r="J87" s="8">
        <f>D89</f>
        <v>29.96</v>
      </c>
      <c r="K87" s="8">
        <f>E89</f>
        <v>28.72</v>
      </c>
      <c r="L87" s="8">
        <f>F89</f>
        <v>28.44</v>
      </c>
    </row>
    <row r="88" spans="1:17" ht="16.5" x14ac:dyDescent="0.3">
      <c r="A88" s="2"/>
      <c r="B88" s="18"/>
      <c r="C88" s="6">
        <v>22.03</v>
      </c>
      <c r="D88" s="6">
        <v>24.24</v>
      </c>
      <c r="E88" s="6">
        <v>25.32</v>
      </c>
      <c r="F88" s="6">
        <v>28.41</v>
      </c>
      <c r="G88" s="6"/>
    </row>
    <row r="89" spans="1:17" ht="16.5" x14ac:dyDescent="0.3">
      <c r="A89" s="2"/>
      <c r="B89" s="18"/>
      <c r="C89" s="6">
        <v>31.8</v>
      </c>
      <c r="D89" s="6">
        <v>29.96</v>
      </c>
      <c r="E89" s="6">
        <v>28.72</v>
      </c>
      <c r="F89" s="6">
        <v>28.44</v>
      </c>
      <c r="G89" s="6"/>
    </row>
    <row r="90" spans="1:17" ht="16.5" x14ac:dyDescent="0.3">
      <c r="A90" s="2"/>
      <c r="B90" s="18">
        <v>4</v>
      </c>
      <c r="C90" s="6">
        <v>4143</v>
      </c>
      <c r="D90" s="6">
        <v>4463</v>
      </c>
      <c r="E90" s="6">
        <v>4652</v>
      </c>
      <c r="F90" s="6">
        <v>5037</v>
      </c>
      <c r="G90" s="6">
        <v>18295</v>
      </c>
      <c r="I90" s="8">
        <f>C90</f>
        <v>4143</v>
      </c>
      <c r="J90" s="8">
        <f t="shared" ref="J90" si="83">D90</f>
        <v>4463</v>
      </c>
      <c r="K90" s="8">
        <f t="shared" ref="K90" si="84">E90</f>
        <v>4652</v>
      </c>
      <c r="L90" s="8">
        <f t="shared" ref="L90" si="85">F90</f>
        <v>5037</v>
      </c>
    </row>
    <row r="91" spans="1:17" ht="16.5" x14ac:dyDescent="0.3">
      <c r="A91" s="2"/>
      <c r="B91" s="18"/>
      <c r="C91" s="6">
        <v>7.06</v>
      </c>
      <c r="D91" s="6">
        <v>7.6</v>
      </c>
      <c r="E91" s="6">
        <v>7.93</v>
      </c>
      <c r="F91" s="6">
        <v>8.58</v>
      </c>
      <c r="G91" s="6">
        <v>31.17</v>
      </c>
      <c r="I91" s="8">
        <f>C93</f>
        <v>34.46</v>
      </c>
      <c r="J91" s="8">
        <f>D93</f>
        <v>31.79</v>
      </c>
      <c r="K91" s="8">
        <f>E93</f>
        <v>30.41</v>
      </c>
      <c r="L91" s="8">
        <f>F93</f>
        <v>29.06</v>
      </c>
    </row>
    <row r="92" spans="1:17" ht="16.5" x14ac:dyDescent="0.3">
      <c r="A92" s="2"/>
      <c r="B92" s="18"/>
      <c r="C92" s="6">
        <v>22.65</v>
      </c>
      <c r="D92" s="6">
        <v>24.39</v>
      </c>
      <c r="E92" s="6">
        <v>25.43</v>
      </c>
      <c r="F92" s="6">
        <v>27.53</v>
      </c>
      <c r="G92" s="6"/>
    </row>
    <row r="93" spans="1:17" ht="16.5" x14ac:dyDescent="0.3">
      <c r="A93" s="2"/>
      <c r="B93" s="18"/>
      <c r="C93" s="6">
        <v>34.46</v>
      </c>
      <c r="D93" s="6">
        <v>31.79</v>
      </c>
      <c r="E93" s="6">
        <v>30.41</v>
      </c>
      <c r="F93" s="6">
        <v>29.06</v>
      </c>
      <c r="G93" s="6"/>
    </row>
    <row r="94" spans="1:17" ht="15.75" customHeight="1" x14ac:dyDescent="0.3">
      <c r="A94" s="2"/>
      <c r="B94" s="18" t="s">
        <v>22</v>
      </c>
      <c r="C94" s="6">
        <v>12021</v>
      </c>
      <c r="D94" s="6">
        <v>14037</v>
      </c>
      <c r="E94" s="6">
        <v>15296</v>
      </c>
      <c r="F94" s="6">
        <v>17332</v>
      </c>
      <c r="G94" s="6">
        <v>58686</v>
      </c>
    </row>
    <row r="95" spans="1:17" ht="16.5" x14ac:dyDescent="0.3">
      <c r="A95" s="2"/>
      <c r="B95" s="18"/>
      <c r="C95" s="6">
        <v>20.48</v>
      </c>
      <c r="D95" s="6">
        <v>23.92</v>
      </c>
      <c r="E95" s="6">
        <v>26.06</v>
      </c>
      <c r="F95" s="6">
        <v>29.53</v>
      </c>
      <c r="G95" s="6">
        <v>100</v>
      </c>
    </row>
    <row r="96" spans="1:17" ht="16.5" x14ac:dyDescent="0.3">
      <c r="A96" s="2"/>
      <c r="B96" s="26"/>
      <c r="C96" s="26"/>
      <c r="D96" s="26"/>
      <c r="E96" s="26"/>
      <c r="F96" s="26"/>
      <c r="G96" s="26"/>
    </row>
    <row r="97" spans="1:17" ht="17.25" thickBot="1" x14ac:dyDescent="0.35">
      <c r="A97"/>
      <c r="B97"/>
      <c r="C97"/>
      <c r="D97"/>
      <c r="E97"/>
      <c r="F97"/>
      <c r="G97"/>
    </row>
    <row r="98" spans="1:17" ht="16.5" customHeight="1" x14ac:dyDescent="0.3">
      <c r="A98" s="5" t="s">
        <v>2</v>
      </c>
      <c r="B98" s="17" t="s">
        <v>34</v>
      </c>
      <c r="C98" s="19"/>
      <c r="D98" s="19"/>
      <c r="E98" s="19"/>
      <c r="F98" s="19"/>
      <c r="G98" s="19"/>
    </row>
    <row r="99" spans="1:17" ht="16.5" customHeight="1" x14ac:dyDescent="0.3">
      <c r="A99" s="4" t="s">
        <v>3</v>
      </c>
      <c r="B99" s="18" t="s">
        <v>8</v>
      </c>
      <c r="C99" s="20" t="s">
        <v>23</v>
      </c>
      <c r="D99" s="20"/>
      <c r="E99" s="20"/>
      <c r="F99" s="20"/>
      <c r="G99" s="20"/>
    </row>
    <row r="100" spans="1:17" ht="16.5" x14ac:dyDescent="0.3">
      <c r="A100" s="4" t="s">
        <v>19</v>
      </c>
      <c r="B100" s="18"/>
      <c r="C100" s="3">
        <v>1</v>
      </c>
      <c r="D100" s="3">
        <v>2</v>
      </c>
      <c r="E100" s="3">
        <v>3</v>
      </c>
      <c r="F100" s="3">
        <v>4</v>
      </c>
      <c r="G100" s="3" t="s">
        <v>22</v>
      </c>
    </row>
    <row r="101" spans="1:17" ht="33" x14ac:dyDescent="0.3">
      <c r="A101" s="4" t="s">
        <v>20</v>
      </c>
      <c r="B101" s="18">
        <v>1</v>
      </c>
      <c r="C101" s="6">
        <v>841</v>
      </c>
      <c r="D101" s="6">
        <v>566</v>
      </c>
      <c r="E101" s="6">
        <v>260</v>
      </c>
      <c r="F101" s="6">
        <v>108</v>
      </c>
      <c r="G101" s="6">
        <v>1775</v>
      </c>
      <c r="I101" s="8">
        <f>C101</f>
        <v>841</v>
      </c>
      <c r="J101" s="8">
        <f t="shared" ref="J101" si="86">D101</f>
        <v>566</v>
      </c>
      <c r="K101" s="8">
        <f t="shared" ref="K101" si="87">E101</f>
        <v>260</v>
      </c>
      <c r="L101" s="8">
        <f t="shared" ref="L101" si="88">F101</f>
        <v>108</v>
      </c>
      <c r="N101" s="8" t="str">
        <f>TEXT(I101,"#,##0")&amp;" ("&amp;TEXT(I102,"0.00")&amp;")"</f>
        <v>841 (7.00)</v>
      </c>
      <c r="O101" s="8" t="str">
        <f t="shared" ref="O101" si="89">TEXT(J101,"#,##0")&amp;" ("&amp;TEXT(J102,"0.00")&amp;")"</f>
        <v>566 (4.03)</v>
      </c>
      <c r="P101" s="8" t="str">
        <f t="shared" ref="P101" si="90">TEXT(K101,"#,##0")&amp;" ("&amp;TEXT(K102,"0.00")&amp;")"</f>
        <v>260 (1.70)</v>
      </c>
      <c r="Q101" s="8" t="str">
        <f t="shared" ref="Q101" si="91">TEXT(L101,"#,##0")&amp;" ("&amp;TEXT(L102,"0.00")&amp;")"</f>
        <v>108 (0.62)</v>
      </c>
    </row>
    <row r="102" spans="1:17" ht="16.5" x14ac:dyDescent="0.3">
      <c r="A102" s="2"/>
      <c r="B102" s="18"/>
      <c r="C102" s="6">
        <v>1.43</v>
      </c>
      <c r="D102" s="6">
        <v>0.96</v>
      </c>
      <c r="E102" s="6">
        <v>0.44</v>
      </c>
      <c r="F102" s="6">
        <v>0.18</v>
      </c>
      <c r="G102" s="6">
        <v>3.02</v>
      </c>
      <c r="I102" s="8">
        <f>C104</f>
        <v>7</v>
      </c>
      <c r="J102" s="8">
        <f>D104</f>
        <v>4.03</v>
      </c>
      <c r="K102" s="8">
        <f>E104</f>
        <v>1.7</v>
      </c>
      <c r="L102" s="8">
        <f>F104</f>
        <v>0.62</v>
      </c>
      <c r="N102" s="8" t="str">
        <f>TEXT(I105,"#,##0")&amp;" ("&amp;TEXT(I106,"0.00")&amp;")"</f>
        <v>6,981 (58.07)</v>
      </c>
      <c r="O102" s="8" t="str">
        <f t="shared" ref="O102" si="92">TEXT(J105,"#,##0")&amp;" ("&amp;TEXT(J106,"0.00")&amp;")"</f>
        <v>6,224 (44.34)</v>
      </c>
      <c r="P102" s="8" t="str">
        <f t="shared" ref="P102" si="93">TEXT(K105,"#,##0")&amp;" ("&amp;TEXT(K106,"0.00")&amp;")"</f>
        <v>5,021 (32.83)</v>
      </c>
      <c r="Q102" s="8" t="str">
        <f t="shared" ref="Q102" si="94">TEXT(L105,"#,##0")&amp;" ("&amp;TEXT(L106,"0.00")&amp;")"</f>
        <v>3,647 (21.04)</v>
      </c>
    </row>
    <row r="103" spans="1:17" ht="16.5" x14ac:dyDescent="0.3">
      <c r="A103" s="2"/>
      <c r="B103" s="18"/>
      <c r="C103" s="6">
        <v>47.38</v>
      </c>
      <c r="D103" s="6">
        <v>31.89</v>
      </c>
      <c r="E103" s="6">
        <v>14.65</v>
      </c>
      <c r="F103" s="6">
        <v>6.08</v>
      </c>
      <c r="G103" s="6"/>
      <c r="N103" s="8" t="str">
        <f>TEXT(I109,"#,##0")&amp;" ("&amp;TEXT(I110,"0.00")&amp;")"</f>
        <v>2,429 (20.21)</v>
      </c>
      <c r="O103" s="8" t="str">
        <f t="shared" ref="O103" si="95">TEXT(J109,"#,##0")&amp;" ("&amp;TEXT(J110,"0.00")&amp;")"</f>
        <v>3,451 (24.59)</v>
      </c>
      <c r="P103" s="8" t="str">
        <f t="shared" ref="P103" si="96">TEXT(K109,"#,##0")&amp;" ("&amp;TEXT(K110,"0.00")&amp;")"</f>
        <v>4,155 (27.16)</v>
      </c>
      <c r="Q103" s="8" t="str">
        <f t="shared" ref="Q103" si="97">TEXT(L109,"#,##0")&amp;" ("&amp;TEXT(L110,"0.00")&amp;")"</f>
        <v>4,328 (24.97)</v>
      </c>
    </row>
    <row r="104" spans="1:17" ht="16.5" x14ac:dyDescent="0.3">
      <c r="A104" s="2"/>
      <c r="B104" s="18"/>
      <c r="C104" s="6">
        <v>7</v>
      </c>
      <c r="D104" s="6">
        <v>4.03</v>
      </c>
      <c r="E104" s="6">
        <v>1.7</v>
      </c>
      <c r="F104" s="6">
        <v>0.62</v>
      </c>
      <c r="G104" s="6"/>
      <c r="N104" s="8" t="str">
        <f>TEXT(I113,"#,##0")&amp;" ("&amp;TEXT(I114,"0.00")&amp;")"</f>
        <v>1,770 (14.72)</v>
      </c>
      <c r="O104" s="8" t="str">
        <f t="shared" ref="O104" si="98">TEXT(J113,"#,##0")&amp;" ("&amp;TEXT(J114,"0.00")&amp;")"</f>
        <v>3,796 (27.04)</v>
      </c>
      <c r="P104" s="8" t="str">
        <f t="shared" ref="P104" si="99">TEXT(K113,"#,##0")&amp;" ("&amp;TEXT(K114,"0.00")&amp;")"</f>
        <v>5,860 (38.31)</v>
      </c>
      <c r="Q104" s="8" t="str">
        <f t="shared" ref="Q104" si="100">TEXT(L113,"#,##0")&amp;" ("&amp;TEXT(L114,"0.00")&amp;")"</f>
        <v>9,249 (53.36)</v>
      </c>
    </row>
    <row r="105" spans="1:17" ht="16.5" x14ac:dyDescent="0.3">
      <c r="A105" s="2"/>
      <c r="B105" s="18">
        <v>2</v>
      </c>
      <c r="C105" s="6">
        <v>6981</v>
      </c>
      <c r="D105" s="6">
        <v>6224</v>
      </c>
      <c r="E105" s="6">
        <v>5021</v>
      </c>
      <c r="F105" s="6">
        <v>3647</v>
      </c>
      <c r="G105" s="6">
        <v>21873</v>
      </c>
      <c r="I105" s="8">
        <f>C105</f>
        <v>6981</v>
      </c>
      <c r="J105" s="8">
        <f t="shared" ref="J105" si="101">D105</f>
        <v>6224</v>
      </c>
      <c r="K105" s="8">
        <f t="shared" ref="K105" si="102">E105</f>
        <v>5021</v>
      </c>
      <c r="L105" s="8">
        <f t="shared" ref="L105" si="103">F105</f>
        <v>3647</v>
      </c>
    </row>
    <row r="106" spans="1:17" ht="16.5" x14ac:dyDescent="0.3">
      <c r="A106" s="2"/>
      <c r="B106" s="18"/>
      <c r="C106" s="6">
        <v>11.9</v>
      </c>
      <c r="D106" s="6">
        <v>10.61</v>
      </c>
      <c r="E106" s="6">
        <v>8.56</v>
      </c>
      <c r="F106" s="6">
        <v>6.21</v>
      </c>
      <c r="G106" s="6">
        <v>37.270000000000003</v>
      </c>
      <c r="I106" s="8">
        <f>C108</f>
        <v>58.07</v>
      </c>
      <c r="J106" s="8">
        <f>D108</f>
        <v>44.34</v>
      </c>
      <c r="K106" s="8">
        <f>E108</f>
        <v>32.83</v>
      </c>
      <c r="L106" s="8">
        <f>F108</f>
        <v>21.04</v>
      </c>
    </row>
    <row r="107" spans="1:17" ht="16.5" x14ac:dyDescent="0.3">
      <c r="A107" s="2"/>
      <c r="B107" s="18"/>
      <c r="C107" s="6">
        <v>31.92</v>
      </c>
      <c r="D107" s="6">
        <v>28.46</v>
      </c>
      <c r="E107" s="6">
        <v>22.96</v>
      </c>
      <c r="F107" s="6">
        <v>16.670000000000002</v>
      </c>
      <c r="G107" s="6"/>
    </row>
    <row r="108" spans="1:17" ht="16.5" x14ac:dyDescent="0.3">
      <c r="A108" s="2"/>
      <c r="B108" s="18"/>
      <c r="C108" s="6">
        <v>58.07</v>
      </c>
      <c r="D108" s="6">
        <v>44.34</v>
      </c>
      <c r="E108" s="6">
        <v>32.83</v>
      </c>
      <c r="F108" s="6">
        <v>21.04</v>
      </c>
      <c r="G108" s="6"/>
    </row>
    <row r="109" spans="1:17" ht="16.5" x14ac:dyDescent="0.3">
      <c r="A109" s="2"/>
      <c r="B109" s="18">
        <v>3</v>
      </c>
      <c r="C109" s="6">
        <v>2429</v>
      </c>
      <c r="D109" s="6">
        <v>3451</v>
      </c>
      <c r="E109" s="6">
        <v>4155</v>
      </c>
      <c r="F109" s="6">
        <v>4328</v>
      </c>
      <c r="G109" s="6">
        <v>14363</v>
      </c>
      <c r="I109" s="8">
        <f>C109</f>
        <v>2429</v>
      </c>
      <c r="J109" s="8">
        <f t="shared" ref="J109" si="104">D109</f>
        <v>3451</v>
      </c>
      <c r="K109" s="8">
        <f t="shared" ref="K109" si="105">E109</f>
        <v>4155</v>
      </c>
      <c r="L109" s="8">
        <f t="shared" ref="L109" si="106">F109</f>
        <v>4328</v>
      </c>
    </row>
    <row r="110" spans="1:17" ht="16.5" x14ac:dyDescent="0.3">
      <c r="A110" s="2"/>
      <c r="B110" s="18"/>
      <c r="C110" s="6">
        <v>4.1399999999999997</v>
      </c>
      <c r="D110" s="6">
        <v>5.88</v>
      </c>
      <c r="E110" s="6">
        <v>7.08</v>
      </c>
      <c r="F110" s="6">
        <v>7.37</v>
      </c>
      <c r="G110" s="6">
        <v>24.47</v>
      </c>
      <c r="I110" s="8">
        <f>C112</f>
        <v>20.21</v>
      </c>
      <c r="J110" s="8">
        <f>D112</f>
        <v>24.59</v>
      </c>
      <c r="K110" s="8">
        <f>E112</f>
        <v>27.16</v>
      </c>
      <c r="L110" s="8">
        <f>F112</f>
        <v>24.97</v>
      </c>
    </row>
    <row r="111" spans="1:17" ht="16.5" x14ac:dyDescent="0.3">
      <c r="A111" s="2"/>
      <c r="B111" s="18"/>
      <c r="C111" s="6">
        <v>16.91</v>
      </c>
      <c r="D111" s="6">
        <v>24.03</v>
      </c>
      <c r="E111" s="6">
        <v>28.93</v>
      </c>
      <c r="F111" s="6">
        <v>30.13</v>
      </c>
      <c r="G111" s="6"/>
    </row>
    <row r="112" spans="1:17" ht="16.5" x14ac:dyDescent="0.3">
      <c r="A112" s="2"/>
      <c r="B112" s="18"/>
      <c r="C112" s="6">
        <v>20.21</v>
      </c>
      <c r="D112" s="6">
        <v>24.59</v>
      </c>
      <c r="E112" s="6">
        <v>27.16</v>
      </c>
      <c r="F112" s="6">
        <v>24.97</v>
      </c>
      <c r="G112" s="6"/>
    </row>
    <row r="113" spans="1:17" ht="16.5" x14ac:dyDescent="0.3">
      <c r="A113" s="2"/>
      <c r="B113" s="18">
        <v>4</v>
      </c>
      <c r="C113" s="6">
        <v>1770</v>
      </c>
      <c r="D113" s="6">
        <v>3796</v>
      </c>
      <c r="E113" s="6">
        <v>5860</v>
      </c>
      <c r="F113" s="6">
        <v>9249</v>
      </c>
      <c r="G113" s="6">
        <v>20675</v>
      </c>
      <c r="I113" s="8">
        <f>C113</f>
        <v>1770</v>
      </c>
      <c r="J113" s="8">
        <f t="shared" ref="J113" si="107">D113</f>
        <v>3796</v>
      </c>
      <c r="K113" s="8">
        <f t="shared" ref="K113" si="108">E113</f>
        <v>5860</v>
      </c>
      <c r="L113" s="8">
        <f t="shared" ref="L113" si="109">F113</f>
        <v>9249</v>
      </c>
    </row>
    <row r="114" spans="1:17" ht="16.5" x14ac:dyDescent="0.3">
      <c r="A114" s="2"/>
      <c r="B114" s="18"/>
      <c r="C114" s="6">
        <v>3.02</v>
      </c>
      <c r="D114" s="6">
        <v>6.47</v>
      </c>
      <c r="E114" s="6">
        <v>9.99</v>
      </c>
      <c r="F114" s="6">
        <v>15.76</v>
      </c>
      <c r="G114" s="6">
        <v>35.229999999999997</v>
      </c>
      <c r="I114" s="8">
        <f>C116</f>
        <v>14.72</v>
      </c>
      <c r="J114" s="8">
        <f>D116</f>
        <v>27.04</v>
      </c>
      <c r="K114" s="8">
        <f>E116</f>
        <v>38.31</v>
      </c>
      <c r="L114" s="8">
        <f>F116</f>
        <v>53.36</v>
      </c>
    </row>
    <row r="115" spans="1:17" ht="16.5" x14ac:dyDescent="0.3">
      <c r="A115" s="2"/>
      <c r="B115" s="18"/>
      <c r="C115" s="6">
        <v>8.56</v>
      </c>
      <c r="D115" s="6">
        <v>18.36</v>
      </c>
      <c r="E115" s="6">
        <v>28.34</v>
      </c>
      <c r="F115" s="6">
        <v>44.74</v>
      </c>
      <c r="G115" s="6"/>
    </row>
    <row r="116" spans="1:17" ht="16.5" x14ac:dyDescent="0.3">
      <c r="A116" s="2"/>
      <c r="B116" s="18"/>
      <c r="C116" s="6">
        <v>14.72</v>
      </c>
      <c r="D116" s="6">
        <v>27.04</v>
      </c>
      <c r="E116" s="6">
        <v>38.31</v>
      </c>
      <c r="F116" s="6">
        <v>53.36</v>
      </c>
      <c r="G116" s="6"/>
    </row>
    <row r="117" spans="1:17" ht="15.75" customHeight="1" x14ac:dyDescent="0.3">
      <c r="A117" s="2"/>
      <c r="B117" s="18" t="s">
        <v>22</v>
      </c>
      <c r="C117" s="6">
        <v>12021</v>
      </c>
      <c r="D117" s="6">
        <v>14037</v>
      </c>
      <c r="E117" s="6">
        <v>15296</v>
      </c>
      <c r="F117" s="6">
        <v>17332</v>
      </c>
      <c r="G117" s="6">
        <v>58686</v>
      </c>
    </row>
    <row r="118" spans="1:17" ht="16.5" x14ac:dyDescent="0.3">
      <c r="A118" s="2"/>
      <c r="B118" s="18"/>
      <c r="C118" s="6">
        <v>20.48</v>
      </c>
      <c r="D118" s="6">
        <v>23.92</v>
      </c>
      <c r="E118" s="6">
        <v>26.06</v>
      </c>
      <c r="F118" s="6">
        <v>29.53</v>
      </c>
      <c r="G118" s="6">
        <v>100</v>
      </c>
    </row>
    <row r="119" spans="1:17" ht="16.5" x14ac:dyDescent="0.3">
      <c r="A119" s="2"/>
      <c r="B119" s="26"/>
      <c r="C119" s="26"/>
      <c r="D119" s="26"/>
      <c r="E119" s="26"/>
      <c r="F119" s="26"/>
      <c r="G119" s="26"/>
    </row>
    <row r="120" spans="1:17" ht="17.25" thickBot="1" x14ac:dyDescent="0.35">
      <c r="A120"/>
      <c r="B120"/>
      <c r="C120"/>
      <c r="D120"/>
      <c r="E120"/>
      <c r="F120"/>
      <c r="G120"/>
    </row>
    <row r="121" spans="1:17" ht="16.5" customHeight="1" x14ac:dyDescent="0.3">
      <c r="A121" s="5" t="s">
        <v>2</v>
      </c>
      <c r="B121" s="17" t="s">
        <v>35</v>
      </c>
      <c r="C121" s="19"/>
      <c r="D121" s="19"/>
      <c r="E121" s="19"/>
      <c r="F121" s="19"/>
      <c r="G121" s="19"/>
    </row>
    <row r="122" spans="1:17" ht="16.5" customHeight="1" x14ac:dyDescent="0.3">
      <c r="A122" s="4" t="s">
        <v>3</v>
      </c>
      <c r="B122" s="18" t="s">
        <v>9</v>
      </c>
      <c r="C122" s="20" t="s">
        <v>23</v>
      </c>
      <c r="D122" s="20"/>
      <c r="E122" s="20"/>
      <c r="F122" s="20"/>
      <c r="G122" s="20"/>
    </row>
    <row r="123" spans="1:17" ht="16.5" x14ac:dyDescent="0.3">
      <c r="A123" s="4" t="s">
        <v>19</v>
      </c>
      <c r="B123" s="18"/>
      <c r="C123" s="3">
        <v>1</v>
      </c>
      <c r="D123" s="3">
        <v>2</v>
      </c>
      <c r="E123" s="3">
        <v>3</v>
      </c>
      <c r="F123" s="3">
        <v>4</v>
      </c>
      <c r="G123" s="3" t="s">
        <v>22</v>
      </c>
    </row>
    <row r="124" spans="1:17" ht="33" x14ac:dyDescent="0.3">
      <c r="A124" s="4" t="s">
        <v>20</v>
      </c>
      <c r="B124" s="18">
        <v>1</v>
      </c>
      <c r="C124" s="6">
        <v>11041</v>
      </c>
      <c r="D124" s="6">
        <v>13056</v>
      </c>
      <c r="E124" s="6">
        <v>14305</v>
      </c>
      <c r="F124" s="6">
        <v>16069</v>
      </c>
      <c r="G124" s="6">
        <v>54471</v>
      </c>
      <c r="I124" s="8">
        <f>C124</f>
        <v>11041</v>
      </c>
      <c r="J124" s="8">
        <f t="shared" ref="J124" si="110">D124</f>
        <v>13056</v>
      </c>
      <c r="K124" s="8">
        <f t="shared" ref="K124" si="111">E124</f>
        <v>14305</v>
      </c>
      <c r="L124" s="8">
        <f t="shared" ref="L124" si="112">F124</f>
        <v>16069</v>
      </c>
      <c r="N124" s="8" t="str">
        <f>TEXT(I124,"#,##0")&amp;" ("&amp;TEXT(I125,"0.00")&amp;")"</f>
        <v>11,041 (91.85)</v>
      </c>
      <c r="O124" s="8" t="str">
        <f t="shared" ref="O124" si="113">TEXT(J124,"#,##0")&amp;" ("&amp;TEXT(J125,"0.00")&amp;")"</f>
        <v>13,056 (93.01)</v>
      </c>
      <c r="P124" s="8" t="str">
        <f t="shared" ref="P124" si="114">TEXT(K124,"#,##0")&amp;" ("&amp;TEXT(K125,"0.00")&amp;")"</f>
        <v>14,305 (93.52)</v>
      </c>
      <c r="Q124" s="8" t="str">
        <f t="shared" ref="Q124" si="115">TEXT(L124,"#,##0")&amp;" ("&amp;TEXT(L125,"0.00")&amp;")"</f>
        <v>16,069 (92.71)</v>
      </c>
    </row>
    <row r="125" spans="1:17" ht="16.5" x14ac:dyDescent="0.3">
      <c r="A125" s="2"/>
      <c r="B125" s="18"/>
      <c r="C125" s="6">
        <v>18.809999999999999</v>
      </c>
      <c r="D125" s="6">
        <v>22.25</v>
      </c>
      <c r="E125" s="6">
        <v>24.38</v>
      </c>
      <c r="F125" s="6">
        <v>27.38</v>
      </c>
      <c r="G125" s="6">
        <v>92.82</v>
      </c>
      <c r="I125" s="8">
        <f>C127</f>
        <v>91.85</v>
      </c>
      <c r="J125" s="8">
        <f>D127</f>
        <v>93.01</v>
      </c>
      <c r="K125" s="8">
        <f>E127</f>
        <v>93.52</v>
      </c>
      <c r="L125" s="8">
        <f>F127</f>
        <v>92.71</v>
      </c>
      <c r="N125" s="8" t="str">
        <f>TEXT(I128,"#,##0")&amp;" ("&amp;TEXT(I129,"0.00")&amp;")"</f>
        <v>980 (8.15)</v>
      </c>
      <c r="O125" s="8" t="str">
        <f t="shared" ref="O125" si="116">TEXT(J128,"#,##0")&amp;" ("&amp;TEXT(J129,"0.00")&amp;")"</f>
        <v>981 (6.99)</v>
      </c>
      <c r="P125" s="8" t="str">
        <f t="shared" ref="P125" si="117">TEXT(K128,"#,##0")&amp;" ("&amp;TEXT(K129,"0.00")&amp;")"</f>
        <v>991 (6.48)</v>
      </c>
      <c r="Q125" s="8" t="str">
        <f t="shared" ref="Q125" si="118">TEXT(L128,"#,##0")&amp;" ("&amp;TEXT(L129,"0.00")&amp;")"</f>
        <v>1,263 (7.29)</v>
      </c>
    </row>
    <row r="126" spans="1:17" ht="16.5" x14ac:dyDescent="0.3">
      <c r="A126" s="2"/>
      <c r="B126" s="18"/>
      <c r="C126" s="6">
        <v>20.27</v>
      </c>
      <c r="D126" s="6">
        <v>23.97</v>
      </c>
      <c r="E126" s="6">
        <v>26.26</v>
      </c>
      <c r="F126" s="6">
        <v>29.5</v>
      </c>
      <c r="G126" s="6"/>
      <c r="N126" s="8" t="str">
        <f>TEXT(I132,"#,##0")&amp;" ("&amp;TEXT(I133,"0.00")&amp;")"</f>
        <v>12,021 (0.00)</v>
      </c>
      <c r="O126" s="8" t="str">
        <f t="shared" ref="O126" si="119">TEXT(J132,"#,##0")&amp;" ("&amp;TEXT(J133,"0.00")&amp;")"</f>
        <v>14,037 (0.00)</v>
      </c>
      <c r="P126" s="8" t="str">
        <f t="shared" ref="P126" si="120">TEXT(K132,"#,##0")&amp;" ("&amp;TEXT(K133,"0.00")&amp;")"</f>
        <v>15,296 (0.00)</v>
      </c>
      <c r="Q126" s="8" t="str">
        <f t="shared" ref="Q126" si="121">TEXT(L132,"#,##0")&amp;" ("&amp;TEXT(L133,"0.00")&amp;")"</f>
        <v>17,332 (0.00)</v>
      </c>
    </row>
    <row r="127" spans="1:17" ht="16.5" x14ac:dyDescent="0.3">
      <c r="A127" s="2"/>
      <c r="B127" s="18"/>
      <c r="C127" s="6">
        <v>91.85</v>
      </c>
      <c r="D127" s="6">
        <v>93.01</v>
      </c>
      <c r="E127" s="6">
        <v>93.52</v>
      </c>
      <c r="F127" s="6">
        <v>92.71</v>
      </c>
      <c r="G127" s="6"/>
      <c r="N127" s="8" t="str">
        <f>TEXT(I136,"#,##0")&amp;" ("&amp;TEXT(I137,"0.00")&amp;")"</f>
        <v>0 (4487.00)</v>
      </c>
      <c r="O127" s="8" t="str">
        <f t="shared" ref="O127" si="122">TEXT(J136,"#,##0")&amp;" ("&amp;TEXT(J137,"0.00")&amp;")"</f>
        <v>0 (4733.00)</v>
      </c>
      <c r="P127" s="8" t="str">
        <f t="shared" ref="P127" si="123">TEXT(K136,"#,##0")&amp;" ("&amp;TEXT(K137,"0.00")&amp;")"</f>
        <v>0 (4896.00)</v>
      </c>
      <c r="Q127" s="8" t="str">
        <f t="shared" ref="Q127" si="124">TEXT(L136,"#,##0")&amp;" ("&amp;TEXT(L137,"0.00")&amp;")"</f>
        <v>0 (4861.00)</v>
      </c>
    </row>
    <row r="128" spans="1:17" ht="16.5" x14ac:dyDescent="0.3">
      <c r="A128" s="2"/>
      <c r="B128" s="18">
        <v>2</v>
      </c>
      <c r="C128" s="6">
        <v>980</v>
      </c>
      <c r="D128" s="6">
        <v>981</v>
      </c>
      <c r="E128" s="6">
        <v>991</v>
      </c>
      <c r="F128" s="6">
        <v>1263</v>
      </c>
      <c r="G128" s="6">
        <v>4215</v>
      </c>
      <c r="I128" s="8">
        <f>C128</f>
        <v>980</v>
      </c>
      <c r="J128" s="8">
        <f t="shared" ref="J128" si="125">D128</f>
        <v>981</v>
      </c>
      <c r="K128" s="8">
        <f t="shared" ref="K128" si="126">E128</f>
        <v>991</v>
      </c>
      <c r="L128" s="8">
        <f t="shared" ref="L128" si="127">F128</f>
        <v>1263</v>
      </c>
    </row>
    <row r="129" spans="1:17" ht="16.5" x14ac:dyDescent="0.3">
      <c r="A129" s="2"/>
      <c r="B129" s="18"/>
      <c r="C129" s="6">
        <v>1.67</v>
      </c>
      <c r="D129" s="6">
        <v>1.67</v>
      </c>
      <c r="E129" s="6">
        <v>1.69</v>
      </c>
      <c r="F129" s="6">
        <v>2.15</v>
      </c>
      <c r="G129" s="6">
        <v>7.18</v>
      </c>
      <c r="I129" s="8">
        <f>C131</f>
        <v>8.15</v>
      </c>
      <c r="J129" s="8">
        <f>D131</f>
        <v>6.99</v>
      </c>
      <c r="K129" s="8">
        <f>E131</f>
        <v>6.48</v>
      </c>
      <c r="L129" s="8">
        <f>F131</f>
        <v>7.29</v>
      </c>
    </row>
    <row r="130" spans="1:17" ht="16.5" x14ac:dyDescent="0.3">
      <c r="A130" s="2"/>
      <c r="B130" s="18"/>
      <c r="C130" s="6">
        <v>23.25</v>
      </c>
      <c r="D130" s="6">
        <v>23.27</v>
      </c>
      <c r="E130" s="6">
        <v>23.51</v>
      </c>
      <c r="F130" s="6">
        <v>29.96</v>
      </c>
      <c r="G130" s="6"/>
    </row>
    <row r="131" spans="1:17" ht="16.5" x14ac:dyDescent="0.3">
      <c r="A131" s="2"/>
      <c r="B131" s="18"/>
      <c r="C131" s="6">
        <v>8.15</v>
      </c>
      <c r="D131" s="6">
        <v>6.99</v>
      </c>
      <c r="E131" s="6">
        <v>6.48</v>
      </c>
      <c r="F131" s="6">
        <v>7.29</v>
      </c>
      <c r="G131" s="6"/>
    </row>
    <row r="132" spans="1:17" ht="15.75" customHeight="1" x14ac:dyDescent="0.3">
      <c r="A132" s="2"/>
      <c r="B132" s="18" t="s">
        <v>22</v>
      </c>
      <c r="C132" s="6">
        <v>12021</v>
      </c>
      <c r="D132" s="6">
        <v>14037</v>
      </c>
      <c r="E132" s="6">
        <v>15296</v>
      </c>
      <c r="F132" s="6">
        <v>17332</v>
      </c>
      <c r="G132" s="6">
        <v>58686</v>
      </c>
      <c r="I132" s="8">
        <f>C132</f>
        <v>12021</v>
      </c>
      <c r="J132" s="8">
        <f t="shared" ref="J132" si="128">D132</f>
        <v>14037</v>
      </c>
      <c r="K132" s="8">
        <f t="shared" ref="K132" si="129">E132</f>
        <v>15296</v>
      </c>
      <c r="L132" s="8">
        <f t="shared" ref="L132" si="130">F132</f>
        <v>17332</v>
      </c>
    </row>
    <row r="133" spans="1:17" ht="16.5" x14ac:dyDescent="0.3">
      <c r="A133" s="2"/>
      <c r="B133" s="18"/>
      <c r="C133" s="6">
        <v>20.48</v>
      </c>
      <c r="D133" s="6">
        <v>23.92</v>
      </c>
      <c r="E133" s="6">
        <v>26.06</v>
      </c>
      <c r="F133" s="6">
        <v>29.53</v>
      </c>
      <c r="G133" s="6">
        <v>100</v>
      </c>
      <c r="I133" s="8">
        <f>C135</f>
        <v>0</v>
      </c>
      <c r="J133" s="8">
        <f>D135</f>
        <v>0</v>
      </c>
      <c r="K133" s="8">
        <f>E135</f>
        <v>0</v>
      </c>
      <c r="L133" s="8">
        <f>F135</f>
        <v>0</v>
      </c>
    </row>
    <row r="134" spans="1:17" ht="16.5" x14ac:dyDescent="0.3">
      <c r="A134" s="2"/>
      <c r="B134" s="26"/>
      <c r="C134" s="26"/>
      <c r="D134" s="26"/>
      <c r="E134" s="26"/>
      <c r="F134" s="26"/>
      <c r="G134" s="26"/>
    </row>
    <row r="135" spans="1:17" ht="17.25" thickBot="1" x14ac:dyDescent="0.35">
      <c r="A135"/>
      <c r="B135"/>
      <c r="C135"/>
      <c r="D135"/>
      <c r="E135"/>
      <c r="F135"/>
      <c r="G135"/>
    </row>
    <row r="136" spans="1:17" ht="16.5" customHeight="1" x14ac:dyDescent="0.3">
      <c r="A136" s="5" t="s">
        <v>2</v>
      </c>
      <c r="B136" s="17" t="s">
        <v>36</v>
      </c>
      <c r="C136" s="19"/>
      <c r="D136" s="19"/>
      <c r="E136" s="19"/>
      <c r="F136" s="19"/>
      <c r="G136" s="19"/>
      <c r="I136" s="8">
        <f>C136</f>
        <v>0</v>
      </c>
      <c r="J136" s="8">
        <f t="shared" ref="J136" si="131">D136</f>
        <v>0</v>
      </c>
      <c r="K136" s="8">
        <f t="shared" ref="K136" si="132">E136</f>
        <v>0</v>
      </c>
      <c r="L136" s="8">
        <f t="shared" ref="L136" si="133">F136</f>
        <v>0</v>
      </c>
    </row>
    <row r="137" spans="1:17" ht="16.5" customHeight="1" x14ac:dyDescent="0.3">
      <c r="A137" s="4" t="s">
        <v>3</v>
      </c>
      <c r="B137" s="18" t="s">
        <v>10</v>
      </c>
      <c r="C137" s="20" t="s">
        <v>23</v>
      </c>
      <c r="D137" s="20"/>
      <c r="E137" s="20"/>
      <c r="F137" s="20"/>
      <c r="G137" s="20"/>
      <c r="I137" s="8">
        <f>C139</f>
        <v>4487</v>
      </c>
      <c r="J137" s="8">
        <f>D139</f>
        <v>4733</v>
      </c>
      <c r="K137" s="8">
        <f>E139</f>
        <v>4896</v>
      </c>
      <c r="L137" s="8">
        <f>F139</f>
        <v>4861</v>
      </c>
    </row>
    <row r="138" spans="1:17" ht="16.5" x14ac:dyDescent="0.3">
      <c r="A138" s="4" t="s">
        <v>19</v>
      </c>
      <c r="B138" s="18"/>
      <c r="C138" s="3">
        <v>1</v>
      </c>
      <c r="D138" s="3">
        <v>2</v>
      </c>
      <c r="E138" s="3">
        <v>3</v>
      </c>
      <c r="F138" s="3">
        <v>4</v>
      </c>
      <c r="G138" s="3" t="s">
        <v>22</v>
      </c>
    </row>
    <row r="139" spans="1:17" ht="33" x14ac:dyDescent="0.3">
      <c r="A139" s="4" t="s">
        <v>20</v>
      </c>
      <c r="B139" s="18">
        <v>1</v>
      </c>
      <c r="C139" s="6">
        <v>4487</v>
      </c>
      <c r="D139" s="6">
        <v>4733</v>
      </c>
      <c r="E139" s="6">
        <v>4896</v>
      </c>
      <c r="F139" s="6">
        <v>4861</v>
      </c>
      <c r="G139" s="6">
        <v>18977</v>
      </c>
      <c r="I139" s="8">
        <f>C139</f>
        <v>4487</v>
      </c>
      <c r="J139" s="8">
        <f t="shared" ref="J139" si="134">D139</f>
        <v>4733</v>
      </c>
      <c r="K139" s="8">
        <f t="shared" ref="K139" si="135">E139</f>
        <v>4896</v>
      </c>
      <c r="L139" s="8">
        <f t="shared" ref="L139" si="136">F139</f>
        <v>4861</v>
      </c>
      <c r="N139" s="8" t="str">
        <f>TEXT(I139,"#,##0")&amp;" ("&amp;TEXT(I140,"0.00")&amp;")"</f>
        <v>4,487 (37.33)</v>
      </c>
      <c r="O139" s="8" t="str">
        <f t="shared" ref="O139" si="137">TEXT(J139,"#,##0")&amp;" ("&amp;TEXT(J140,"0.00")&amp;")"</f>
        <v>4,733 (33.72)</v>
      </c>
      <c r="P139" s="8" t="str">
        <f t="shared" ref="P139" si="138">TEXT(K139,"#,##0")&amp;" ("&amp;TEXT(K140,"0.00")&amp;")"</f>
        <v>4,896 (32.01)</v>
      </c>
      <c r="Q139" s="8" t="str">
        <f t="shared" ref="Q139" si="139">TEXT(L139,"#,##0")&amp;" ("&amp;TEXT(L140,"0.00")&amp;")"</f>
        <v>4,861 (28.05)</v>
      </c>
    </row>
    <row r="140" spans="1:17" ht="16.5" x14ac:dyDescent="0.3">
      <c r="A140" s="2"/>
      <c r="B140" s="18"/>
      <c r="C140" s="6">
        <v>7.65</v>
      </c>
      <c r="D140" s="6">
        <v>8.06</v>
      </c>
      <c r="E140" s="6">
        <v>8.34</v>
      </c>
      <c r="F140" s="6">
        <v>8.2799999999999994</v>
      </c>
      <c r="G140" s="6">
        <v>32.340000000000003</v>
      </c>
      <c r="I140" s="8">
        <f>C142</f>
        <v>37.33</v>
      </c>
      <c r="J140" s="8">
        <f>D142</f>
        <v>33.72</v>
      </c>
      <c r="K140" s="8">
        <f>E142</f>
        <v>32.01</v>
      </c>
      <c r="L140" s="8">
        <f>F142</f>
        <v>28.05</v>
      </c>
      <c r="N140" s="8" t="str">
        <f>TEXT(I143,"#,##0")&amp;" ("&amp;TEXT(I144,"0.00")&amp;")"</f>
        <v>5,765 (47.96)</v>
      </c>
      <c r="O140" s="8" t="str">
        <f t="shared" ref="O140" si="140">TEXT(J143,"#,##0")&amp;" ("&amp;TEXT(J144,"0.00")&amp;")"</f>
        <v>6,892 (49.10)</v>
      </c>
      <c r="P140" s="8" t="str">
        <f t="shared" ref="P140" si="141">TEXT(K143,"#,##0")&amp;" ("&amp;TEXT(K144,"0.00")&amp;")"</f>
        <v>7,591 (49.63)</v>
      </c>
      <c r="Q140" s="8" t="str">
        <f t="shared" ref="Q140" si="142">TEXT(L143,"#,##0")&amp;" ("&amp;TEXT(L144,"0.00")&amp;")"</f>
        <v>8,752 (50.50)</v>
      </c>
    </row>
    <row r="141" spans="1:17" ht="16.5" x14ac:dyDescent="0.3">
      <c r="A141" s="2"/>
      <c r="B141" s="18"/>
      <c r="C141" s="6">
        <v>23.64</v>
      </c>
      <c r="D141" s="6">
        <v>24.94</v>
      </c>
      <c r="E141" s="6">
        <v>25.8</v>
      </c>
      <c r="F141" s="6">
        <v>25.62</v>
      </c>
      <c r="G141" s="6"/>
      <c r="N141" s="8" t="str">
        <f>TEXT(I147,"#,##0")&amp;" ("&amp;TEXT(I148,"0.00")&amp;")"</f>
        <v>1,769 (14.72)</v>
      </c>
      <c r="O141" s="8" t="str">
        <f t="shared" ref="O141" si="143">TEXT(J147,"#,##0")&amp;" ("&amp;TEXT(J148,"0.00")&amp;")"</f>
        <v>2,412 (17.18)</v>
      </c>
      <c r="P141" s="8" t="str">
        <f t="shared" ref="P141" si="144">TEXT(K147,"#,##0")&amp;" ("&amp;TEXT(K148,"0.00")&amp;")"</f>
        <v>2,809 (18.36)</v>
      </c>
      <c r="Q141" s="8" t="str">
        <f t="shared" ref="Q141" si="145">TEXT(L147,"#,##0")&amp;" ("&amp;TEXT(L148,"0.00")&amp;")"</f>
        <v>3,719 (21.46)</v>
      </c>
    </row>
    <row r="142" spans="1:17" ht="16.5" x14ac:dyDescent="0.3">
      <c r="A142" s="2"/>
      <c r="B142" s="18"/>
      <c r="C142" s="6">
        <v>37.33</v>
      </c>
      <c r="D142" s="6">
        <v>33.72</v>
      </c>
      <c r="E142" s="6">
        <v>32.01</v>
      </c>
      <c r="F142" s="6">
        <v>28.05</v>
      </c>
      <c r="G142" s="6"/>
      <c r="N142" s="8" t="str">
        <f>TEXT(I151,"#,##0")&amp;" ("&amp;TEXT(I152,"0.00")&amp;")"</f>
        <v>12,021 (0.00)</v>
      </c>
      <c r="O142" s="8" t="str">
        <f t="shared" ref="O142" si="146">TEXT(J151,"#,##0")&amp;" ("&amp;TEXT(J152,"0.00")&amp;")"</f>
        <v>14,037 (0.00)</v>
      </c>
      <c r="P142" s="8" t="str">
        <f t="shared" ref="P142" si="147">TEXT(K151,"#,##0")&amp;" ("&amp;TEXT(K152,"0.00")&amp;")"</f>
        <v>15,296 (0.00)</v>
      </c>
      <c r="Q142" s="8" t="str">
        <f t="shared" ref="Q142" si="148">TEXT(L151,"#,##0")&amp;" ("&amp;TEXT(L152,"0.00")&amp;")"</f>
        <v>17,332 (0.00)</v>
      </c>
    </row>
    <row r="143" spans="1:17" ht="16.5" x14ac:dyDescent="0.3">
      <c r="A143" s="2"/>
      <c r="B143" s="18">
        <v>2</v>
      </c>
      <c r="C143" s="6">
        <v>5765</v>
      </c>
      <c r="D143" s="6">
        <v>6892</v>
      </c>
      <c r="E143" s="6">
        <v>7591</v>
      </c>
      <c r="F143" s="6">
        <v>8752</v>
      </c>
      <c r="G143" s="6">
        <v>29000</v>
      </c>
      <c r="I143" s="8">
        <f>C143</f>
        <v>5765</v>
      </c>
      <c r="J143" s="8">
        <f t="shared" ref="J143" si="149">D143</f>
        <v>6892</v>
      </c>
      <c r="K143" s="8">
        <f t="shared" ref="K143" si="150">E143</f>
        <v>7591</v>
      </c>
      <c r="L143" s="8">
        <f t="shared" ref="L143" si="151">F143</f>
        <v>8752</v>
      </c>
    </row>
    <row r="144" spans="1:17" ht="16.5" x14ac:dyDescent="0.3">
      <c r="A144" s="2"/>
      <c r="B144" s="18"/>
      <c r="C144" s="6">
        <v>9.82</v>
      </c>
      <c r="D144" s="6">
        <v>11.74</v>
      </c>
      <c r="E144" s="6">
        <v>12.93</v>
      </c>
      <c r="F144" s="6">
        <v>14.91</v>
      </c>
      <c r="G144" s="6">
        <v>49.42</v>
      </c>
      <c r="I144" s="8">
        <f>C146</f>
        <v>47.96</v>
      </c>
      <c r="J144" s="8">
        <f>D146</f>
        <v>49.1</v>
      </c>
      <c r="K144" s="8">
        <f>E146</f>
        <v>49.63</v>
      </c>
      <c r="L144" s="8">
        <f>F146</f>
        <v>50.5</v>
      </c>
    </row>
    <row r="145" spans="1:17" ht="16.5" x14ac:dyDescent="0.3">
      <c r="A145" s="2"/>
      <c r="B145" s="18"/>
      <c r="C145" s="6">
        <v>19.88</v>
      </c>
      <c r="D145" s="6">
        <v>23.77</v>
      </c>
      <c r="E145" s="6">
        <v>26.18</v>
      </c>
      <c r="F145" s="6">
        <v>30.18</v>
      </c>
      <c r="G145" s="6"/>
    </row>
    <row r="146" spans="1:17" ht="16.5" x14ac:dyDescent="0.3">
      <c r="A146" s="2"/>
      <c r="B146" s="18"/>
      <c r="C146" s="6">
        <v>47.96</v>
      </c>
      <c r="D146" s="6">
        <v>49.1</v>
      </c>
      <c r="E146" s="6">
        <v>49.63</v>
      </c>
      <c r="F146" s="6">
        <v>50.5</v>
      </c>
      <c r="G146" s="6"/>
    </row>
    <row r="147" spans="1:17" ht="16.5" x14ac:dyDescent="0.3">
      <c r="A147" s="2"/>
      <c r="B147" s="18">
        <v>3</v>
      </c>
      <c r="C147" s="6">
        <v>1769</v>
      </c>
      <c r="D147" s="6">
        <v>2412</v>
      </c>
      <c r="E147" s="6">
        <v>2809</v>
      </c>
      <c r="F147" s="6">
        <v>3719</v>
      </c>
      <c r="G147" s="6">
        <v>10709</v>
      </c>
      <c r="I147" s="8">
        <f>C147</f>
        <v>1769</v>
      </c>
      <c r="J147" s="8">
        <f t="shared" ref="J147" si="152">D147</f>
        <v>2412</v>
      </c>
      <c r="K147" s="8">
        <f t="shared" ref="K147" si="153">E147</f>
        <v>2809</v>
      </c>
      <c r="L147" s="8">
        <f t="shared" ref="L147" si="154">F147</f>
        <v>3719</v>
      </c>
    </row>
    <row r="148" spans="1:17" ht="16.5" x14ac:dyDescent="0.3">
      <c r="A148" s="2"/>
      <c r="B148" s="18"/>
      <c r="C148" s="6">
        <v>3.01</v>
      </c>
      <c r="D148" s="6">
        <v>4.1100000000000003</v>
      </c>
      <c r="E148" s="6">
        <v>4.79</v>
      </c>
      <c r="F148" s="6">
        <v>6.34</v>
      </c>
      <c r="G148" s="6">
        <v>18.25</v>
      </c>
      <c r="I148" s="8">
        <f>C150</f>
        <v>14.72</v>
      </c>
      <c r="J148" s="8">
        <f>D150</f>
        <v>17.18</v>
      </c>
      <c r="K148" s="8">
        <f>E150</f>
        <v>18.36</v>
      </c>
      <c r="L148" s="8">
        <f>F150</f>
        <v>21.46</v>
      </c>
    </row>
    <row r="149" spans="1:17" ht="16.5" x14ac:dyDescent="0.3">
      <c r="A149" s="2"/>
      <c r="B149" s="18"/>
      <c r="C149" s="6">
        <v>16.52</v>
      </c>
      <c r="D149" s="6">
        <v>22.52</v>
      </c>
      <c r="E149" s="6">
        <v>26.23</v>
      </c>
      <c r="F149" s="6">
        <v>34.729999999999997</v>
      </c>
      <c r="G149" s="6"/>
    </row>
    <row r="150" spans="1:17" ht="16.5" x14ac:dyDescent="0.3">
      <c r="A150" s="2"/>
      <c r="B150" s="18"/>
      <c r="C150" s="6">
        <v>14.72</v>
      </c>
      <c r="D150" s="6">
        <v>17.18</v>
      </c>
      <c r="E150" s="6">
        <v>18.36</v>
      </c>
      <c r="F150" s="6">
        <v>21.46</v>
      </c>
      <c r="G150" s="6"/>
    </row>
    <row r="151" spans="1:17" ht="15.75" customHeight="1" x14ac:dyDescent="0.3">
      <c r="A151" s="2"/>
      <c r="B151" s="18" t="s">
        <v>22</v>
      </c>
      <c r="C151" s="6">
        <v>12021</v>
      </c>
      <c r="D151" s="6">
        <v>14037</v>
      </c>
      <c r="E151" s="6">
        <v>15296</v>
      </c>
      <c r="F151" s="6">
        <v>17332</v>
      </c>
      <c r="G151" s="6">
        <v>58686</v>
      </c>
      <c r="I151" s="8">
        <f>C151</f>
        <v>12021</v>
      </c>
      <c r="J151" s="8">
        <f t="shared" ref="J151" si="155">D151</f>
        <v>14037</v>
      </c>
      <c r="K151" s="8">
        <f t="shared" ref="K151" si="156">E151</f>
        <v>15296</v>
      </c>
      <c r="L151" s="8">
        <f t="shared" ref="L151" si="157">F151</f>
        <v>17332</v>
      </c>
    </row>
    <row r="152" spans="1:17" ht="16.5" x14ac:dyDescent="0.3">
      <c r="A152" s="2"/>
      <c r="B152" s="18"/>
      <c r="C152" s="6">
        <v>20.48</v>
      </c>
      <c r="D152" s="6">
        <v>23.92</v>
      </c>
      <c r="E152" s="6">
        <v>26.06</v>
      </c>
      <c r="F152" s="6">
        <v>29.53</v>
      </c>
      <c r="G152" s="6">
        <v>100</v>
      </c>
      <c r="I152" s="8">
        <f>C154</f>
        <v>0</v>
      </c>
      <c r="J152" s="8">
        <f>D154</f>
        <v>0</v>
      </c>
      <c r="K152" s="8">
        <f>E154</f>
        <v>0</v>
      </c>
      <c r="L152" s="8">
        <f>F154</f>
        <v>0</v>
      </c>
    </row>
    <row r="153" spans="1:17" ht="16.5" x14ac:dyDescent="0.3">
      <c r="A153" s="2"/>
      <c r="B153" s="26"/>
      <c r="C153" s="26"/>
      <c r="D153" s="26"/>
      <c r="E153" s="26"/>
      <c r="F153" s="26"/>
      <c r="G153" s="26"/>
    </row>
    <row r="154" spans="1:17" ht="17.25" thickBot="1" x14ac:dyDescent="0.35">
      <c r="A154"/>
      <c r="B154"/>
      <c r="C154"/>
      <c r="D154"/>
      <c r="E154"/>
      <c r="F154"/>
      <c r="G154"/>
    </row>
    <row r="155" spans="1:17" ht="16.5" customHeight="1" x14ac:dyDescent="0.3">
      <c r="A155" s="5" t="s">
        <v>2</v>
      </c>
      <c r="B155" s="17" t="s">
        <v>37</v>
      </c>
      <c r="C155" s="19"/>
      <c r="D155" s="19"/>
      <c r="E155" s="19"/>
      <c r="F155" s="19"/>
      <c r="G155" s="19"/>
    </row>
    <row r="156" spans="1:17" ht="16.5" customHeight="1" x14ac:dyDescent="0.3">
      <c r="A156" s="4" t="s">
        <v>3</v>
      </c>
      <c r="B156" s="18" t="s">
        <v>11</v>
      </c>
      <c r="C156" s="20" t="s">
        <v>23</v>
      </c>
      <c r="D156" s="20"/>
      <c r="E156" s="20"/>
      <c r="F156" s="20"/>
      <c r="G156" s="20"/>
    </row>
    <row r="157" spans="1:17" ht="16.5" x14ac:dyDescent="0.3">
      <c r="A157" s="4" t="s">
        <v>19</v>
      </c>
      <c r="B157" s="18"/>
      <c r="C157" s="3">
        <v>1</v>
      </c>
      <c r="D157" s="3">
        <v>2</v>
      </c>
      <c r="E157" s="3">
        <v>3</v>
      </c>
      <c r="F157" s="3">
        <v>4</v>
      </c>
      <c r="G157" s="3" t="s">
        <v>22</v>
      </c>
    </row>
    <row r="158" spans="1:17" ht="33" x14ac:dyDescent="0.3">
      <c r="A158" s="4" t="s">
        <v>20</v>
      </c>
      <c r="B158" s="18">
        <v>1</v>
      </c>
      <c r="C158" s="6">
        <v>3208</v>
      </c>
      <c r="D158" s="6">
        <v>3624</v>
      </c>
      <c r="E158" s="6">
        <v>4000</v>
      </c>
      <c r="F158" s="6">
        <v>4692</v>
      </c>
      <c r="G158" s="6">
        <v>15524</v>
      </c>
      <c r="I158" s="8">
        <f>C158</f>
        <v>3208</v>
      </c>
      <c r="J158" s="8">
        <f t="shared" ref="J158" si="158">D158</f>
        <v>3624</v>
      </c>
      <c r="K158" s="8">
        <f t="shared" ref="K158" si="159">E158</f>
        <v>4000</v>
      </c>
      <c r="L158" s="8">
        <f t="shared" ref="L158" si="160">F158</f>
        <v>4692</v>
      </c>
      <c r="N158" s="8" t="str">
        <f>TEXT(I158,"#,##0")&amp;" ("&amp;TEXT(I159,"0.00")&amp;")"</f>
        <v>3,208 (26.69)</v>
      </c>
      <c r="O158" s="8" t="str">
        <f t="shared" ref="O158" si="161">TEXT(J158,"#,##0")&amp;" ("&amp;TEXT(J159,"0.00")&amp;")"</f>
        <v>3,624 (25.82)</v>
      </c>
      <c r="P158" s="8" t="str">
        <f t="shared" ref="P158" si="162">TEXT(K158,"#,##0")&amp;" ("&amp;TEXT(K159,"0.00")&amp;")"</f>
        <v>4,000 (26.15)</v>
      </c>
      <c r="Q158" s="8" t="str">
        <f t="shared" ref="Q158" si="163">TEXT(L158,"#,##0")&amp;" ("&amp;TEXT(L159,"0.00")&amp;")"</f>
        <v>4,692 (27.07)</v>
      </c>
    </row>
    <row r="159" spans="1:17" ht="16.5" x14ac:dyDescent="0.3">
      <c r="A159" s="2"/>
      <c r="B159" s="18"/>
      <c r="C159" s="6">
        <v>5.47</v>
      </c>
      <c r="D159" s="6">
        <v>6.18</v>
      </c>
      <c r="E159" s="6">
        <v>6.82</v>
      </c>
      <c r="F159" s="6">
        <v>8</v>
      </c>
      <c r="G159" s="6">
        <v>26.45</v>
      </c>
      <c r="I159" s="8">
        <f>C161</f>
        <v>26.69</v>
      </c>
      <c r="J159" s="8">
        <f>D161</f>
        <v>25.82</v>
      </c>
      <c r="K159" s="8">
        <f>E161</f>
        <v>26.15</v>
      </c>
      <c r="L159" s="8">
        <f>F161</f>
        <v>27.07</v>
      </c>
      <c r="N159" s="8" t="str">
        <f>TEXT(I162,"#,##0")&amp;" ("&amp;TEXT(I163,"0.00")&amp;")"</f>
        <v>7,292 (60.66)</v>
      </c>
      <c r="O159" s="8" t="str">
        <f t="shared" ref="O159" si="164">TEXT(J162,"#,##0")&amp;" ("&amp;TEXT(J163,"0.00")&amp;")"</f>
        <v>8,364 (59.59)</v>
      </c>
      <c r="P159" s="8" t="str">
        <f t="shared" ref="P159" si="165">TEXT(K162,"#,##0")&amp;" ("&amp;TEXT(K163,"0.00")&amp;")"</f>
        <v>8,930 (58.38)</v>
      </c>
      <c r="Q159" s="8" t="str">
        <f t="shared" ref="Q159" si="166">TEXT(L162,"#,##0")&amp;" ("&amp;TEXT(L163,"0.00")&amp;")"</f>
        <v>9,924 (57.26)</v>
      </c>
    </row>
    <row r="160" spans="1:17" ht="16.5" x14ac:dyDescent="0.3">
      <c r="A160" s="2"/>
      <c r="B160" s="18"/>
      <c r="C160" s="6">
        <v>20.66</v>
      </c>
      <c r="D160" s="6">
        <v>23.34</v>
      </c>
      <c r="E160" s="6">
        <v>25.77</v>
      </c>
      <c r="F160" s="6">
        <v>30.22</v>
      </c>
      <c r="G160" s="6"/>
      <c r="N160" s="8" t="str">
        <f>TEXT(I166,"#,##0")&amp;" ("&amp;TEXT(I167,"0.00")&amp;")"</f>
        <v>1,521 (12.65)</v>
      </c>
      <c r="O160" s="8" t="str">
        <f t="shared" ref="O160" si="167">TEXT(J166,"#,##0")&amp;" ("&amp;TEXT(J167,"0.00")&amp;")"</f>
        <v>2,049 (14.60)</v>
      </c>
      <c r="P160" s="8" t="str">
        <f t="shared" ref="P160" si="168">TEXT(K166,"#,##0")&amp;" ("&amp;TEXT(K167,"0.00")&amp;")"</f>
        <v>2,366 (15.47)</v>
      </c>
      <c r="Q160" s="8" t="str">
        <f t="shared" ref="Q160" si="169">TEXT(L166,"#,##0")&amp;" ("&amp;TEXT(L167,"0.00")&amp;")"</f>
        <v>2,716 (15.67)</v>
      </c>
    </row>
    <row r="161" spans="1:17" ht="16.5" x14ac:dyDescent="0.3">
      <c r="A161" s="2"/>
      <c r="B161" s="18"/>
      <c r="C161" s="6">
        <v>26.69</v>
      </c>
      <c r="D161" s="6">
        <v>25.82</v>
      </c>
      <c r="E161" s="6">
        <v>26.15</v>
      </c>
      <c r="F161" s="6">
        <v>27.07</v>
      </c>
      <c r="G161" s="6"/>
      <c r="N161" s="8" t="str">
        <f>TEXT(I170,"#,##0")&amp;" ("&amp;TEXT(I171,"0.00")&amp;")"</f>
        <v>12,021 (0.00)</v>
      </c>
      <c r="O161" s="8" t="str">
        <f t="shared" ref="O161" si="170">TEXT(J170,"#,##0")&amp;" ("&amp;TEXT(J171,"0.00")&amp;")"</f>
        <v>14,037 (0.00)</v>
      </c>
      <c r="P161" s="8" t="str">
        <f t="shared" ref="P161" si="171">TEXT(K170,"#,##0")&amp;" ("&amp;TEXT(K171,"0.00")&amp;")"</f>
        <v>15,296 (0.00)</v>
      </c>
      <c r="Q161" s="8" t="str">
        <f t="shared" ref="Q161" si="172">TEXT(L170,"#,##0")&amp;" ("&amp;TEXT(L171,"0.00")&amp;")"</f>
        <v>17,332 (0.00)</v>
      </c>
    </row>
    <row r="162" spans="1:17" ht="16.5" x14ac:dyDescent="0.3">
      <c r="A162" s="2"/>
      <c r="B162" s="18">
        <v>2</v>
      </c>
      <c r="C162" s="6">
        <v>7292</v>
      </c>
      <c r="D162" s="6">
        <v>8364</v>
      </c>
      <c r="E162" s="6">
        <v>8930</v>
      </c>
      <c r="F162" s="6">
        <v>9924</v>
      </c>
      <c r="G162" s="6">
        <v>34510</v>
      </c>
      <c r="I162" s="8">
        <f>C162</f>
        <v>7292</v>
      </c>
      <c r="J162" s="8">
        <f t="shared" ref="J162" si="173">D162</f>
        <v>8364</v>
      </c>
      <c r="K162" s="8">
        <f t="shared" ref="K162" si="174">E162</f>
        <v>8930</v>
      </c>
      <c r="L162" s="8">
        <f t="shared" ref="L162" si="175">F162</f>
        <v>9924</v>
      </c>
    </row>
    <row r="163" spans="1:17" ht="16.5" x14ac:dyDescent="0.3">
      <c r="A163" s="2"/>
      <c r="B163" s="18"/>
      <c r="C163" s="6">
        <v>12.43</v>
      </c>
      <c r="D163" s="6">
        <v>14.25</v>
      </c>
      <c r="E163" s="6">
        <v>15.22</v>
      </c>
      <c r="F163" s="6">
        <v>16.91</v>
      </c>
      <c r="G163" s="6">
        <v>58.8</v>
      </c>
      <c r="I163" s="8">
        <f>C165</f>
        <v>60.66</v>
      </c>
      <c r="J163" s="8">
        <f>D165</f>
        <v>59.59</v>
      </c>
      <c r="K163" s="8">
        <f>E165</f>
        <v>58.38</v>
      </c>
      <c r="L163" s="8">
        <f>F165</f>
        <v>57.26</v>
      </c>
    </row>
    <row r="164" spans="1:17" ht="16.5" x14ac:dyDescent="0.3">
      <c r="A164" s="2"/>
      <c r="B164" s="18"/>
      <c r="C164" s="6">
        <v>21.13</v>
      </c>
      <c r="D164" s="6">
        <v>24.24</v>
      </c>
      <c r="E164" s="6">
        <v>25.88</v>
      </c>
      <c r="F164" s="6">
        <v>28.76</v>
      </c>
      <c r="G164" s="6"/>
    </row>
    <row r="165" spans="1:17" ht="16.5" x14ac:dyDescent="0.3">
      <c r="A165" s="2"/>
      <c r="B165" s="18"/>
      <c r="C165" s="6">
        <v>60.66</v>
      </c>
      <c r="D165" s="6">
        <v>59.59</v>
      </c>
      <c r="E165" s="6">
        <v>58.38</v>
      </c>
      <c r="F165" s="6">
        <v>57.26</v>
      </c>
      <c r="G165" s="6"/>
    </row>
    <row r="166" spans="1:17" ht="16.5" x14ac:dyDescent="0.3">
      <c r="A166" s="2"/>
      <c r="B166" s="18">
        <v>3</v>
      </c>
      <c r="C166" s="6">
        <v>1521</v>
      </c>
      <c r="D166" s="6">
        <v>2049</v>
      </c>
      <c r="E166" s="6">
        <v>2366</v>
      </c>
      <c r="F166" s="6">
        <v>2716</v>
      </c>
      <c r="G166" s="6">
        <v>8652</v>
      </c>
      <c r="I166" s="8">
        <f>C166</f>
        <v>1521</v>
      </c>
      <c r="J166" s="8">
        <f t="shared" ref="J166" si="176">D166</f>
        <v>2049</v>
      </c>
      <c r="K166" s="8">
        <f t="shared" ref="K166" si="177">E166</f>
        <v>2366</v>
      </c>
      <c r="L166" s="8">
        <f t="shared" ref="L166" si="178">F166</f>
        <v>2716</v>
      </c>
    </row>
    <row r="167" spans="1:17" ht="16.5" x14ac:dyDescent="0.3">
      <c r="A167" s="2"/>
      <c r="B167" s="18"/>
      <c r="C167" s="6">
        <v>2.59</v>
      </c>
      <c r="D167" s="6">
        <v>3.49</v>
      </c>
      <c r="E167" s="6">
        <v>4.03</v>
      </c>
      <c r="F167" s="6">
        <v>4.63</v>
      </c>
      <c r="G167" s="6">
        <v>14.74</v>
      </c>
      <c r="I167" s="8">
        <f>C169</f>
        <v>12.65</v>
      </c>
      <c r="J167" s="8">
        <f>D169</f>
        <v>14.6</v>
      </c>
      <c r="K167" s="8">
        <f>E169</f>
        <v>15.47</v>
      </c>
      <c r="L167" s="8">
        <f>F169</f>
        <v>15.67</v>
      </c>
    </row>
    <row r="168" spans="1:17" ht="16.5" x14ac:dyDescent="0.3">
      <c r="A168" s="2"/>
      <c r="B168" s="18"/>
      <c r="C168" s="6">
        <v>17.579999999999998</v>
      </c>
      <c r="D168" s="6">
        <v>23.68</v>
      </c>
      <c r="E168" s="6">
        <v>27.35</v>
      </c>
      <c r="F168" s="6">
        <v>31.39</v>
      </c>
      <c r="G168" s="6"/>
    </row>
    <row r="169" spans="1:17" ht="16.5" x14ac:dyDescent="0.3">
      <c r="A169" s="2"/>
      <c r="B169" s="18"/>
      <c r="C169" s="6">
        <v>12.65</v>
      </c>
      <c r="D169" s="6">
        <v>14.6</v>
      </c>
      <c r="E169" s="6">
        <v>15.47</v>
      </c>
      <c r="F169" s="6">
        <v>15.67</v>
      </c>
      <c r="G169" s="6"/>
    </row>
    <row r="170" spans="1:17" ht="15.75" customHeight="1" x14ac:dyDescent="0.3">
      <c r="A170" s="2"/>
      <c r="B170" s="18" t="s">
        <v>22</v>
      </c>
      <c r="C170" s="6">
        <v>12021</v>
      </c>
      <c r="D170" s="6">
        <v>14037</v>
      </c>
      <c r="E170" s="6">
        <v>15296</v>
      </c>
      <c r="F170" s="6">
        <v>17332</v>
      </c>
      <c r="G170" s="6">
        <v>58686</v>
      </c>
      <c r="I170" s="8">
        <f>C170</f>
        <v>12021</v>
      </c>
      <c r="J170" s="8">
        <f t="shared" ref="J170" si="179">D170</f>
        <v>14037</v>
      </c>
      <c r="K170" s="8">
        <f t="shared" ref="K170" si="180">E170</f>
        <v>15296</v>
      </c>
      <c r="L170" s="8">
        <f t="shared" ref="L170" si="181">F170</f>
        <v>17332</v>
      </c>
    </row>
    <row r="171" spans="1:17" ht="16.5" x14ac:dyDescent="0.3">
      <c r="A171" s="2"/>
      <c r="B171" s="18"/>
      <c r="C171" s="6">
        <v>20.48</v>
      </c>
      <c r="D171" s="6">
        <v>23.92</v>
      </c>
      <c r="E171" s="6">
        <v>26.06</v>
      </c>
      <c r="F171" s="6">
        <v>29.53</v>
      </c>
      <c r="G171" s="6">
        <v>100</v>
      </c>
      <c r="I171" s="8">
        <f>C173</f>
        <v>0</v>
      </c>
      <c r="J171" s="8">
        <f>D173</f>
        <v>0</v>
      </c>
      <c r="K171" s="8">
        <f>E173</f>
        <v>0</v>
      </c>
      <c r="L171" s="8">
        <f>F173</f>
        <v>0</v>
      </c>
    </row>
    <row r="172" spans="1:17" ht="16.5" x14ac:dyDescent="0.3">
      <c r="A172" s="2"/>
      <c r="B172" s="26"/>
      <c r="C172" s="26"/>
      <c r="D172" s="26"/>
      <c r="E172" s="26"/>
      <c r="F172" s="26"/>
      <c r="G172" s="26"/>
    </row>
    <row r="173" spans="1:17" ht="17.25" thickBot="1" x14ac:dyDescent="0.35">
      <c r="A173"/>
      <c r="B173"/>
      <c r="C173"/>
      <c r="D173"/>
      <c r="E173"/>
      <c r="F173"/>
      <c r="G173"/>
    </row>
    <row r="174" spans="1:17" ht="16.5" customHeight="1" x14ac:dyDescent="0.3">
      <c r="A174" s="5" t="s">
        <v>2</v>
      </c>
      <c r="B174" s="17" t="s">
        <v>38</v>
      </c>
      <c r="C174" s="19"/>
      <c r="D174" s="19"/>
      <c r="E174" s="19"/>
      <c r="F174" s="19"/>
      <c r="G174" s="19"/>
    </row>
    <row r="175" spans="1:17" ht="16.5" customHeight="1" x14ac:dyDescent="0.3">
      <c r="A175" s="4" t="s">
        <v>3</v>
      </c>
      <c r="B175" s="18" t="s">
        <v>12</v>
      </c>
      <c r="C175" s="20" t="s">
        <v>23</v>
      </c>
      <c r="D175" s="20"/>
      <c r="E175" s="20"/>
      <c r="F175" s="20"/>
      <c r="G175" s="20"/>
    </row>
    <row r="176" spans="1:17" ht="16.5" x14ac:dyDescent="0.3">
      <c r="A176" s="4" t="s">
        <v>19</v>
      </c>
      <c r="B176" s="18"/>
      <c r="C176" s="3">
        <v>1</v>
      </c>
      <c r="D176" s="3">
        <v>2</v>
      </c>
      <c r="E176" s="3">
        <v>3</v>
      </c>
      <c r="F176" s="3">
        <v>4</v>
      </c>
      <c r="G176" s="3" t="s">
        <v>22</v>
      </c>
    </row>
    <row r="177" spans="1:17" ht="33" x14ac:dyDescent="0.3">
      <c r="A177" s="4" t="s">
        <v>20</v>
      </c>
      <c r="B177" s="18">
        <v>1</v>
      </c>
      <c r="C177" s="6">
        <v>5270</v>
      </c>
      <c r="D177" s="6">
        <v>6015</v>
      </c>
      <c r="E177" s="6">
        <v>6060</v>
      </c>
      <c r="F177" s="6">
        <v>5730</v>
      </c>
      <c r="G177" s="6">
        <v>23075</v>
      </c>
      <c r="I177" s="8">
        <f>C177</f>
        <v>5270</v>
      </c>
      <c r="J177" s="8">
        <f t="shared" ref="J177" si="182">D177</f>
        <v>6015</v>
      </c>
      <c r="K177" s="8">
        <f t="shared" ref="K177" si="183">E177</f>
        <v>6060</v>
      </c>
      <c r="L177" s="8">
        <f t="shared" ref="L177" si="184">F177</f>
        <v>5730</v>
      </c>
      <c r="N177" s="8" t="str">
        <f>TEXT(I177,"#,##0")&amp;" ("&amp;TEXT(I178,"0.00")&amp;")"</f>
        <v>5,270 (43.84)</v>
      </c>
      <c r="O177" s="8" t="str">
        <f t="shared" ref="O177" si="185">TEXT(J177,"#,##0")&amp;" ("&amp;TEXT(J178,"0.00")&amp;")"</f>
        <v>6,015 (42.85)</v>
      </c>
      <c r="P177" s="8" t="str">
        <f t="shared" ref="P177" si="186">TEXT(K177,"#,##0")&amp;" ("&amp;TEXT(K178,"0.00")&amp;")"</f>
        <v>6,060 (39.62)</v>
      </c>
      <c r="Q177" s="8" t="str">
        <f t="shared" ref="Q177" si="187">TEXT(L177,"#,##0")&amp;" ("&amp;TEXT(L178,"0.00")&amp;")"</f>
        <v>5,730 (33.06)</v>
      </c>
    </row>
    <row r="178" spans="1:17" ht="16.5" x14ac:dyDescent="0.3">
      <c r="A178" s="2"/>
      <c r="B178" s="18"/>
      <c r="C178" s="6">
        <v>8.98</v>
      </c>
      <c r="D178" s="6">
        <v>10.25</v>
      </c>
      <c r="E178" s="6">
        <v>10.33</v>
      </c>
      <c r="F178" s="6">
        <v>9.76</v>
      </c>
      <c r="G178" s="6">
        <v>39.32</v>
      </c>
      <c r="I178" s="8">
        <f>C180</f>
        <v>43.84</v>
      </c>
      <c r="J178" s="8">
        <f>D180</f>
        <v>42.85</v>
      </c>
      <c r="K178" s="8">
        <f>E180</f>
        <v>39.619999999999997</v>
      </c>
      <c r="L178" s="8">
        <f>F180</f>
        <v>33.06</v>
      </c>
      <c r="N178" s="8" t="str">
        <f>TEXT(I181,"#,##0")&amp;" ("&amp;TEXT(I182,"0.00")&amp;")"</f>
        <v>4,629 (38.51)</v>
      </c>
      <c r="O178" s="8" t="str">
        <f t="shared" ref="O178" si="188">TEXT(J181,"#,##0")&amp;" ("&amp;TEXT(J182,"0.00")&amp;")"</f>
        <v>5,081 (36.20)</v>
      </c>
      <c r="P178" s="8" t="str">
        <f t="shared" ref="P178" si="189">TEXT(K181,"#,##0")&amp;" ("&amp;TEXT(K182,"0.00")&amp;")"</f>
        <v>5,355 (35.01)</v>
      </c>
      <c r="Q178" s="8" t="str">
        <f t="shared" ref="Q178" si="190">TEXT(L181,"#,##0")&amp;" ("&amp;TEXT(L182,"0.00")&amp;")"</f>
        <v>5,568 (32.13)</v>
      </c>
    </row>
    <row r="179" spans="1:17" ht="16.5" x14ac:dyDescent="0.3">
      <c r="A179" s="2"/>
      <c r="B179" s="18"/>
      <c r="C179" s="6">
        <v>22.84</v>
      </c>
      <c r="D179" s="6">
        <v>26.07</v>
      </c>
      <c r="E179" s="6">
        <v>26.26</v>
      </c>
      <c r="F179" s="6">
        <v>24.83</v>
      </c>
      <c r="G179" s="6"/>
      <c r="N179" s="8" t="str">
        <f>TEXT(I185,"#,##0")&amp;" ("&amp;TEXT(I186,"0.00")&amp;")"</f>
        <v>2,122 (17.65)</v>
      </c>
      <c r="O179" s="8" t="str">
        <f t="shared" ref="O179" si="191">TEXT(J185,"#,##0")&amp;" ("&amp;TEXT(J186,"0.00")&amp;")"</f>
        <v>2,941 (20.95)</v>
      </c>
      <c r="P179" s="8" t="str">
        <f t="shared" ref="P179" si="192">TEXT(K185,"#,##0")&amp;" ("&amp;TEXT(K186,"0.00")&amp;")"</f>
        <v>3,881 (25.37)</v>
      </c>
      <c r="Q179" s="8" t="str">
        <f t="shared" ref="Q179" si="193">TEXT(L185,"#,##0")&amp;" ("&amp;TEXT(L186,"0.00")&amp;")"</f>
        <v>6,034 (34.81)</v>
      </c>
    </row>
    <row r="180" spans="1:17" ht="16.5" x14ac:dyDescent="0.3">
      <c r="A180" s="2"/>
      <c r="B180" s="18"/>
      <c r="C180" s="6">
        <v>43.84</v>
      </c>
      <c r="D180" s="6">
        <v>42.85</v>
      </c>
      <c r="E180" s="6">
        <v>39.619999999999997</v>
      </c>
      <c r="F180" s="6">
        <v>33.06</v>
      </c>
      <c r="G180" s="6"/>
      <c r="N180" s="8" t="str">
        <f>TEXT(I189,"#,##0")&amp;" ("&amp;TEXT(I190,"0.00")&amp;")"</f>
        <v>12,021 (0.00)</v>
      </c>
      <c r="O180" s="8" t="str">
        <f t="shared" ref="O180" si="194">TEXT(J189,"#,##0")&amp;" ("&amp;TEXT(J190,"0.00")&amp;")"</f>
        <v>14,037 (0.00)</v>
      </c>
      <c r="P180" s="8" t="str">
        <f t="shared" ref="P180" si="195">TEXT(K189,"#,##0")&amp;" ("&amp;TEXT(K190,"0.00")&amp;")"</f>
        <v>15,296 (0.00)</v>
      </c>
      <c r="Q180" s="8" t="str">
        <f t="shared" ref="Q180" si="196">TEXT(L189,"#,##0")&amp;" ("&amp;TEXT(L190,"0.00")&amp;")"</f>
        <v>17,332 (0.00)</v>
      </c>
    </row>
    <row r="181" spans="1:17" ht="16.5" x14ac:dyDescent="0.3">
      <c r="A181" s="2"/>
      <c r="B181" s="18">
        <v>2</v>
      </c>
      <c r="C181" s="6">
        <v>4629</v>
      </c>
      <c r="D181" s="6">
        <v>5081</v>
      </c>
      <c r="E181" s="6">
        <v>5355</v>
      </c>
      <c r="F181" s="6">
        <v>5568</v>
      </c>
      <c r="G181" s="6">
        <v>20633</v>
      </c>
      <c r="I181" s="8">
        <f>C181</f>
        <v>4629</v>
      </c>
      <c r="J181" s="8">
        <f t="shared" ref="J181" si="197">D181</f>
        <v>5081</v>
      </c>
      <c r="K181" s="8">
        <f t="shared" ref="K181" si="198">E181</f>
        <v>5355</v>
      </c>
      <c r="L181" s="8">
        <f t="shared" ref="L181" si="199">F181</f>
        <v>5568</v>
      </c>
    </row>
    <row r="182" spans="1:17" ht="16.5" x14ac:dyDescent="0.3">
      <c r="A182" s="2"/>
      <c r="B182" s="18"/>
      <c r="C182" s="6">
        <v>7.89</v>
      </c>
      <c r="D182" s="6">
        <v>8.66</v>
      </c>
      <c r="E182" s="6">
        <v>9.1199999999999992</v>
      </c>
      <c r="F182" s="6">
        <v>9.49</v>
      </c>
      <c r="G182" s="6">
        <v>35.159999999999997</v>
      </c>
      <c r="I182" s="8">
        <f>C184</f>
        <v>38.51</v>
      </c>
      <c r="J182" s="8">
        <f>D184</f>
        <v>36.200000000000003</v>
      </c>
      <c r="K182" s="8">
        <f>E184</f>
        <v>35.01</v>
      </c>
      <c r="L182" s="8">
        <f>F184</f>
        <v>32.130000000000003</v>
      </c>
    </row>
    <row r="183" spans="1:17" ht="16.5" x14ac:dyDescent="0.3">
      <c r="A183" s="2"/>
      <c r="B183" s="18"/>
      <c r="C183" s="6">
        <v>22.43</v>
      </c>
      <c r="D183" s="6">
        <v>24.63</v>
      </c>
      <c r="E183" s="6">
        <v>25.95</v>
      </c>
      <c r="F183" s="6">
        <v>26.99</v>
      </c>
      <c r="G183" s="6"/>
    </row>
    <row r="184" spans="1:17" ht="16.5" x14ac:dyDescent="0.3">
      <c r="A184" s="2"/>
      <c r="B184" s="18"/>
      <c r="C184" s="6">
        <v>38.51</v>
      </c>
      <c r="D184" s="6">
        <v>36.200000000000003</v>
      </c>
      <c r="E184" s="6">
        <v>35.01</v>
      </c>
      <c r="F184" s="6">
        <v>32.130000000000003</v>
      </c>
      <c r="G184" s="6"/>
    </row>
    <row r="185" spans="1:17" ht="16.5" x14ac:dyDescent="0.3">
      <c r="A185" s="2"/>
      <c r="B185" s="18">
        <v>3</v>
      </c>
      <c r="C185" s="6">
        <v>2122</v>
      </c>
      <c r="D185" s="6">
        <v>2941</v>
      </c>
      <c r="E185" s="6">
        <v>3881</v>
      </c>
      <c r="F185" s="6">
        <v>6034</v>
      </c>
      <c r="G185" s="6">
        <v>14978</v>
      </c>
      <c r="I185" s="8">
        <f>C185</f>
        <v>2122</v>
      </c>
      <c r="J185" s="8">
        <f t="shared" ref="J185" si="200">D185</f>
        <v>2941</v>
      </c>
      <c r="K185" s="8">
        <f t="shared" ref="K185" si="201">E185</f>
        <v>3881</v>
      </c>
      <c r="L185" s="8">
        <f t="shared" ref="L185" si="202">F185</f>
        <v>6034</v>
      </c>
    </row>
    <row r="186" spans="1:17" ht="16.5" x14ac:dyDescent="0.3">
      <c r="A186" s="2"/>
      <c r="B186" s="18"/>
      <c r="C186" s="6">
        <v>3.62</v>
      </c>
      <c r="D186" s="6">
        <v>5.01</v>
      </c>
      <c r="E186" s="6">
        <v>6.61</v>
      </c>
      <c r="F186" s="6">
        <v>10.28</v>
      </c>
      <c r="G186" s="6">
        <v>25.52</v>
      </c>
      <c r="I186" s="8">
        <f>C188</f>
        <v>17.649999999999999</v>
      </c>
      <c r="J186" s="8">
        <f>D188</f>
        <v>20.95</v>
      </c>
      <c r="K186" s="8">
        <f>E188</f>
        <v>25.37</v>
      </c>
      <c r="L186" s="8">
        <f>F188</f>
        <v>34.81</v>
      </c>
    </row>
    <row r="187" spans="1:17" ht="16.5" x14ac:dyDescent="0.3">
      <c r="A187" s="2"/>
      <c r="B187" s="18"/>
      <c r="C187" s="6">
        <v>14.17</v>
      </c>
      <c r="D187" s="6">
        <v>19.64</v>
      </c>
      <c r="E187" s="6">
        <v>25.91</v>
      </c>
      <c r="F187" s="6">
        <v>40.29</v>
      </c>
      <c r="G187" s="6"/>
    </row>
    <row r="188" spans="1:17" ht="16.5" x14ac:dyDescent="0.3">
      <c r="A188" s="2"/>
      <c r="B188" s="18"/>
      <c r="C188" s="6">
        <v>17.649999999999999</v>
      </c>
      <c r="D188" s="6">
        <v>20.95</v>
      </c>
      <c r="E188" s="6">
        <v>25.37</v>
      </c>
      <c r="F188" s="6">
        <v>34.81</v>
      </c>
      <c r="G188" s="6"/>
    </row>
    <row r="189" spans="1:17" ht="15.75" customHeight="1" x14ac:dyDescent="0.3">
      <c r="A189" s="2"/>
      <c r="B189" s="18" t="s">
        <v>22</v>
      </c>
      <c r="C189" s="6">
        <v>12021</v>
      </c>
      <c r="D189" s="6">
        <v>14037</v>
      </c>
      <c r="E189" s="6">
        <v>15296</v>
      </c>
      <c r="F189" s="6">
        <v>17332</v>
      </c>
      <c r="G189" s="6">
        <v>58686</v>
      </c>
      <c r="I189" s="8">
        <f>C189</f>
        <v>12021</v>
      </c>
      <c r="J189" s="8">
        <f t="shared" ref="J189" si="203">D189</f>
        <v>14037</v>
      </c>
      <c r="K189" s="8">
        <f t="shared" ref="K189" si="204">E189</f>
        <v>15296</v>
      </c>
      <c r="L189" s="8">
        <f t="shared" ref="L189" si="205">F189</f>
        <v>17332</v>
      </c>
    </row>
    <row r="190" spans="1:17" ht="16.5" x14ac:dyDescent="0.3">
      <c r="A190" s="2"/>
      <c r="B190" s="18"/>
      <c r="C190" s="6">
        <v>20.48</v>
      </c>
      <c r="D190" s="6">
        <v>23.92</v>
      </c>
      <c r="E190" s="6">
        <v>26.06</v>
      </c>
      <c r="F190" s="6">
        <v>29.53</v>
      </c>
      <c r="G190" s="6">
        <v>100</v>
      </c>
      <c r="I190" s="8">
        <f>C192</f>
        <v>0</v>
      </c>
      <c r="J190" s="8">
        <f>D192</f>
        <v>0</v>
      </c>
      <c r="K190" s="8">
        <f>E192</f>
        <v>0</v>
      </c>
      <c r="L190" s="8">
        <f>F192</f>
        <v>0</v>
      </c>
    </row>
    <row r="191" spans="1:17" ht="16.5" x14ac:dyDescent="0.3">
      <c r="A191" s="2"/>
      <c r="B191" s="26"/>
      <c r="C191" s="26"/>
      <c r="D191" s="26"/>
      <c r="E191" s="26"/>
      <c r="F191" s="26"/>
      <c r="G191" s="26"/>
    </row>
    <row r="192" spans="1:17" ht="17.25" thickBot="1" x14ac:dyDescent="0.35">
      <c r="A192"/>
      <c r="B192"/>
      <c r="C192"/>
      <c r="D192"/>
      <c r="E192"/>
      <c r="F192"/>
      <c r="G192"/>
    </row>
    <row r="193" spans="1:17" ht="16.5" customHeight="1" x14ac:dyDescent="0.3">
      <c r="A193" s="5" t="s">
        <v>2</v>
      </c>
      <c r="B193" s="17" t="s">
        <v>39</v>
      </c>
      <c r="C193" s="19"/>
      <c r="D193" s="19"/>
      <c r="E193" s="19"/>
      <c r="F193" s="19"/>
      <c r="G193" s="19"/>
    </row>
    <row r="194" spans="1:17" ht="16.5" customHeight="1" x14ac:dyDescent="0.3">
      <c r="A194" s="4" t="s">
        <v>3</v>
      </c>
      <c r="B194" s="18" t="s">
        <v>13</v>
      </c>
      <c r="C194" s="20" t="s">
        <v>23</v>
      </c>
      <c r="D194" s="20"/>
      <c r="E194" s="20"/>
      <c r="F194" s="20"/>
      <c r="G194" s="20"/>
    </row>
    <row r="195" spans="1:17" ht="16.5" x14ac:dyDescent="0.3">
      <c r="A195" s="4" t="s">
        <v>19</v>
      </c>
      <c r="B195" s="18"/>
      <c r="C195" s="3">
        <v>1</v>
      </c>
      <c r="D195" s="3">
        <v>2</v>
      </c>
      <c r="E195" s="3">
        <v>3</v>
      </c>
      <c r="F195" s="3">
        <v>4</v>
      </c>
      <c r="G195" s="3" t="s">
        <v>22</v>
      </c>
    </row>
    <row r="196" spans="1:17" ht="33" x14ac:dyDescent="0.3">
      <c r="A196" s="4" t="s">
        <v>20</v>
      </c>
      <c r="B196" s="18">
        <v>0</v>
      </c>
      <c r="C196" s="6">
        <v>10334</v>
      </c>
      <c r="D196" s="6">
        <v>11337</v>
      </c>
      <c r="E196" s="6">
        <v>11468</v>
      </c>
      <c r="F196" s="6">
        <v>11108</v>
      </c>
      <c r="G196" s="6">
        <v>44247</v>
      </c>
      <c r="I196" s="8">
        <f>C196</f>
        <v>10334</v>
      </c>
      <c r="J196" s="8">
        <f t="shared" ref="J196" si="206">D196</f>
        <v>11337</v>
      </c>
      <c r="K196" s="8">
        <f t="shared" ref="K196" si="207">E196</f>
        <v>11468</v>
      </c>
      <c r="L196" s="8">
        <f t="shared" ref="L196" si="208">F196</f>
        <v>11108</v>
      </c>
      <c r="N196" s="8" t="str">
        <f>TEXT(I196,"#,##0")&amp;" ("&amp;TEXT(I197,"0.00")&amp;")"</f>
        <v>10,334 (85.97)</v>
      </c>
      <c r="O196" s="8" t="str">
        <f t="shared" ref="O196" si="209">TEXT(J196,"#,##0")&amp;" ("&amp;TEXT(J197,"0.00")&amp;")"</f>
        <v>11,337 (80.77)</v>
      </c>
      <c r="P196" s="8" t="str">
        <f t="shared" ref="P196" si="210">TEXT(K196,"#,##0")&amp;" ("&amp;TEXT(K197,"0.00")&amp;")"</f>
        <v>11,468 (74.97)</v>
      </c>
      <c r="Q196" s="8" t="str">
        <f t="shared" ref="Q196" si="211">TEXT(L196,"#,##0")&amp;" ("&amp;TEXT(L197,"0.00")&amp;")"</f>
        <v>11,108 (64.09)</v>
      </c>
    </row>
    <row r="197" spans="1:17" ht="16.5" x14ac:dyDescent="0.3">
      <c r="A197" s="2"/>
      <c r="B197" s="18"/>
      <c r="C197" s="6">
        <v>17.61</v>
      </c>
      <c r="D197" s="6">
        <v>19.32</v>
      </c>
      <c r="E197" s="6">
        <v>19.54</v>
      </c>
      <c r="F197" s="6">
        <v>18.93</v>
      </c>
      <c r="G197" s="6">
        <v>75.400000000000006</v>
      </c>
      <c r="I197" s="8">
        <f>C199</f>
        <v>85.97</v>
      </c>
      <c r="J197" s="8">
        <f>D199</f>
        <v>80.77</v>
      </c>
      <c r="K197" s="8">
        <f>E199</f>
        <v>74.97</v>
      </c>
      <c r="L197" s="8">
        <f>F199</f>
        <v>64.09</v>
      </c>
      <c r="N197" s="8" t="str">
        <f>TEXT(I200,"#,##0")&amp;" ("&amp;TEXT(I201,"0.00")&amp;")"</f>
        <v>1,687 (14.03)</v>
      </c>
      <c r="O197" s="8" t="str">
        <f t="shared" ref="O197" si="212">TEXT(J200,"#,##0")&amp;" ("&amp;TEXT(J201,"0.00")&amp;")"</f>
        <v>2,700 (19.23)</v>
      </c>
      <c r="P197" s="8" t="str">
        <f t="shared" ref="P197" si="213">TEXT(K200,"#,##0")&amp;" ("&amp;TEXT(K201,"0.00")&amp;")"</f>
        <v>3,828 (25.03)</v>
      </c>
      <c r="Q197" s="8" t="str">
        <f t="shared" ref="Q197" si="214">TEXT(L200,"#,##0")&amp;" ("&amp;TEXT(L201,"0.00")&amp;")"</f>
        <v>6,224 (35.91)</v>
      </c>
    </row>
    <row r="198" spans="1:17" ht="16.5" x14ac:dyDescent="0.3">
      <c r="A198" s="2"/>
      <c r="B198" s="18"/>
      <c r="C198" s="6">
        <v>23.36</v>
      </c>
      <c r="D198" s="6">
        <v>25.62</v>
      </c>
      <c r="E198" s="6">
        <v>25.92</v>
      </c>
      <c r="F198" s="6">
        <v>25.1</v>
      </c>
      <c r="G198" s="6"/>
      <c r="N198" s="8" t="str">
        <f>TEXT(I204,"#,##0")&amp;" ("&amp;TEXT(I205,"0.00")&amp;")"</f>
        <v>12,021 (0.00)</v>
      </c>
      <c r="O198" s="8" t="str">
        <f t="shared" ref="O198" si="215">TEXT(J204,"#,##0")&amp;" ("&amp;TEXT(J205,"0.00")&amp;")"</f>
        <v>14,037 (0.00)</v>
      </c>
      <c r="P198" s="8" t="str">
        <f t="shared" ref="P198" si="216">TEXT(K204,"#,##0")&amp;" ("&amp;TEXT(K205,"0.00")&amp;")"</f>
        <v>15,296 (0.00)</v>
      </c>
      <c r="Q198" s="8" t="str">
        <f t="shared" ref="Q198" si="217">TEXT(L204,"#,##0")&amp;" ("&amp;TEXT(L205,"0.00")&amp;")"</f>
        <v>17,332 (0.00)</v>
      </c>
    </row>
    <row r="199" spans="1:17" ht="16.5" x14ac:dyDescent="0.3">
      <c r="A199" s="2"/>
      <c r="B199" s="18"/>
      <c r="C199" s="6">
        <v>85.97</v>
      </c>
      <c r="D199" s="6">
        <v>80.77</v>
      </c>
      <c r="E199" s="6">
        <v>74.97</v>
      </c>
      <c r="F199" s="6">
        <v>64.09</v>
      </c>
      <c r="G199" s="6"/>
      <c r="N199" s="8" t="str">
        <f>TEXT(I208,"#,##0")&amp;" ("&amp;TEXT(I209,"0.00")&amp;")"</f>
        <v>0 (10921.00)</v>
      </c>
      <c r="O199" s="8" t="str">
        <f t="shared" ref="O199" si="218">TEXT(J208,"#,##0")&amp;" ("&amp;TEXT(J209,"0.00")&amp;")"</f>
        <v>0 (11861.00)</v>
      </c>
      <c r="P199" s="8" t="str">
        <f t="shared" ref="P199" si="219">TEXT(K208,"#,##0")&amp;" ("&amp;TEXT(K209,"0.00")&amp;")"</f>
        <v>0 (11957.00)</v>
      </c>
      <c r="Q199" s="8" t="str">
        <f t="shared" ref="Q199" si="220">TEXT(L208,"#,##0")&amp;" ("&amp;TEXT(L209,"0.00")&amp;")"</f>
        <v>0 (12612.00)</v>
      </c>
    </row>
    <row r="200" spans="1:17" ht="16.5" x14ac:dyDescent="0.3">
      <c r="A200" s="2"/>
      <c r="B200" s="18">
        <v>1</v>
      </c>
      <c r="C200" s="6">
        <v>1687</v>
      </c>
      <c r="D200" s="6">
        <v>2700</v>
      </c>
      <c r="E200" s="6">
        <v>3828</v>
      </c>
      <c r="F200" s="6">
        <v>6224</v>
      </c>
      <c r="G200" s="6">
        <v>14439</v>
      </c>
      <c r="I200" s="8">
        <f>C200</f>
        <v>1687</v>
      </c>
      <c r="J200" s="8">
        <f t="shared" ref="J200" si="221">D200</f>
        <v>2700</v>
      </c>
      <c r="K200" s="8">
        <f t="shared" ref="K200" si="222">E200</f>
        <v>3828</v>
      </c>
      <c r="L200" s="8">
        <f t="shared" ref="L200" si="223">F200</f>
        <v>6224</v>
      </c>
    </row>
    <row r="201" spans="1:17" ht="16.5" x14ac:dyDescent="0.3">
      <c r="A201" s="2"/>
      <c r="B201" s="18"/>
      <c r="C201" s="6">
        <v>2.87</v>
      </c>
      <c r="D201" s="6">
        <v>4.5999999999999996</v>
      </c>
      <c r="E201" s="6">
        <v>6.52</v>
      </c>
      <c r="F201" s="6">
        <v>10.61</v>
      </c>
      <c r="G201" s="6">
        <v>24.6</v>
      </c>
      <c r="I201" s="8">
        <f>C203</f>
        <v>14.03</v>
      </c>
      <c r="J201" s="8">
        <f>D203</f>
        <v>19.23</v>
      </c>
      <c r="K201" s="8">
        <f>E203</f>
        <v>25.03</v>
      </c>
      <c r="L201" s="8">
        <f>F203</f>
        <v>35.909999999999997</v>
      </c>
    </row>
    <row r="202" spans="1:17" ht="16.5" x14ac:dyDescent="0.3">
      <c r="A202" s="2"/>
      <c r="B202" s="18"/>
      <c r="C202" s="6">
        <v>11.68</v>
      </c>
      <c r="D202" s="6">
        <v>18.7</v>
      </c>
      <c r="E202" s="6">
        <v>26.51</v>
      </c>
      <c r="F202" s="6">
        <v>43.11</v>
      </c>
      <c r="G202" s="6"/>
    </row>
    <row r="203" spans="1:17" ht="16.5" x14ac:dyDescent="0.3">
      <c r="A203" s="2"/>
      <c r="B203" s="18"/>
      <c r="C203" s="6">
        <v>14.03</v>
      </c>
      <c r="D203" s="6">
        <v>19.23</v>
      </c>
      <c r="E203" s="6">
        <v>25.03</v>
      </c>
      <c r="F203" s="6">
        <v>35.909999999999997</v>
      </c>
      <c r="G203" s="6"/>
    </row>
    <row r="204" spans="1:17" ht="15.75" customHeight="1" x14ac:dyDescent="0.3">
      <c r="A204" s="2"/>
      <c r="B204" s="18" t="s">
        <v>22</v>
      </c>
      <c r="C204" s="6">
        <v>12021</v>
      </c>
      <c r="D204" s="6">
        <v>14037</v>
      </c>
      <c r="E204" s="6">
        <v>15296</v>
      </c>
      <c r="F204" s="6">
        <v>17332</v>
      </c>
      <c r="G204" s="6">
        <v>58686</v>
      </c>
      <c r="I204" s="8">
        <f>C204</f>
        <v>12021</v>
      </c>
      <c r="J204" s="8">
        <f t="shared" ref="J204" si="224">D204</f>
        <v>14037</v>
      </c>
      <c r="K204" s="8">
        <f t="shared" ref="K204" si="225">E204</f>
        <v>15296</v>
      </c>
      <c r="L204" s="8">
        <f t="shared" ref="L204" si="226">F204</f>
        <v>17332</v>
      </c>
    </row>
    <row r="205" spans="1:17" ht="16.5" x14ac:dyDescent="0.3">
      <c r="A205" s="2"/>
      <c r="B205" s="18"/>
      <c r="C205" s="6">
        <v>20.48</v>
      </c>
      <c r="D205" s="6">
        <v>23.92</v>
      </c>
      <c r="E205" s="6">
        <v>26.06</v>
      </c>
      <c r="F205" s="6">
        <v>29.53</v>
      </c>
      <c r="G205" s="6">
        <v>100</v>
      </c>
      <c r="I205" s="8">
        <f>C207</f>
        <v>0</v>
      </c>
      <c r="J205" s="8">
        <f>D207</f>
        <v>0</v>
      </c>
      <c r="K205" s="8">
        <f>E207</f>
        <v>0</v>
      </c>
      <c r="L205" s="8">
        <f>F207</f>
        <v>0</v>
      </c>
    </row>
    <row r="206" spans="1:17" ht="16.5" x14ac:dyDescent="0.3">
      <c r="A206" s="2"/>
      <c r="B206" s="26"/>
      <c r="C206" s="26"/>
      <c r="D206" s="26"/>
      <c r="E206" s="26"/>
      <c r="F206" s="26"/>
      <c r="G206" s="26"/>
    </row>
    <row r="207" spans="1:17" ht="17.25" thickBot="1" x14ac:dyDescent="0.35">
      <c r="A207"/>
      <c r="B207"/>
      <c r="C207"/>
      <c r="D207"/>
      <c r="E207"/>
      <c r="F207"/>
      <c r="G207"/>
    </row>
    <row r="208" spans="1:17" ht="16.5" customHeight="1" x14ac:dyDescent="0.3">
      <c r="A208" s="5" t="s">
        <v>2</v>
      </c>
      <c r="B208" s="17" t="s">
        <v>40</v>
      </c>
      <c r="C208" s="19"/>
      <c r="D208" s="19"/>
      <c r="E208" s="19"/>
      <c r="F208" s="19"/>
      <c r="G208" s="19"/>
      <c r="I208" s="8">
        <f>C208</f>
        <v>0</v>
      </c>
      <c r="J208" s="8">
        <f t="shared" ref="J208" si="227">D208</f>
        <v>0</v>
      </c>
      <c r="K208" s="8">
        <f t="shared" ref="K208" si="228">E208</f>
        <v>0</v>
      </c>
      <c r="L208" s="8">
        <f t="shared" ref="L208" si="229">F208</f>
        <v>0</v>
      </c>
    </row>
    <row r="209" spans="1:17" ht="16.5" customHeight="1" x14ac:dyDescent="0.3">
      <c r="A209" s="4" t="s">
        <v>3</v>
      </c>
      <c r="B209" s="18" t="s">
        <v>27</v>
      </c>
      <c r="C209" s="20" t="s">
        <v>23</v>
      </c>
      <c r="D209" s="20"/>
      <c r="E209" s="20"/>
      <c r="F209" s="20"/>
      <c r="G209" s="20"/>
      <c r="I209" s="8">
        <f>C211</f>
        <v>10921</v>
      </c>
      <c r="J209" s="8">
        <f>D211</f>
        <v>11861</v>
      </c>
      <c r="K209" s="8">
        <f>E211</f>
        <v>11957</v>
      </c>
      <c r="L209" s="8">
        <f>F211</f>
        <v>12612</v>
      </c>
    </row>
    <row r="210" spans="1:17" ht="16.5" x14ac:dyDescent="0.3">
      <c r="A210" s="4" t="s">
        <v>19</v>
      </c>
      <c r="B210" s="18"/>
      <c r="C210" s="3">
        <v>1</v>
      </c>
      <c r="D210" s="3">
        <v>2</v>
      </c>
      <c r="E210" s="3">
        <v>3</v>
      </c>
      <c r="F210" s="3">
        <v>4</v>
      </c>
      <c r="G210" s="3" t="s">
        <v>22</v>
      </c>
    </row>
    <row r="211" spans="1:17" ht="33" x14ac:dyDescent="0.3">
      <c r="A211" s="4" t="s">
        <v>20</v>
      </c>
      <c r="B211" s="18">
        <v>0</v>
      </c>
      <c r="C211" s="6">
        <v>10921</v>
      </c>
      <c r="D211" s="6">
        <v>11861</v>
      </c>
      <c r="E211" s="6">
        <v>11957</v>
      </c>
      <c r="F211" s="6">
        <v>12612</v>
      </c>
      <c r="G211" s="6">
        <v>47351</v>
      </c>
      <c r="I211" s="8">
        <f>C211</f>
        <v>10921</v>
      </c>
      <c r="J211" s="8">
        <f t="shared" ref="J211" si="230">D211</f>
        <v>11861</v>
      </c>
      <c r="K211" s="8">
        <f t="shared" ref="K211" si="231">E211</f>
        <v>11957</v>
      </c>
      <c r="L211" s="8">
        <f t="shared" ref="L211" si="232">F211</f>
        <v>12612</v>
      </c>
      <c r="N211" s="8" t="str">
        <f>TEXT(I211,"#,##0")&amp;" ("&amp;TEXT(I212,"0.00")&amp;")"</f>
        <v>10,921 (90.85)</v>
      </c>
      <c r="O211" s="8" t="str">
        <f t="shared" ref="O211" si="233">TEXT(J211,"#,##0")&amp;" ("&amp;TEXT(J212,"0.00")&amp;")"</f>
        <v>11,861 (84.50)</v>
      </c>
      <c r="P211" s="8" t="str">
        <f t="shared" ref="P211" si="234">TEXT(K211,"#,##0")&amp;" ("&amp;TEXT(K212,"0.00")&amp;")"</f>
        <v>11,957 (78.17)</v>
      </c>
      <c r="Q211" s="8" t="str">
        <f t="shared" ref="Q211" si="235">TEXT(L211,"#,##0")&amp;" ("&amp;TEXT(L212,"0.00")&amp;")"</f>
        <v>12,612 (72.77)</v>
      </c>
    </row>
    <row r="212" spans="1:17" ht="16.5" x14ac:dyDescent="0.3">
      <c r="A212" s="2"/>
      <c r="B212" s="18"/>
      <c r="C212" s="6">
        <v>18.61</v>
      </c>
      <c r="D212" s="6">
        <v>20.21</v>
      </c>
      <c r="E212" s="6">
        <v>20.37</v>
      </c>
      <c r="F212" s="6">
        <v>21.49</v>
      </c>
      <c r="G212" s="6">
        <v>80.69</v>
      </c>
      <c r="I212" s="8">
        <f>C214</f>
        <v>90.85</v>
      </c>
      <c r="J212" s="8">
        <f>D214</f>
        <v>84.5</v>
      </c>
      <c r="K212" s="8">
        <f>E214</f>
        <v>78.17</v>
      </c>
      <c r="L212" s="8">
        <f>F214</f>
        <v>72.77</v>
      </c>
      <c r="N212" s="8" t="str">
        <f>TEXT(I215,"#,##0")&amp;" ("&amp;TEXT(I216,"0.00")&amp;")"</f>
        <v>1,100 (9.15)</v>
      </c>
      <c r="O212" s="8" t="str">
        <f t="shared" ref="O212" si="236">TEXT(J215,"#,##0")&amp;" ("&amp;TEXT(J216,"0.00")&amp;")"</f>
        <v>2,176 (15.50)</v>
      </c>
      <c r="P212" s="8" t="str">
        <f t="shared" ref="P212" si="237">TEXT(K215,"#,##0")&amp;" ("&amp;TEXT(K216,"0.00")&amp;")"</f>
        <v>3,339 (21.83)</v>
      </c>
      <c r="Q212" s="8" t="str">
        <f t="shared" ref="Q212" si="238">TEXT(L215,"#,##0")&amp;" ("&amp;TEXT(L216,"0.00")&amp;")"</f>
        <v>4,720 (27.23)</v>
      </c>
    </row>
    <row r="213" spans="1:17" ht="16.5" x14ac:dyDescent="0.3">
      <c r="A213" s="2"/>
      <c r="B213" s="18"/>
      <c r="C213" s="6">
        <v>23.06</v>
      </c>
      <c r="D213" s="6">
        <v>25.05</v>
      </c>
      <c r="E213" s="6">
        <v>25.25</v>
      </c>
      <c r="F213" s="6">
        <v>26.64</v>
      </c>
      <c r="G213" s="6"/>
      <c r="N213" s="8" t="str">
        <f>TEXT(I219,"#,##0")&amp;" ("&amp;TEXT(I220,"0.00")&amp;")"</f>
        <v>12,021 (0.00)</v>
      </c>
      <c r="O213" s="8" t="str">
        <f t="shared" ref="O213" si="239">TEXT(J219,"#,##0")&amp;" ("&amp;TEXT(J220,"0.00")&amp;")"</f>
        <v>14,037 (0.00)</v>
      </c>
      <c r="P213" s="8" t="str">
        <f t="shared" ref="P213" si="240">TEXT(K219,"#,##0")&amp;" ("&amp;TEXT(K220,"0.00")&amp;")"</f>
        <v>15,296 (0.00)</v>
      </c>
      <c r="Q213" s="8" t="str">
        <f t="shared" ref="Q213" si="241">TEXT(L219,"#,##0")&amp;" ("&amp;TEXT(L220,"0.00")&amp;")"</f>
        <v>17,332 (0.00)</v>
      </c>
    </row>
    <row r="214" spans="1:17" ht="16.5" x14ac:dyDescent="0.3">
      <c r="A214" s="2"/>
      <c r="B214" s="18"/>
      <c r="C214" s="6">
        <v>90.85</v>
      </c>
      <c r="D214" s="6">
        <v>84.5</v>
      </c>
      <c r="E214" s="6">
        <v>78.17</v>
      </c>
      <c r="F214" s="6">
        <v>72.77</v>
      </c>
      <c r="G214" s="6"/>
      <c r="N214" s="8" t="str">
        <f>TEXT(I223,"#,##0")&amp;" ("&amp;TEXT(I224,"0.00")&amp;")"</f>
        <v>0 (11753.00)</v>
      </c>
      <c r="O214" s="8" t="str">
        <f t="shared" ref="O214" si="242">TEXT(J223,"#,##0")&amp;" ("&amp;TEXT(J224,"0.00")&amp;")"</f>
        <v>0 (13388.00)</v>
      </c>
      <c r="P214" s="8" t="str">
        <f t="shared" ref="P214" si="243">TEXT(K223,"#,##0")&amp;" ("&amp;TEXT(K224,"0.00")&amp;")"</f>
        <v>0 (14037.00)</v>
      </c>
      <c r="Q214" s="8" t="str">
        <f t="shared" ref="Q214" si="244">TEXT(L223,"#,##0")&amp;" ("&amp;TEXT(L224,"0.00")&amp;")"</f>
        <v>0 (14441.00)</v>
      </c>
    </row>
    <row r="215" spans="1:17" ht="16.5" x14ac:dyDescent="0.3">
      <c r="A215" s="2"/>
      <c r="B215" s="18">
        <v>1</v>
      </c>
      <c r="C215" s="6">
        <v>1100</v>
      </c>
      <c r="D215" s="6">
        <v>2176</v>
      </c>
      <c r="E215" s="6">
        <v>3339</v>
      </c>
      <c r="F215" s="6">
        <v>4720</v>
      </c>
      <c r="G215" s="6">
        <v>11335</v>
      </c>
      <c r="I215" s="8">
        <f>C215</f>
        <v>1100</v>
      </c>
      <c r="J215" s="8">
        <f t="shared" ref="J215" si="245">D215</f>
        <v>2176</v>
      </c>
      <c r="K215" s="8">
        <f t="shared" ref="K215" si="246">E215</f>
        <v>3339</v>
      </c>
      <c r="L215" s="8">
        <f t="shared" ref="L215" si="247">F215</f>
        <v>4720</v>
      </c>
    </row>
    <row r="216" spans="1:17" ht="16.5" x14ac:dyDescent="0.3">
      <c r="A216" s="2"/>
      <c r="B216" s="18"/>
      <c r="C216" s="6">
        <v>1.87</v>
      </c>
      <c r="D216" s="6">
        <v>3.71</v>
      </c>
      <c r="E216" s="6">
        <v>5.69</v>
      </c>
      <c r="F216" s="6">
        <v>8.0399999999999991</v>
      </c>
      <c r="G216" s="6">
        <v>19.309999999999999</v>
      </c>
      <c r="I216" s="8">
        <f>C218</f>
        <v>9.15</v>
      </c>
      <c r="J216" s="8">
        <f>D218</f>
        <v>15.5</v>
      </c>
      <c r="K216" s="8">
        <f>E218</f>
        <v>21.83</v>
      </c>
      <c r="L216" s="8">
        <f>F218</f>
        <v>27.23</v>
      </c>
    </row>
    <row r="217" spans="1:17" ht="16.5" x14ac:dyDescent="0.3">
      <c r="A217" s="2"/>
      <c r="B217" s="18"/>
      <c r="C217" s="6">
        <v>9.6999999999999993</v>
      </c>
      <c r="D217" s="6">
        <v>19.2</v>
      </c>
      <c r="E217" s="6">
        <v>29.46</v>
      </c>
      <c r="F217" s="6">
        <v>41.64</v>
      </c>
      <c r="G217" s="6"/>
    </row>
    <row r="218" spans="1:17" ht="16.5" x14ac:dyDescent="0.3">
      <c r="A218" s="2"/>
      <c r="B218" s="18"/>
      <c r="C218" s="6">
        <v>9.15</v>
      </c>
      <c r="D218" s="6">
        <v>15.5</v>
      </c>
      <c r="E218" s="6">
        <v>21.83</v>
      </c>
      <c r="F218" s="6">
        <v>27.23</v>
      </c>
      <c r="G218" s="6"/>
    </row>
    <row r="219" spans="1:17" ht="15.75" customHeight="1" x14ac:dyDescent="0.3">
      <c r="A219" s="2"/>
      <c r="B219" s="18" t="s">
        <v>22</v>
      </c>
      <c r="C219" s="6">
        <v>12021</v>
      </c>
      <c r="D219" s="6">
        <v>14037</v>
      </c>
      <c r="E219" s="6">
        <v>15296</v>
      </c>
      <c r="F219" s="6">
        <v>17332</v>
      </c>
      <c r="G219" s="6">
        <v>58686</v>
      </c>
      <c r="I219" s="8">
        <f>C219</f>
        <v>12021</v>
      </c>
      <c r="J219" s="8">
        <f t="shared" ref="J219" si="248">D219</f>
        <v>14037</v>
      </c>
      <c r="K219" s="8">
        <f t="shared" ref="K219" si="249">E219</f>
        <v>15296</v>
      </c>
      <c r="L219" s="8">
        <f t="shared" ref="L219" si="250">F219</f>
        <v>17332</v>
      </c>
    </row>
    <row r="220" spans="1:17" ht="16.5" x14ac:dyDescent="0.3">
      <c r="A220" s="2"/>
      <c r="B220" s="18"/>
      <c r="C220" s="6">
        <v>20.48</v>
      </c>
      <c r="D220" s="6">
        <v>23.92</v>
      </c>
      <c r="E220" s="6">
        <v>26.06</v>
      </c>
      <c r="F220" s="6">
        <v>29.53</v>
      </c>
      <c r="G220" s="6">
        <v>100</v>
      </c>
      <c r="I220" s="8">
        <f>C222</f>
        <v>0</v>
      </c>
      <c r="J220" s="8">
        <f>D222</f>
        <v>0</v>
      </c>
      <c r="K220" s="8">
        <f>E222</f>
        <v>0</v>
      </c>
      <c r="L220" s="8">
        <f>F222</f>
        <v>0</v>
      </c>
    </row>
    <row r="221" spans="1:17" ht="16.5" x14ac:dyDescent="0.3">
      <c r="A221" s="2"/>
      <c r="B221" s="26"/>
      <c r="C221" s="26"/>
      <c r="D221" s="26"/>
      <c r="E221" s="26"/>
      <c r="F221" s="26"/>
      <c r="G221" s="26"/>
    </row>
    <row r="222" spans="1:17" ht="17.25" thickBot="1" x14ac:dyDescent="0.35">
      <c r="A222"/>
      <c r="B222"/>
      <c r="C222"/>
      <c r="D222"/>
      <c r="E222"/>
      <c r="F222"/>
      <c r="G222"/>
    </row>
    <row r="223" spans="1:17" ht="16.5" customHeight="1" x14ac:dyDescent="0.3">
      <c r="A223" s="5" t="s">
        <v>2</v>
      </c>
      <c r="B223" s="17" t="s">
        <v>41</v>
      </c>
      <c r="C223" s="19"/>
      <c r="D223" s="19"/>
      <c r="E223" s="19"/>
      <c r="F223" s="19"/>
      <c r="G223" s="19"/>
      <c r="I223" s="8">
        <f>C223</f>
        <v>0</v>
      </c>
      <c r="J223" s="8">
        <f t="shared" ref="J223" si="251">D223</f>
        <v>0</v>
      </c>
      <c r="K223" s="8">
        <f t="shared" ref="K223" si="252">E223</f>
        <v>0</v>
      </c>
      <c r="L223" s="8">
        <f t="shared" ref="L223" si="253">F223</f>
        <v>0</v>
      </c>
    </row>
    <row r="224" spans="1:17" ht="16.5" customHeight="1" x14ac:dyDescent="0.3">
      <c r="A224" s="4" t="s">
        <v>3</v>
      </c>
      <c r="B224" s="18" t="s">
        <v>28</v>
      </c>
      <c r="C224" s="20" t="s">
        <v>23</v>
      </c>
      <c r="D224" s="20"/>
      <c r="E224" s="20"/>
      <c r="F224" s="20"/>
      <c r="G224" s="20"/>
      <c r="I224" s="8">
        <f>C226</f>
        <v>11753</v>
      </c>
      <c r="J224" s="8">
        <f>D226</f>
        <v>13388</v>
      </c>
      <c r="K224" s="8">
        <f>E226</f>
        <v>14037</v>
      </c>
      <c r="L224" s="8">
        <f>F226</f>
        <v>14441</v>
      </c>
    </row>
    <row r="225" spans="1:17" ht="16.5" x14ac:dyDescent="0.3">
      <c r="A225" s="4" t="s">
        <v>19</v>
      </c>
      <c r="B225" s="18"/>
      <c r="C225" s="3">
        <v>1</v>
      </c>
      <c r="D225" s="3">
        <v>2</v>
      </c>
      <c r="E225" s="3">
        <v>3</v>
      </c>
      <c r="F225" s="3">
        <v>4</v>
      </c>
      <c r="G225" s="3" t="s">
        <v>22</v>
      </c>
    </row>
    <row r="226" spans="1:17" ht="33" x14ac:dyDescent="0.3">
      <c r="A226" s="4" t="s">
        <v>20</v>
      </c>
      <c r="B226" s="18">
        <v>0</v>
      </c>
      <c r="C226" s="6">
        <v>11753</v>
      </c>
      <c r="D226" s="6">
        <v>13388</v>
      </c>
      <c r="E226" s="6">
        <v>14037</v>
      </c>
      <c r="F226" s="6">
        <v>14441</v>
      </c>
      <c r="G226" s="6">
        <v>53619</v>
      </c>
      <c r="I226" s="8">
        <f>C226</f>
        <v>11753</v>
      </c>
      <c r="J226" s="8">
        <f t="shared" ref="J226" si="254">D226</f>
        <v>13388</v>
      </c>
      <c r="K226" s="8">
        <f t="shared" ref="K226" si="255">E226</f>
        <v>14037</v>
      </c>
      <c r="L226" s="8">
        <f t="shared" ref="L226" si="256">F226</f>
        <v>14441</v>
      </c>
      <c r="N226" s="8" t="str">
        <f>TEXT(I226,"#,##0")&amp;" ("&amp;TEXT(I227,"0.00")&amp;")"</f>
        <v>11,753 (97.77)</v>
      </c>
      <c r="O226" s="8" t="str">
        <f t="shared" ref="O226" si="257">TEXT(J226,"#,##0")&amp;" ("&amp;TEXT(J227,"0.00")&amp;")"</f>
        <v>13,388 (95.38)</v>
      </c>
      <c r="P226" s="8" t="str">
        <f t="shared" ref="P226" si="258">TEXT(K226,"#,##0")&amp;" ("&amp;TEXT(K227,"0.00")&amp;")"</f>
        <v>14,037 (91.77)</v>
      </c>
      <c r="Q226" s="8" t="str">
        <f t="shared" ref="Q226" si="259">TEXT(L226,"#,##0")&amp;" ("&amp;TEXT(L227,"0.00")&amp;")"</f>
        <v>14,441 (83.32)</v>
      </c>
    </row>
    <row r="227" spans="1:17" ht="16.5" x14ac:dyDescent="0.3">
      <c r="A227" s="2"/>
      <c r="B227" s="18"/>
      <c r="C227" s="6">
        <v>20.03</v>
      </c>
      <c r="D227" s="6">
        <v>22.81</v>
      </c>
      <c r="E227" s="6">
        <v>23.92</v>
      </c>
      <c r="F227" s="6">
        <v>24.61</v>
      </c>
      <c r="G227" s="6">
        <v>91.37</v>
      </c>
      <c r="I227" s="8">
        <f>C229</f>
        <v>97.77</v>
      </c>
      <c r="J227" s="8">
        <f>D229</f>
        <v>95.38</v>
      </c>
      <c r="K227" s="8">
        <f>E229</f>
        <v>91.77</v>
      </c>
      <c r="L227" s="8">
        <f>F229</f>
        <v>83.32</v>
      </c>
      <c r="N227" s="8" t="str">
        <f>TEXT(I230,"#,##0")&amp;" ("&amp;TEXT(I231,"0.00")&amp;")"</f>
        <v>268 (2.23)</v>
      </c>
      <c r="O227" s="8" t="str">
        <f t="shared" ref="O227" si="260">TEXT(J230,"#,##0")&amp;" ("&amp;TEXT(J231,"0.00")&amp;")"</f>
        <v>649 (4.62)</v>
      </c>
      <c r="P227" s="8" t="str">
        <f t="shared" ref="P227" si="261">TEXT(K230,"#,##0")&amp;" ("&amp;TEXT(K231,"0.00")&amp;")"</f>
        <v>1,259 (8.23)</v>
      </c>
      <c r="Q227" s="8" t="str">
        <f t="shared" ref="Q227" si="262">TEXT(L230,"#,##0")&amp;" ("&amp;TEXT(L231,"0.00")&amp;")"</f>
        <v>2,891 (16.68)</v>
      </c>
    </row>
    <row r="228" spans="1:17" ht="16.5" x14ac:dyDescent="0.3">
      <c r="A228" s="2"/>
      <c r="B228" s="18"/>
      <c r="C228" s="6">
        <v>21.92</v>
      </c>
      <c r="D228" s="6">
        <v>24.97</v>
      </c>
      <c r="E228" s="6">
        <v>26.18</v>
      </c>
      <c r="F228" s="6">
        <v>26.93</v>
      </c>
      <c r="G228" s="6"/>
      <c r="N228" s="8" t="str">
        <f>TEXT(I234,"#,##0")&amp;" ("&amp;TEXT(I235,"0.00")&amp;")"</f>
        <v>12,021 (0.00)</v>
      </c>
      <c r="O228" s="8" t="str">
        <f t="shared" ref="O228" si="263">TEXT(J234,"#,##0")&amp;" ("&amp;TEXT(J235,"0.00")&amp;")"</f>
        <v>14,037 (0.00)</v>
      </c>
      <c r="P228" s="8" t="str">
        <f t="shared" ref="P228" si="264">TEXT(K234,"#,##0")&amp;" ("&amp;TEXT(K235,"0.00")&amp;")"</f>
        <v>15,296 (0.00)</v>
      </c>
      <c r="Q228" s="8" t="str">
        <f t="shared" ref="Q228" si="265">TEXT(L234,"#,##0")&amp;" ("&amp;TEXT(L235,"0.00")&amp;")"</f>
        <v>17,332 (0.00)</v>
      </c>
    </row>
    <row r="229" spans="1:17" ht="16.5" x14ac:dyDescent="0.3">
      <c r="A229" s="2"/>
      <c r="B229" s="18"/>
      <c r="C229" s="6">
        <v>97.77</v>
      </c>
      <c r="D229" s="6">
        <v>95.38</v>
      </c>
      <c r="E229" s="6">
        <v>91.77</v>
      </c>
      <c r="F229" s="6">
        <v>83.32</v>
      </c>
      <c r="G229" s="6"/>
      <c r="N229" s="8" t="str">
        <f>TEXT(I238,"#,##0")&amp;" ("&amp;TEXT(I239,"0.00")&amp;")"</f>
        <v>0 (10766.00)</v>
      </c>
      <c r="O229" s="8" t="str">
        <f t="shared" ref="O229" si="266">TEXT(J238,"#,##0")&amp;" ("&amp;TEXT(J239,"0.00")&amp;")"</f>
        <v>0 (11617.00)</v>
      </c>
      <c r="P229" s="8" t="str">
        <f t="shared" ref="P229" si="267">TEXT(K238,"#,##0")&amp;" ("&amp;TEXT(K239,"0.00")&amp;")"</f>
        <v>0 (11647.00)</v>
      </c>
      <c r="Q229" s="8" t="str">
        <f t="shared" ref="Q229" si="268">TEXT(L238,"#,##0")&amp;" ("&amp;TEXT(L239,"0.00")&amp;")"</f>
        <v>0 (12116.00)</v>
      </c>
    </row>
    <row r="230" spans="1:17" ht="16.5" x14ac:dyDescent="0.3">
      <c r="A230" s="2"/>
      <c r="B230" s="18">
        <v>1</v>
      </c>
      <c r="C230" s="6">
        <v>268</v>
      </c>
      <c r="D230" s="6">
        <v>649</v>
      </c>
      <c r="E230" s="6">
        <v>1259</v>
      </c>
      <c r="F230" s="6">
        <v>2891</v>
      </c>
      <c r="G230" s="6">
        <v>5067</v>
      </c>
      <c r="I230" s="8">
        <f>C230</f>
        <v>268</v>
      </c>
      <c r="J230" s="8">
        <f t="shared" ref="J230" si="269">D230</f>
        <v>649</v>
      </c>
      <c r="K230" s="8">
        <f t="shared" ref="K230" si="270">E230</f>
        <v>1259</v>
      </c>
      <c r="L230" s="8">
        <f t="shared" ref="L230" si="271">F230</f>
        <v>2891</v>
      </c>
    </row>
    <row r="231" spans="1:17" ht="16.5" x14ac:dyDescent="0.3">
      <c r="A231" s="2"/>
      <c r="B231" s="18"/>
      <c r="C231" s="6">
        <v>0.46</v>
      </c>
      <c r="D231" s="6">
        <v>1.1100000000000001</v>
      </c>
      <c r="E231" s="6">
        <v>2.15</v>
      </c>
      <c r="F231" s="6">
        <v>4.93</v>
      </c>
      <c r="G231" s="6">
        <v>8.6300000000000008</v>
      </c>
      <c r="I231" s="8">
        <f>C233</f>
        <v>2.23</v>
      </c>
      <c r="J231" s="8">
        <f>D233</f>
        <v>4.62</v>
      </c>
      <c r="K231" s="8">
        <f>E233</f>
        <v>8.23</v>
      </c>
      <c r="L231" s="8">
        <f>F233</f>
        <v>16.68</v>
      </c>
    </row>
    <row r="232" spans="1:17" ht="16.5" x14ac:dyDescent="0.3">
      <c r="A232" s="2"/>
      <c r="B232" s="18"/>
      <c r="C232" s="6">
        <v>5.29</v>
      </c>
      <c r="D232" s="6">
        <v>12.81</v>
      </c>
      <c r="E232" s="6">
        <v>24.85</v>
      </c>
      <c r="F232" s="6">
        <v>57.06</v>
      </c>
      <c r="G232" s="6"/>
    </row>
    <row r="233" spans="1:17" ht="16.5" x14ac:dyDescent="0.3">
      <c r="A233" s="2"/>
      <c r="B233" s="18"/>
      <c r="C233" s="6">
        <v>2.23</v>
      </c>
      <c r="D233" s="6">
        <v>4.62</v>
      </c>
      <c r="E233" s="6">
        <v>8.23</v>
      </c>
      <c r="F233" s="6">
        <v>16.68</v>
      </c>
      <c r="G233" s="6"/>
    </row>
    <row r="234" spans="1:17" ht="15.75" customHeight="1" x14ac:dyDescent="0.3">
      <c r="A234" s="2"/>
      <c r="B234" s="18" t="s">
        <v>22</v>
      </c>
      <c r="C234" s="6">
        <v>12021</v>
      </c>
      <c r="D234" s="6">
        <v>14037</v>
      </c>
      <c r="E234" s="6">
        <v>15296</v>
      </c>
      <c r="F234" s="6">
        <v>17332</v>
      </c>
      <c r="G234" s="6">
        <v>58686</v>
      </c>
      <c r="I234" s="8">
        <f>C234</f>
        <v>12021</v>
      </c>
      <c r="J234" s="8">
        <f t="shared" ref="J234" si="272">D234</f>
        <v>14037</v>
      </c>
      <c r="K234" s="8">
        <f t="shared" ref="K234" si="273">E234</f>
        <v>15296</v>
      </c>
      <c r="L234" s="8">
        <f t="shared" ref="L234" si="274">F234</f>
        <v>17332</v>
      </c>
    </row>
    <row r="235" spans="1:17" ht="16.5" x14ac:dyDescent="0.3">
      <c r="A235" s="2"/>
      <c r="B235" s="18"/>
      <c r="C235" s="6">
        <v>20.48</v>
      </c>
      <c r="D235" s="6">
        <v>23.92</v>
      </c>
      <c r="E235" s="6">
        <v>26.06</v>
      </c>
      <c r="F235" s="6">
        <v>29.53</v>
      </c>
      <c r="G235" s="6">
        <v>100</v>
      </c>
      <c r="I235" s="8">
        <f>C237</f>
        <v>0</v>
      </c>
      <c r="J235" s="8">
        <f>D237</f>
        <v>0</v>
      </c>
      <c r="K235" s="8">
        <f>E237</f>
        <v>0</v>
      </c>
      <c r="L235" s="8">
        <f>F237</f>
        <v>0</v>
      </c>
    </row>
    <row r="236" spans="1:17" ht="16.5" x14ac:dyDescent="0.3">
      <c r="A236" s="2"/>
      <c r="B236" s="26"/>
      <c r="C236" s="26"/>
      <c r="D236" s="26"/>
      <c r="E236" s="26"/>
      <c r="F236" s="26"/>
      <c r="G236" s="26"/>
    </row>
    <row r="237" spans="1:17" ht="17.25" thickBot="1" x14ac:dyDescent="0.35">
      <c r="A237"/>
      <c r="B237"/>
      <c r="C237"/>
      <c r="D237"/>
      <c r="E237"/>
      <c r="F237"/>
      <c r="G237"/>
    </row>
    <row r="238" spans="1:17" ht="16.5" customHeight="1" x14ac:dyDescent="0.3">
      <c r="A238" s="5" t="s">
        <v>2</v>
      </c>
      <c r="B238" s="17" t="s">
        <v>42</v>
      </c>
      <c r="C238" s="19"/>
      <c r="D238" s="19"/>
      <c r="E238" s="19"/>
      <c r="F238" s="19"/>
      <c r="G238" s="19"/>
      <c r="I238" s="8">
        <f>C238</f>
        <v>0</v>
      </c>
      <c r="J238" s="8">
        <f t="shared" ref="J238" si="275">D238</f>
        <v>0</v>
      </c>
      <c r="K238" s="8">
        <f t="shared" ref="K238" si="276">E238</f>
        <v>0</v>
      </c>
      <c r="L238" s="8">
        <f t="shared" ref="L238" si="277">F238</f>
        <v>0</v>
      </c>
    </row>
    <row r="239" spans="1:17" ht="16.5" customHeight="1" x14ac:dyDescent="0.3">
      <c r="A239" s="4" t="s">
        <v>3</v>
      </c>
      <c r="B239" s="18" t="s">
        <v>14</v>
      </c>
      <c r="C239" s="20" t="s">
        <v>23</v>
      </c>
      <c r="D239" s="20"/>
      <c r="E239" s="20"/>
      <c r="F239" s="20"/>
      <c r="G239" s="20"/>
      <c r="I239" s="8">
        <f>C241</f>
        <v>10766</v>
      </c>
      <c r="J239" s="8">
        <f>D241</f>
        <v>11617</v>
      </c>
      <c r="K239" s="8">
        <f>E241</f>
        <v>11647</v>
      </c>
      <c r="L239" s="8">
        <f>F241</f>
        <v>12116</v>
      </c>
    </row>
    <row r="240" spans="1:17" ht="16.5" x14ac:dyDescent="0.3">
      <c r="A240" s="4" t="s">
        <v>19</v>
      </c>
      <c r="B240" s="18"/>
      <c r="C240" s="3">
        <v>1</v>
      </c>
      <c r="D240" s="3">
        <v>2</v>
      </c>
      <c r="E240" s="3">
        <v>3</v>
      </c>
      <c r="F240" s="3">
        <v>4</v>
      </c>
      <c r="G240" s="3" t="s">
        <v>22</v>
      </c>
    </row>
    <row r="241" spans="1:17" ht="33" x14ac:dyDescent="0.3">
      <c r="A241" s="4" t="s">
        <v>20</v>
      </c>
      <c r="B241" s="18">
        <v>0</v>
      </c>
      <c r="C241" s="6">
        <v>10766</v>
      </c>
      <c r="D241" s="6">
        <v>11617</v>
      </c>
      <c r="E241" s="6">
        <v>11647</v>
      </c>
      <c r="F241" s="6">
        <v>12116</v>
      </c>
      <c r="G241" s="6">
        <v>46146</v>
      </c>
      <c r="I241" s="8">
        <f>C241</f>
        <v>10766</v>
      </c>
      <c r="J241" s="8">
        <f t="shared" ref="J241" si="278">D241</f>
        <v>11617</v>
      </c>
      <c r="K241" s="8">
        <f t="shared" ref="K241" si="279">E241</f>
        <v>11647</v>
      </c>
      <c r="L241" s="8">
        <f t="shared" ref="L241" si="280">F241</f>
        <v>12116</v>
      </c>
      <c r="N241" s="8" t="str">
        <f>TEXT(I241,"#,##0")&amp;" ("&amp;TEXT(I242,"0.00")&amp;")"</f>
        <v>10,766 (89.56)</v>
      </c>
      <c r="O241" s="8" t="str">
        <f t="shared" ref="O241" si="281">TEXT(J241,"#,##0")&amp;" ("&amp;TEXT(J242,"0.00")&amp;")"</f>
        <v>11,617 (82.76)</v>
      </c>
      <c r="P241" s="8" t="str">
        <f t="shared" ref="P241" si="282">TEXT(K241,"#,##0")&amp;" ("&amp;TEXT(K242,"0.00")&amp;")"</f>
        <v>11,647 (76.14)</v>
      </c>
      <c r="Q241" s="8" t="str">
        <f t="shared" ref="Q241" si="283">TEXT(L241,"#,##0")&amp;" ("&amp;TEXT(L242,"0.00")&amp;")"</f>
        <v>12,116 (69.91)</v>
      </c>
    </row>
    <row r="242" spans="1:17" ht="16.5" x14ac:dyDescent="0.3">
      <c r="A242" s="2"/>
      <c r="B242" s="18"/>
      <c r="C242" s="6">
        <v>18.350000000000001</v>
      </c>
      <c r="D242" s="6">
        <v>19.8</v>
      </c>
      <c r="E242" s="6">
        <v>19.850000000000001</v>
      </c>
      <c r="F242" s="6">
        <v>20.65</v>
      </c>
      <c r="G242" s="6">
        <v>78.63</v>
      </c>
      <c r="I242" s="8">
        <f>C244</f>
        <v>89.56</v>
      </c>
      <c r="J242" s="8">
        <f>D244</f>
        <v>82.76</v>
      </c>
      <c r="K242" s="8">
        <f>E244</f>
        <v>76.14</v>
      </c>
      <c r="L242" s="8">
        <f>F244</f>
        <v>69.91</v>
      </c>
      <c r="N242" s="8" t="str">
        <f>TEXT(I245,"#,##0")&amp;" ("&amp;TEXT(I246,"0.00")&amp;")"</f>
        <v>1,255 (10.44)</v>
      </c>
      <c r="O242" s="8" t="str">
        <f t="shared" ref="O242" si="284">TEXT(J245,"#,##0")&amp;" ("&amp;TEXT(J246,"0.00")&amp;")"</f>
        <v>2,420 (17.24)</v>
      </c>
      <c r="P242" s="8" t="str">
        <f t="shared" ref="P242" si="285">TEXT(K245,"#,##0")&amp;" ("&amp;TEXT(K246,"0.00")&amp;")"</f>
        <v>3,649 (23.86)</v>
      </c>
      <c r="Q242" s="8" t="str">
        <f t="shared" ref="Q242" si="286">TEXT(L245,"#,##0")&amp;" ("&amp;TEXT(L246,"0.00")&amp;")"</f>
        <v>5,216 (30.09)</v>
      </c>
    </row>
    <row r="243" spans="1:17" ht="16.5" x14ac:dyDescent="0.3">
      <c r="A243" s="2"/>
      <c r="B243" s="18"/>
      <c r="C243" s="6">
        <v>23.33</v>
      </c>
      <c r="D243" s="6">
        <v>25.17</v>
      </c>
      <c r="E243" s="6">
        <v>25.24</v>
      </c>
      <c r="F243" s="6">
        <v>26.26</v>
      </c>
      <c r="G243" s="6"/>
      <c r="N243" s="8" t="str">
        <f>TEXT(I249,"#,##0")&amp;" ("&amp;TEXT(I250,"0.00")&amp;")"</f>
        <v>12,021 (0.00)</v>
      </c>
      <c r="O243" s="8" t="str">
        <f t="shared" ref="O243" si="287">TEXT(J249,"#,##0")&amp;" ("&amp;TEXT(J250,"0.00")&amp;")"</f>
        <v>14,037 (0.00)</v>
      </c>
      <c r="P243" s="8" t="str">
        <f t="shared" ref="P243" si="288">TEXT(K249,"#,##0")&amp;" ("&amp;TEXT(K250,"0.00")&amp;")"</f>
        <v>15,296 (0.00)</v>
      </c>
      <c r="Q243" s="8" t="str">
        <f t="shared" ref="Q243" si="289">TEXT(L249,"#,##0")&amp;" ("&amp;TEXT(L250,"0.00")&amp;")"</f>
        <v>17,332 (0.00)</v>
      </c>
    </row>
    <row r="244" spans="1:17" ht="16.5" x14ac:dyDescent="0.3">
      <c r="A244" s="2"/>
      <c r="B244" s="18"/>
      <c r="C244" s="6">
        <v>89.56</v>
      </c>
      <c r="D244" s="6">
        <v>82.76</v>
      </c>
      <c r="E244" s="6">
        <v>76.14</v>
      </c>
      <c r="F244" s="6">
        <v>69.91</v>
      </c>
      <c r="G244" s="6"/>
      <c r="N244" s="8" t="str">
        <f>TEXT(I253,"#,##0")&amp;" ("&amp;TEXT(I254,"0.00")&amp;")"</f>
        <v>0 (11125.00)</v>
      </c>
      <c r="O244" s="8" t="str">
        <f t="shared" ref="O244" si="290">TEXT(J253,"#,##0")&amp;" ("&amp;TEXT(J254,"0.00")&amp;")"</f>
        <v>0 (12178.00)</v>
      </c>
      <c r="P244" s="8" t="str">
        <f t="shared" ref="P244" si="291">TEXT(K253,"#,##0")&amp;" ("&amp;TEXT(K254,"0.00")&amp;")"</f>
        <v>0 (12516.00)</v>
      </c>
      <c r="Q244" s="8" t="str">
        <f t="shared" ref="Q244" si="292">TEXT(L253,"#,##0")&amp;" ("&amp;TEXT(L254,"0.00")&amp;")"</f>
        <v>0 (13439.00)</v>
      </c>
    </row>
    <row r="245" spans="1:17" ht="16.5" x14ac:dyDescent="0.3">
      <c r="A245" s="2"/>
      <c r="B245" s="18">
        <v>1</v>
      </c>
      <c r="C245" s="6">
        <v>1255</v>
      </c>
      <c r="D245" s="6">
        <v>2420</v>
      </c>
      <c r="E245" s="6">
        <v>3649</v>
      </c>
      <c r="F245" s="6">
        <v>5216</v>
      </c>
      <c r="G245" s="6">
        <v>12540</v>
      </c>
      <c r="I245" s="8">
        <f>C245</f>
        <v>1255</v>
      </c>
      <c r="J245" s="8">
        <f t="shared" ref="J245" si="293">D245</f>
        <v>2420</v>
      </c>
      <c r="K245" s="8">
        <f t="shared" ref="K245" si="294">E245</f>
        <v>3649</v>
      </c>
      <c r="L245" s="8">
        <f t="shared" ref="L245" si="295">F245</f>
        <v>5216</v>
      </c>
    </row>
    <row r="246" spans="1:17" ht="16.5" x14ac:dyDescent="0.3">
      <c r="A246" s="2"/>
      <c r="B246" s="18"/>
      <c r="C246" s="6">
        <v>2.14</v>
      </c>
      <c r="D246" s="6">
        <v>4.12</v>
      </c>
      <c r="E246" s="6">
        <v>6.22</v>
      </c>
      <c r="F246" s="6">
        <v>8.89</v>
      </c>
      <c r="G246" s="6">
        <v>21.37</v>
      </c>
      <c r="I246" s="8">
        <f>C248</f>
        <v>10.44</v>
      </c>
      <c r="J246" s="8">
        <f>D248</f>
        <v>17.239999999999998</v>
      </c>
      <c r="K246" s="8">
        <f>E248</f>
        <v>23.86</v>
      </c>
      <c r="L246" s="8">
        <f>F248</f>
        <v>30.09</v>
      </c>
    </row>
    <row r="247" spans="1:17" ht="16.5" x14ac:dyDescent="0.3">
      <c r="A247" s="2"/>
      <c r="B247" s="18"/>
      <c r="C247" s="6">
        <v>10.01</v>
      </c>
      <c r="D247" s="6">
        <v>19.3</v>
      </c>
      <c r="E247" s="6">
        <v>29.1</v>
      </c>
      <c r="F247" s="6">
        <v>41.59</v>
      </c>
      <c r="G247" s="6"/>
    </row>
    <row r="248" spans="1:17" ht="16.5" x14ac:dyDescent="0.3">
      <c r="A248" s="2"/>
      <c r="B248" s="18"/>
      <c r="C248" s="6">
        <v>10.44</v>
      </c>
      <c r="D248" s="6">
        <v>17.239999999999998</v>
      </c>
      <c r="E248" s="6">
        <v>23.86</v>
      </c>
      <c r="F248" s="6">
        <v>30.09</v>
      </c>
      <c r="G248" s="6"/>
    </row>
    <row r="249" spans="1:17" ht="15.75" customHeight="1" x14ac:dyDescent="0.3">
      <c r="A249" s="2"/>
      <c r="B249" s="18" t="s">
        <v>22</v>
      </c>
      <c r="C249" s="6">
        <v>12021</v>
      </c>
      <c r="D249" s="6">
        <v>14037</v>
      </c>
      <c r="E249" s="6">
        <v>15296</v>
      </c>
      <c r="F249" s="6">
        <v>17332</v>
      </c>
      <c r="G249" s="6">
        <v>58686</v>
      </c>
      <c r="I249" s="8">
        <f>C249</f>
        <v>12021</v>
      </c>
      <c r="J249" s="8">
        <f t="shared" ref="J249" si="296">D249</f>
        <v>14037</v>
      </c>
      <c r="K249" s="8">
        <f t="shared" ref="K249" si="297">E249</f>
        <v>15296</v>
      </c>
      <c r="L249" s="8">
        <f t="shared" ref="L249" si="298">F249</f>
        <v>17332</v>
      </c>
    </row>
    <row r="250" spans="1:17" ht="16.5" x14ac:dyDescent="0.3">
      <c r="A250" s="2"/>
      <c r="B250" s="18"/>
      <c r="C250" s="6">
        <v>20.48</v>
      </c>
      <c r="D250" s="6">
        <v>23.92</v>
      </c>
      <c r="E250" s="6">
        <v>26.06</v>
      </c>
      <c r="F250" s="6">
        <v>29.53</v>
      </c>
      <c r="G250" s="6">
        <v>100</v>
      </c>
      <c r="I250" s="8">
        <f>C252</f>
        <v>0</v>
      </c>
      <c r="J250" s="8">
        <f>D252</f>
        <v>0</v>
      </c>
      <c r="K250" s="8">
        <f>E252</f>
        <v>0</v>
      </c>
      <c r="L250" s="8">
        <f>F252</f>
        <v>0</v>
      </c>
    </row>
    <row r="251" spans="1:17" ht="16.5" x14ac:dyDescent="0.3">
      <c r="A251" s="2"/>
      <c r="B251" s="26"/>
      <c r="C251" s="26"/>
      <c r="D251" s="26"/>
      <c r="E251" s="26"/>
      <c r="F251" s="26"/>
      <c r="G251" s="26"/>
    </row>
    <row r="252" spans="1:17" ht="17.25" thickBot="1" x14ac:dyDescent="0.35">
      <c r="A252"/>
      <c r="B252"/>
      <c r="C252"/>
      <c r="D252"/>
      <c r="E252"/>
      <c r="F252"/>
      <c r="G252"/>
    </row>
    <row r="253" spans="1:17" ht="16.5" customHeight="1" x14ac:dyDescent="0.3">
      <c r="A253" s="5" t="s">
        <v>2</v>
      </c>
      <c r="B253" s="17" t="s">
        <v>43</v>
      </c>
      <c r="C253" s="19"/>
      <c r="D253" s="19"/>
      <c r="E253" s="19"/>
      <c r="F253" s="19"/>
      <c r="G253" s="19"/>
      <c r="I253" s="8">
        <f>C253</f>
        <v>0</v>
      </c>
      <c r="J253" s="8">
        <f t="shared" ref="J253" si="299">D253</f>
        <v>0</v>
      </c>
      <c r="K253" s="8">
        <f t="shared" ref="K253" si="300">E253</f>
        <v>0</v>
      </c>
      <c r="L253" s="8">
        <f t="shared" ref="L253" si="301">F253</f>
        <v>0</v>
      </c>
    </row>
    <row r="254" spans="1:17" ht="16.5" customHeight="1" x14ac:dyDescent="0.3">
      <c r="A254" s="4" t="s">
        <v>3</v>
      </c>
      <c r="B254" s="18" t="s">
        <v>15</v>
      </c>
      <c r="C254" s="20" t="s">
        <v>23</v>
      </c>
      <c r="D254" s="20"/>
      <c r="E254" s="20"/>
      <c r="F254" s="20"/>
      <c r="G254" s="20"/>
      <c r="I254" s="8">
        <f>C256</f>
        <v>11125</v>
      </c>
      <c r="J254" s="8">
        <f>D256</f>
        <v>12178</v>
      </c>
      <c r="K254" s="8">
        <f>E256</f>
        <v>12516</v>
      </c>
      <c r="L254" s="8">
        <f>F256</f>
        <v>13439</v>
      </c>
    </row>
    <row r="255" spans="1:17" ht="16.5" x14ac:dyDescent="0.3">
      <c r="A255" s="4" t="s">
        <v>19</v>
      </c>
      <c r="B255" s="18"/>
      <c r="C255" s="3">
        <v>1</v>
      </c>
      <c r="D255" s="3">
        <v>2</v>
      </c>
      <c r="E255" s="3">
        <v>3</v>
      </c>
      <c r="F255" s="3">
        <v>4</v>
      </c>
      <c r="G255" s="3" t="s">
        <v>22</v>
      </c>
    </row>
    <row r="256" spans="1:17" ht="33" x14ac:dyDescent="0.3">
      <c r="A256" s="4" t="s">
        <v>20</v>
      </c>
      <c r="B256" s="18">
        <v>0</v>
      </c>
      <c r="C256" s="6">
        <v>11125</v>
      </c>
      <c r="D256" s="6">
        <v>12178</v>
      </c>
      <c r="E256" s="6">
        <v>12516</v>
      </c>
      <c r="F256" s="6">
        <v>13439</v>
      </c>
      <c r="G256" s="6">
        <v>49258</v>
      </c>
      <c r="I256" s="8">
        <f>C256</f>
        <v>11125</v>
      </c>
      <c r="J256" s="8">
        <f t="shared" ref="J256" si="302">D256</f>
        <v>12178</v>
      </c>
      <c r="K256" s="8">
        <f t="shared" ref="K256" si="303">E256</f>
        <v>12516</v>
      </c>
      <c r="L256" s="8">
        <f t="shared" ref="L256" si="304">F256</f>
        <v>13439</v>
      </c>
      <c r="N256" s="8" t="str">
        <f>TEXT(I256,"#,##0")&amp;" ("&amp;TEXT(I257,"0.00")&amp;")"</f>
        <v>11,125 (92.55)</v>
      </c>
      <c r="O256" s="8" t="str">
        <f t="shared" ref="O256" si="305">TEXT(J256,"#,##0")&amp;" ("&amp;TEXT(J257,"0.00")&amp;")"</f>
        <v>12,178 (86.76)</v>
      </c>
      <c r="P256" s="8" t="str">
        <f t="shared" ref="P256" si="306">TEXT(K256,"#,##0")&amp;" ("&amp;TEXT(K257,"0.00")&amp;")"</f>
        <v>12,516 (81.83)</v>
      </c>
      <c r="Q256" s="8" t="str">
        <f t="shared" ref="Q256" si="307">TEXT(L256,"#,##0")&amp;" ("&amp;TEXT(L257,"0.00")&amp;")"</f>
        <v>13,439 (77.54)</v>
      </c>
    </row>
    <row r="257" spans="1:17" ht="16.5" x14ac:dyDescent="0.3">
      <c r="A257" s="2"/>
      <c r="B257" s="18"/>
      <c r="C257" s="6">
        <v>18.96</v>
      </c>
      <c r="D257" s="6">
        <v>20.75</v>
      </c>
      <c r="E257" s="6">
        <v>21.33</v>
      </c>
      <c r="F257" s="6">
        <v>22.9</v>
      </c>
      <c r="G257" s="6">
        <v>83.93</v>
      </c>
      <c r="I257" s="8">
        <f>C259</f>
        <v>92.55</v>
      </c>
      <c r="J257" s="8">
        <f>D259</f>
        <v>86.76</v>
      </c>
      <c r="K257" s="8">
        <f>E259</f>
        <v>81.83</v>
      </c>
      <c r="L257" s="8">
        <f>F259</f>
        <v>77.540000000000006</v>
      </c>
      <c r="N257" s="8" t="str">
        <f>TEXT(I260,"#,##0")&amp;" ("&amp;TEXT(I261,"0.00")&amp;")"</f>
        <v>896 (7.45)</v>
      </c>
      <c r="O257" s="8" t="str">
        <f t="shared" ref="O257" si="308">TEXT(J260,"#,##0")&amp;" ("&amp;TEXT(J261,"0.00")&amp;")"</f>
        <v>1,859 (13.24)</v>
      </c>
      <c r="P257" s="8" t="str">
        <f t="shared" ref="P257" si="309">TEXT(K260,"#,##0")&amp;" ("&amp;TEXT(K261,"0.00")&amp;")"</f>
        <v>2,780 (18.17)</v>
      </c>
      <c r="Q257" s="8" t="str">
        <f t="shared" ref="Q257" si="310">TEXT(L260,"#,##0")&amp;" ("&amp;TEXT(L261,"0.00")&amp;")"</f>
        <v>3,893 (22.46)</v>
      </c>
    </row>
    <row r="258" spans="1:17" ht="16.5" x14ac:dyDescent="0.3">
      <c r="A258" s="2"/>
      <c r="B258" s="18"/>
      <c r="C258" s="6">
        <v>22.59</v>
      </c>
      <c r="D258" s="6">
        <v>24.72</v>
      </c>
      <c r="E258" s="6">
        <v>25.41</v>
      </c>
      <c r="F258" s="6">
        <v>27.28</v>
      </c>
      <c r="G258" s="6"/>
      <c r="N258" s="8" t="str">
        <f>TEXT(I264,"#,##0")&amp;" ("&amp;TEXT(I265,"0.00")&amp;")"</f>
        <v>12,021 (0.00)</v>
      </c>
      <c r="O258" s="8" t="str">
        <f t="shared" ref="O258" si="311">TEXT(J264,"#,##0")&amp;" ("&amp;TEXT(J265,"0.00")&amp;")"</f>
        <v>14,037 (0.00)</v>
      </c>
      <c r="P258" s="8" t="str">
        <f t="shared" ref="P258" si="312">TEXT(K264,"#,##0")&amp;" ("&amp;TEXT(K265,"0.00")&amp;")"</f>
        <v>15,296 (0.00)</v>
      </c>
      <c r="Q258" s="8" t="str">
        <f t="shared" ref="Q258" si="313">TEXT(L264,"#,##0")&amp;" ("&amp;TEXT(L265,"0.00")&amp;")"</f>
        <v>17,332 (0.00)</v>
      </c>
    </row>
    <row r="259" spans="1:17" ht="16.5" x14ac:dyDescent="0.3">
      <c r="A259" s="2"/>
      <c r="B259" s="18"/>
      <c r="C259" s="6">
        <v>92.55</v>
      </c>
      <c r="D259" s="6">
        <v>86.76</v>
      </c>
      <c r="E259" s="6">
        <v>81.83</v>
      </c>
      <c r="F259" s="6">
        <v>77.540000000000006</v>
      </c>
      <c r="G259" s="6"/>
      <c r="N259" s="8" t="str">
        <f>TEXT(I268,"#,##0")&amp;" ("&amp;TEXT(I269,"0.00")&amp;")"</f>
        <v>0 (11899.00)</v>
      </c>
      <c r="O259" s="8" t="str">
        <f t="shared" ref="O259" si="314">TEXT(J268,"#,##0")&amp;" ("&amp;TEXT(J269,"0.00")&amp;")"</f>
        <v>0 (13817.00)</v>
      </c>
      <c r="P259" s="8" t="str">
        <f t="shared" ref="P259" si="315">TEXT(K268,"#,##0")&amp;" ("&amp;TEXT(K269,"0.00")&amp;")"</f>
        <v>0 (14997.00)</v>
      </c>
      <c r="Q259" s="8" t="str">
        <f t="shared" ref="Q259" si="316">TEXT(L268,"#,##0")&amp;" ("&amp;TEXT(L269,"0.00")&amp;")"</f>
        <v>0 (16929.00)</v>
      </c>
    </row>
    <row r="260" spans="1:17" ht="16.5" x14ac:dyDescent="0.3">
      <c r="A260" s="2"/>
      <c r="B260" s="18">
        <v>1</v>
      </c>
      <c r="C260" s="6">
        <v>896</v>
      </c>
      <c r="D260" s="6">
        <v>1859</v>
      </c>
      <c r="E260" s="6">
        <v>2780</v>
      </c>
      <c r="F260" s="6">
        <v>3893</v>
      </c>
      <c r="G260" s="6">
        <v>9428</v>
      </c>
      <c r="I260" s="8">
        <f>C260</f>
        <v>896</v>
      </c>
      <c r="J260" s="8">
        <f t="shared" ref="J260" si="317">D260</f>
        <v>1859</v>
      </c>
      <c r="K260" s="8">
        <f t="shared" ref="K260" si="318">E260</f>
        <v>2780</v>
      </c>
      <c r="L260" s="8">
        <f t="shared" ref="L260" si="319">F260</f>
        <v>3893</v>
      </c>
    </row>
    <row r="261" spans="1:17" ht="16.5" x14ac:dyDescent="0.3">
      <c r="A261" s="2"/>
      <c r="B261" s="18"/>
      <c r="C261" s="6">
        <v>1.53</v>
      </c>
      <c r="D261" s="6">
        <v>3.17</v>
      </c>
      <c r="E261" s="6">
        <v>4.74</v>
      </c>
      <c r="F261" s="6">
        <v>6.63</v>
      </c>
      <c r="G261" s="6">
        <v>16.07</v>
      </c>
      <c r="I261" s="8">
        <f>C263</f>
        <v>7.45</v>
      </c>
      <c r="J261" s="8">
        <f>D263</f>
        <v>13.24</v>
      </c>
      <c r="K261" s="8">
        <f>E263</f>
        <v>18.170000000000002</v>
      </c>
      <c r="L261" s="8">
        <f>F263</f>
        <v>22.46</v>
      </c>
    </row>
    <row r="262" spans="1:17" ht="16.5" x14ac:dyDescent="0.3">
      <c r="A262" s="2"/>
      <c r="B262" s="18"/>
      <c r="C262" s="6">
        <v>9.5</v>
      </c>
      <c r="D262" s="6">
        <v>19.72</v>
      </c>
      <c r="E262" s="6">
        <v>29.49</v>
      </c>
      <c r="F262" s="6">
        <v>41.29</v>
      </c>
      <c r="G262" s="6"/>
    </row>
    <row r="263" spans="1:17" ht="16.5" x14ac:dyDescent="0.3">
      <c r="A263" s="2"/>
      <c r="B263" s="18"/>
      <c r="C263" s="6">
        <v>7.45</v>
      </c>
      <c r="D263" s="6">
        <v>13.24</v>
      </c>
      <c r="E263" s="6">
        <v>18.170000000000002</v>
      </c>
      <c r="F263" s="6">
        <v>22.46</v>
      </c>
      <c r="G263" s="6"/>
    </row>
    <row r="264" spans="1:17" ht="15.75" customHeight="1" x14ac:dyDescent="0.3">
      <c r="A264" s="2"/>
      <c r="B264" s="18" t="s">
        <v>22</v>
      </c>
      <c r="C264" s="6">
        <v>12021</v>
      </c>
      <c r="D264" s="6">
        <v>14037</v>
      </c>
      <c r="E264" s="6">
        <v>15296</v>
      </c>
      <c r="F264" s="6">
        <v>17332</v>
      </c>
      <c r="G264" s="6">
        <v>58686</v>
      </c>
      <c r="I264" s="8">
        <f>C264</f>
        <v>12021</v>
      </c>
      <c r="J264" s="8">
        <f t="shared" ref="J264" si="320">D264</f>
        <v>14037</v>
      </c>
      <c r="K264" s="8">
        <f t="shared" ref="K264" si="321">E264</f>
        <v>15296</v>
      </c>
      <c r="L264" s="8">
        <f t="shared" ref="L264" si="322">F264</f>
        <v>17332</v>
      </c>
    </row>
    <row r="265" spans="1:17" ht="16.5" x14ac:dyDescent="0.3">
      <c r="A265" s="2"/>
      <c r="B265" s="18"/>
      <c r="C265" s="6">
        <v>20.48</v>
      </c>
      <c r="D265" s="6">
        <v>23.92</v>
      </c>
      <c r="E265" s="6">
        <v>26.06</v>
      </c>
      <c r="F265" s="6">
        <v>29.53</v>
      </c>
      <c r="G265" s="6">
        <v>100</v>
      </c>
      <c r="I265" s="8">
        <f>C267</f>
        <v>0</v>
      </c>
      <c r="J265" s="8">
        <f>D267</f>
        <v>0</v>
      </c>
      <c r="K265" s="8">
        <f>E267</f>
        <v>0</v>
      </c>
      <c r="L265" s="8">
        <f>F267</f>
        <v>0</v>
      </c>
    </row>
    <row r="266" spans="1:17" ht="16.5" x14ac:dyDescent="0.3">
      <c r="A266" s="2"/>
      <c r="B266" s="26"/>
      <c r="C266" s="26"/>
      <c r="D266" s="26"/>
      <c r="E266" s="26"/>
      <c r="F266" s="26"/>
      <c r="G266" s="26"/>
    </row>
    <row r="267" spans="1:17" ht="17.25" thickBot="1" x14ac:dyDescent="0.35">
      <c r="A267"/>
      <c r="B267"/>
      <c r="C267"/>
      <c r="D267"/>
      <c r="E267"/>
      <c r="F267"/>
      <c r="G267"/>
    </row>
    <row r="268" spans="1:17" ht="16.5" customHeight="1" x14ac:dyDescent="0.3">
      <c r="A268" s="5" t="s">
        <v>2</v>
      </c>
      <c r="B268" s="17" t="s">
        <v>44</v>
      </c>
      <c r="C268" s="19"/>
      <c r="D268" s="19"/>
      <c r="E268" s="19"/>
      <c r="F268" s="19"/>
      <c r="G268" s="19"/>
      <c r="I268" s="8">
        <f>C268</f>
        <v>0</v>
      </c>
      <c r="J268" s="8">
        <f t="shared" ref="J268" si="323">D268</f>
        <v>0</v>
      </c>
      <c r="K268" s="8">
        <f t="shared" ref="K268" si="324">E268</f>
        <v>0</v>
      </c>
      <c r="L268" s="8">
        <f t="shared" ref="L268" si="325">F268</f>
        <v>0</v>
      </c>
    </row>
    <row r="269" spans="1:17" ht="16.5" customHeight="1" x14ac:dyDescent="0.3">
      <c r="A269" s="4" t="s">
        <v>3</v>
      </c>
      <c r="B269" s="18" t="s">
        <v>16</v>
      </c>
      <c r="C269" s="20" t="s">
        <v>23</v>
      </c>
      <c r="D269" s="20"/>
      <c r="E269" s="20"/>
      <c r="F269" s="20"/>
      <c r="G269" s="20"/>
      <c r="I269" s="8">
        <f>C271</f>
        <v>11899</v>
      </c>
      <c r="J269" s="8">
        <f>D271</f>
        <v>13817</v>
      </c>
      <c r="K269" s="8">
        <f>E271</f>
        <v>14997</v>
      </c>
      <c r="L269" s="8">
        <f>F271</f>
        <v>16929</v>
      </c>
    </row>
    <row r="270" spans="1:17" ht="16.5" x14ac:dyDescent="0.3">
      <c r="A270" s="4" t="s">
        <v>19</v>
      </c>
      <c r="B270" s="18"/>
      <c r="C270" s="3">
        <v>1</v>
      </c>
      <c r="D270" s="3">
        <v>2</v>
      </c>
      <c r="E270" s="3">
        <v>3</v>
      </c>
      <c r="F270" s="3">
        <v>4</v>
      </c>
      <c r="G270" s="3" t="s">
        <v>22</v>
      </c>
    </row>
    <row r="271" spans="1:17" ht="33" x14ac:dyDescent="0.3">
      <c r="A271" s="4" t="s">
        <v>20</v>
      </c>
      <c r="B271" s="18">
        <v>0</v>
      </c>
      <c r="C271" s="6">
        <v>11899</v>
      </c>
      <c r="D271" s="6">
        <v>13817</v>
      </c>
      <c r="E271" s="6">
        <v>14997</v>
      </c>
      <c r="F271" s="6">
        <v>16929</v>
      </c>
      <c r="G271" s="6">
        <v>57642</v>
      </c>
      <c r="I271" s="8">
        <f>C271</f>
        <v>11899</v>
      </c>
      <c r="J271" s="8">
        <f t="shared" ref="J271" si="326">D271</f>
        <v>13817</v>
      </c>
      <c r="K271" s="8">
        <f t="shared" ref="K271" si="327">E271</f>
        <v>14997</v>
      </c>
      <c r="L271" s="8">
        <f t="shared" ref="L271" si="328">F271</f>
        <v>16929</v>
      </c>
      <c r="N271" s="8" t="str">
        <f>TEXT(I271,"#,##0")&amp;" ("&amp;TEXT(I272,"0.00")&amp;")"</f>
        <v>11,899 (98.99)</v>
      </c>
      <c r="O271" s="8" t="str">
        <f t="shared" ref="O271" si="329">TEXT(J271,"#,##0")&amp;" ("&amp;TEXT(J272,"0.00")&amp;")"</f>
        <v>13,817 (98.43)</v>
      </c>
      <c r="P271" s="8" t="str">
        <f t="shared" ref="P271" si="330">TEXT(K271,"#,##0")&amp;" ("&amp;TEXT(K272,"0.00")&amp;")"</f>
        <v>14,997 (98.05)</v>
      </c>
      <c r="Q271" s="8" t="str">
        <f t="shared" ref="Q271" si="331">TEXT(L271,"#,##0")&amp;" ("&amp;TEXT(L272,"0.00")&amp;")"</f>
        <v>16,929 (97.67)</v>
      </c>
    </row>
    <row r="272" spans="1:17" ht="16.5" x14ac:dyDescent="0.3">
      <c r="A272" s="2"/>
      <c r="B272" s="18"/>
      <c r="C272" s="6">
        <v>20.28</v>
      </c>
      <c r="D272" s="6">
        <v>23.54</v>
      </c>
      <c r="E272" s="6">
        <v>25.55</v>
      </c>
      <c r="F272" s="6">
        <v>28.85</v>
      </c>
      <c r="G272" s="6">
        <v>98.22</v>
      </c>
      <c r="I272" s="8">
        <f>C274</f>
        <v>98.99</v>
      </c>
      <c r="J272" s="8">
        <f>D274</f>
        <v>98.43</v>
      </c>
      <c r="K272" s="8">
        <f>E274</f>
        <v>98.05</v>
      </c>
      <c r="L272" s="8">
        <f>F274</f>
        <v>97.67</v>
      </c>
      <c r="N272" s="8" t="str">
        <f>TEXT(I275,"#,##0")&amp;" ("&amp;TEXT(I276,"0.00")&amp;")"</f>
        <v>122 (1.01)</v>
      </c>
      <c r="O272" s="8" t="str">
        <f t="shared" ref="O272" si="332">TEXT(J275,"#,##0")&amp;" ("&amp;TEXT(J276,"0.00")&amp;")"</f>
        <v>220 (1.57)</v>
      </c>
      <c r="P272" s="8" t="str">
        <f t="shared" ref="P272" si="333">TEXT(K275,"#,##0")&amp;" ("&amp;TEXT(K276,"0.00")&amp;")"</f>
        <v>299 (1.95)</v>
      </c>
      <c r="Q272" s="8" t="str">
        <f t="shared" ref="Q272" si="334">TEXT(L275,"#,##0")&amp;" ("&amp;TEXT(L276,"0.00")&amp;")"</f>
        <v>403 (2.33)</v>
      </c>
    </row>
    <row r="273" spans="1:17" ht="16.5" x14ac:dyDescent="0.3">
      <c r="A273" s="2"/>
      <c r="B273" s="18"/>
      <c r="C273" s="6">
        <v>20.64</v>
      </c>
      <c r="D273" s="6">
        <v>23.97</v>
      </c>
      <c r="E273" s="6">
        <v>26.02</v>
      </c>
      <c r="F273" s="6">
        <v>29.37</v>
      </c>
      <c r="G273" s="6"/>
      <c r="N273" s="8" t="str">
        <f>TEXT(I279,"#,##0")&amp;" ("&amp;TEXT(I280,"0.00")&amp;")"</f>
        <v>12,021 (0.00)</v>
      </c>
      <c r="O273" s="8" t="str">
        <f t="shared" ref="O273" si="335">TEXT(J279,"#,##0")&amp;" ("&amp;TEXT(J280,"0.00")&amp;")"</f>
        <v>14,037 (0.00)</v>
      </c>
      <c r="P273" s="8" t="str">
        <f t="shared" ref="P273" si="336">TEXT(K279,"#,##0")&amp;" ("&amp;TEXT(K280,"0.00")&amp;")"</f>
        <v>15,296 (0.00)</v>
      </c>
      <c r="Q273" s="8" t="str">
        <f t="shared" ref="Q273" si="337">TEXT(L279,"#,##0")&amp;" ("&amp;TEXT(L280,"0.00")&amp;")"</f>
        <v>17,332 (0.00)</v>
      </c>
    </row>
    <row r="274" spans="1:17" ht="16.5" x14ac:dyDescent="0.3">
      <c r="A274" s="2"/>
      <c r="B274" s="18"/>
      <c r="C274" s="6">
        <v>98.99</v>
      </c>
      <c r="D274" s="6">
        <v>98.43</v>
      </c>
      <c r="E274" s="6">
        <v>98.05</v>
      </c>
      <c r="F274" s="6">
        <v>97.67</v>
      </c>
      <c r="G274" s="6"/>
      <c r="N274" s="8" t="str">
        <f>TEXT(I283,"#,##0")&amp;" ("&amp;TEXT(I284,"0.00")&amp;")"</f>
        <v>0 (11958.00)</v>
      </c>
      <c r="O274" s="8" t="str">
        <f t="shared" ref="O274" si="338">TEXT(J283,"#,##0")&amp;" ("&amp;TEXT(J284,"0.00")&amp;")"</f>
        <v>0 (13923.00)</v>
      </c>
      <c r="P274" s="8" t="str">
        <f t="shared" ref="P274" si="339">TEXT(K283,"#,##0")&amp;" ("&amp;TEXT(K284,"0.00")&amp;")"</f>
        <v>0 (15142.00)</v>
      </c>
      <c r="Q274" s="8" t="str">
        <f t="shared" ref="Q274" si="340">TEXT(L283,"#,##0")&amp;" ("&amp;TEXT(L284,"0.00")&amp;")"</f>
        <v>0 (17133.00)</v>
      </c>
    </row>
    <row r="275" spans="1:17" ht="16.5" x14ac:dyDescent="0.3">
      <c r="A275" s="2"/>
      <c r="B275" s="18">
        <v>1</v>
      </c>
      <c r="C275" s="6">
        <v>122</v>
      </c>
      <c r="D275" s="6">
        <v>220</v>
      </c>
      <c r="E275" s="6">
        <v>299</v>
      </c>
      <c r="F275" s="6">
        <v>403</v>
      </c>
      <c r="G275" s="6">
        <v>1044</v>
      </c>
      <c r="I275" s="8">
        <f>C275</f>
        <v>122</v>
      </c>
      <c r="J275" s="8">
        <f t="shared" ref="J275" si="341">D275</f>
        <v>220</v>
      </c>
      <c r="K275" s="8">
        <f t="shared" ref="K275" si="342">E275</f>
        <v>299</v>
      </c>
      <c r="L275" s="8">
        <f t="shared" ref="L275" si="343">F275</f>
        <v>403</v>
      </c>
    </row>
    <row r="276" spans="1:17" ht="16.5" x14ac:dyDescent="0.3">
      <c r="A276" s="2"/>
      <c r="B276" s="18"/>
      <c r="C276" s="6">
        <v>0.21</v>
      </c>
      <c r="D276" s="6">
        <v>0.37</v>
      </c>
      <c r="E276" s="6">
        <v>0.51</v>
      </c>
      <c r="F276" s="6">
        <v>0.69</v>
      </c>
      <c r="G276" s="6">
        <v>1.78</v>
      </c>
      <c r="I276" s="8">
        <f>C278</f>
        <v>1.01</v>
      </c>
      <c r="J276" s="8">
        <f>D278</f>
        <v>1.57</v>
      </c>
      <c r="K276" s="8">
        <f>E278</f>
        <v>1.95</v>
      </c>
      <c r="L276" s="8">
        <f>F278</f>
        <v>2.33</v>
      </c>
    </row>
    <row r="277" spans="1:17" ht="16.5" x14ac:dyDescent="0.3">
      <c r="A277" s="2"/>
      <c r="B277" s="18"/>
      <c r="C277" s="6">
        <v>11.69</v>
      </c>
      <c r="D277" s="6">
        <v>21.07</v>
      </c>
      <c r="E277" s="6">
        <v>28.64</v>
      </c>
      <c r="F277" s="6">
        <v>38.6</v>
      </c>
      <c r="G277" s="6"/>
    </row>
    <row r="278" spans="1:17" ht="16.5" x14ac:dyDescent="0.3">
      <c r="A278" s="2"/>
      <c r="B278" s="18"/>
      <c r="C278" s="6">
        <v>1.01</v>
      </c>
      <c r="D278" s="6">
        <v>1.57</v>
      </c>
      <c r="E278" s="6">
        <v>1.95</v>
      </c>
      <c r="F278" s="6">
        <v>2.33</v>
      </c>
      <c r="G278" s="6"/>
    </row>
    <row r="279" spans="1:17" ht="15.75" customHeight="1" x14ac:dyDescent="0.3">
      <c r="A279" s="2"/>
      <c r="B279" s="18" t="s">
        <v>22</v>
      </c>
      <c r="C279" s="6">
        <v>12021</v>
      </c>
      <c r="D279" s="6">
        <v>14037</v>
      </c>
      <c r="E279" s="6">
        <v>15296</v>
      </c>
      <c r="F279" s="6">
        <v>17332</v>
      </c>
      <c r="G279" s="6">
        <v>58686</v>
      </c>
      <c r="I279" s="8">
        <f>C279</f>
        <v>12021</v>
      </c>
      <c r="J279" s="8">
        <f t="shared" ref="J279" si="344">D279</f>
        <v>14037</v>
      </c>
      <c r="K279" s="8">
        <f t="shared" ref="K279" si="345">E279</f>
        <v>15296</v>
      </c>
      <c r="L279" s="8">
        <f t="shared" ref="L279" si="346">F279</f>
        <v>17332</v>
      </c>
    </row>
    <row r="280" spans="1:17" ht="16.5" x14ac:dyDescent="0.3">
      <c r="A280" s="2"/>
      <c r="B280" s="18"/>
      <c r="C280" s="6">
        <v>20.48</v>
      </c>
      <c r="D280" s="6">
        <v>23.92</v>
      </c>
      <c r="E280" s="6">
        <v>26.06</v>
      </c>
      <c r="F280" s="6">
        <v>29.53</v>
      </c>
      <c r="G280" s="6">
        <v>100</v>
      </c>
      <c r="I280" s="8">
        <f>C282</f>
        <v>0</v>
      </c>
      <c r="J280" s="8">
        <f>D282</f>
        <v>0</v>
      </c>
      <c r="K280" s="8">
        <f>E282</f>
        <v>0</v>
      </c>
      <c r="L280" s="8">
        <f>F282</f>
        <v>0</v>
      </c>
    </row>
    <row r="281" spans="1:17" ht="16.5" x14ac:dyDescent="0.3">
      <c r="A281" s="2"/>
      <c r="B281" s="26"/>
      <c r="C281" s="26"/>
      <c r="D281" s="26"/>
      <c r="E281" s="26"/>
      <c r="F281" s="26"/>
      <c r="G281" s="26"/>
    </row>
    <row r="282" spans="1:17" ht="17.25" thickBot="1" x14ac:dyDescent="0.35">
      <c r="A282"/>
      <c r="B282"/>
      <c r="C282"/>
      <c r="D282"/>
      <c r="E282"/>
      <c r="F282"/>
      <c r="G282"/>
    </row>
    <row r="283" spans="1:17" ht="16.5" customHeight="1" x14ac:dyDescent="0.3">
      <c r="A283" s="5" t="s">
        <v>2</v>
      </c>
      <c r="B283" s="17" t="s">
        <v>45</v>
      </c>
      <c r="C283" s="19"/>
      <c r="D283" s="19"/>
      <c r="E283" s="19"/>
      <c r="F283" s="19"/>
      <c r="G283" s="19"/>
      <c r="I283" s="8">
        <f>C283</f>
        <v>0</v>
      </c>
      <c r="J283" s="8">
        <f t="shared" ref="J283" si="347">D283</f>
        <v>0</v>
      </c>
      <c r="K283" s="8">
        <f t="shared" ref="K283" si="348">E283</f>
        <v>0</v>
      </c>
      <c r="L283" s="8">
        <f t="shared" ref="L283" si="349">F283</f>
        <v>0</v>
      </c>
    </row>
    <row r="284" spans="1:17" ht="16.5" customHeight="1" x14ac:dyDescent="0.3">
      <c r="A284" s="4" t="s">
        <v>3</v>
      </c>
      <c r="B284" s="18" t="s">
        <v>17</v>
      </c>
      <c r="C284" s="20" t="s">
        <v>23</v>
      </c>
      <c r="D284" s="20"/>
      <c r="E284" s="20"/>
      <c r="F284" s="20"/>
      <c r="G284" s="20"/>
      <c r="I284" s="8">
        <f>C286</f>
        <v>11958</v>
      </c>
      <c r="J284" s="8">
        <f>D286</f>
        <v>13923</v>
      </c>
      <c r="K284" s="8">
        <f>E286</f>
        <v>15142</v>
      </c>
      <c r="L284" s="8">
        <f>F286</f>
        <v>17133</v>
      </c>
    </row>
    <row r="285" spans="1:17" ht="16.5" x14ac:dyDescent="0.3">
      <c r="A285" s="4" t="s">
        <v>19</v>
      </c>
      <c r="B285" s="18"/>
      <c r="C285" s="3">
        <v>1</v>
      </c>
      <c r="D285" s="3">
        <v>2</v>
      </c>
      <c r="E285" s="3">
        <v>3</v>
      </c>
      <c r="F285" s="3">
        <v>4</v>
      </c>
      <c r="G285" s="3" t="s">
        <v>22</v>
      </c>
    </row>
    <row r="286" spans="1:17" ht="33" x14ac:dyDescent="0.3">
      <c r="A286" s="4" t="s">
        <v>20</v>
      </c>
      <c r="B286" s="18">
        <v>0</v>
      </c>
      <c r="C286" s="6">
        <v>11958</v>
      </c>
      <c r="D286" s="6">
        <v>13923</v>
      </c>
      <c r="E286" s="6">
        <v>15142</v>
      </c>
      <c r="F286" s="6">
        <v>17133</v>
      </c>
      <c r="G286" s="6">
        <v>58156</v>
      </c>
      <c r="I286" s="8">
        <f>C286</f>
        <v>11958</v>
      </c>
      <c r="J286" s="8">
        <f t="shared" ref="J286" si="350">D286</f>
        <v>13923</v>
      </c>
      <c r="K286" s="8">
        <f t="shared" ref="K286" si="351">E286</f>
        <v>15142</v>
      </c>
      <c r="L286" s="8">
        <f t="shared" ref="L286" si="352">F286</f>
        <v>17133</v>
      </c>
      <c r="N286" s="8" t="str">
        <f>TEXT(I286,"#,##0")&amp;" ("&amp;TEXT(I287,"0.00")&amp;")"</f>
        <v>11,958 (99.48)</v>
      </c>
      <c r="O286" s="8" t="str">
        <f t="shared" ref="O286" si="353">TEXT(J286,"#,##0")&amp;" ("&amp;TEXT(J287,"0.00")&amp;")"</f>
        <v>13,923 (99.19)</v>
      </c>
      <c r="P286" s="8" t="str">
        <f t="shared" ref="P286" si="354">TEXT(K286,"#,##0")&amp;" ("&amp;TEXT(K287,"0.00")&amp;")"</f>
        <v>15,142 (98.99)</v>
      </c>
      <c r="Q286" s="8" t="str">
        <f t="shared" ref="Q286" si="355">TEXT(L286,"#,##0")&amp;" ("&amp;TEXT(L287,"0.00")&amp;")"</f>
        <v>17,133 (98.85)</v>
      </c>
    </row>
    <row r="287" spans="1:17" ht="16.5" x14ac:dyDescent="0.3">
      <c r="A287" s="2"/>
      <c r="B287" s="18"/>
      <c r="C287" s="6">
        <v>20.38</v>
      </c>
      <c r="D287" s="6">
        <v>23.72</v>
      </c>
      <c r="E287" s="6">
        <v>25.8</v>
      </c>
      <c r="F287" s="6">
        <v>29.19</v>
      </c>
      <c r="G287" s="6">
        <v>99.1</v>
      </c>
      <c r="I287" s="8">
        <f>C289</f>
        <v>99.48</v>
      </c>
      <c r="J287" s="8">
        <f>D289</f>
        <v>99.19</v>
      </c>
      <c r="K287" s="8">
        <f>E289</f>
        <v>98.99</v>
      </c>
      <c r="L287" s="8">
        <f>F289</f>
        <v>98.85</v>
      </c>
      <c r="N287" s="8" t="str">
        <f>TEXT(I290,"#,##0")&amp;" ("&amp;TEXT(I291,"0.00")&amp;")"</f>
        <v>63 (0.52)</v>
      </c>
      <c r="O287" s="8" t="str">
        <f t="shared" ref="O287" si="356">TEXT(J290,"#,##0")&amp;" ("&amp;TEXT(J291,"0.00")&amp;")"</f>
        <v>114 (0.81)</v>
      </c>
      <c r="P287" s="8" t="str">
        <f t="shared" ref="P287" si="357">TEXT(K290,"#,##0")&amp;" ("&amp;TEXT(K291,"0.00")&amp;")"</f>
        <v>154 (1.01)</v>
      </c>
      <c r="Q287" s="8" t="str">
        <f t="shared" ref="Q287" si="358">TEXT(L290,"#,##0")&amp;" ("&amp;TEXT(L291,"0.00")&amp;")"</f>
        <v>199 (1.15)</v>
      </c>
    </row>
    <row r="288" spans="1:17" ht="16.5" x14ac:dyDescent="0.3">
      <c r="A288" s="2"/>
      <c r="B288" s="18"/>
      <c r="C288" s="6">
        <v>20.56</v>
      </c>
      <c r="D288" s="6">
        <v>23.94</v>
      </c>
      <c r="E288" s="6">
        <v>26.04</v>
      </c>
      <c r="F288" s="6">
        <v>29.46</v>
      </c>
      <c r="G288" s="6"/>
      <c r="N288" s="8" t="str">
        <f>TEXT(I294,"#,##0")&amp;" ("&amp;TEXT(I295,"0.00")&amp;")"</f>
        <v>12,021 (0.00)</v>
      </c>
      <c r="O288" s="8" t="str">
        <f t="shared" ref="O288" si="359">TEXT(J294,"#,##0")&amp;" ("&amp;TEXT(J295,"0.00")&amp;")"</f>
        <v>14,037 (0.00)</v>
      </c>
      <c r="P288" s="8" t="str">
        <f t="shared" ref="P288" si="360">TEXT(K294,"#,##0")&amp;" ("&amp;TEXT(K295,"0.00")&amp;")"</f>
        <v>15,296 (0.00)</v>
      </c>
      <c r="Q288" s="8" t="str">
        <f t="shared" ref="Q288" si="361">TEXT(L294,"#,##0")&amp;" ("&amp;TEXT(L295,"0.00")&amp;")"</f>
        <v>17,332 (0.00)</v>
      </c>
    </row>
    <row r="289" spans="1:17" ht="16.5" x14ac:dyDescent="0.3">
      <c r="A289" s="2"/>
      <c r="B289" s="18"/>
      <c r="C289" s="6">
        <v>99.48</v>
      </c>
      <c r="D289" s="6">
        <v>99.19</v>
      </c>
      <c r="E289" s="6">
        <v>98.99</v>
      </c>
      <c r="F289" s="6">
        <v>98.85</v>
      </c>
      <c r="G289" s="6"/>
      <c r="N289" s="8" t="str">
        <f>TEXT(I298,"#,##0")&amp;" ("&amp;TEXT(I299,"0.00")&amp;")"</f>
        <v>0 (11899.00)</v>
      </c>
      <c r="O289" s="8" t="str">
        <f t="shared" ref="O289" si="362">TEXT(J298,"#,##0")&amp;" ("&amp;TEXT(J299,"0.00")&amp;")"</f>
        <v>0 (13812.00)</v>
      </c>
      <c r="P289" s="8" t="str">
        <f t="shared" ref="P289" si="363">TEXT(K298,"#,##0")&amp;" ("&amp;TEXT(K299,"0.00")&amp;")"</f>
        <v>0 (15007.00)</v>
      </c>
      <c r="Q289" s="8" t="str">
        <f t="shared" ref="Q289" si="364">TEXT(L298,"#,##0")&amp;" ("&amp;TEXT(L299,"0.00")&amp;")"</f>
        <v>0 (16997.00)</v>
      </c>
    </row>
    <row r="290" spans="1:17" ht="16.5" x14ac:dyDescent="0.3">
      <c r="A290" s="2"/>
      <c r="B290" s="18">
        <v>1</v>
      </c>
      <c r="C290" s="6">
        <v>63</v>
      </c>
      <c r="D290" s="6">
        <v>114</v>
      </c>
      <c r="E290" s="6">
        <v>154</v>
      </c>
      <c r="F290" s="6">
        <v>199</v>
      </c>
      <c r="G290" s="6">
        <v>530</v>
      </c>
      <c r="I290" s="8">
        <f>C290</f>
        <v>63</v>
      </c>
      <c r="J290" s="8">
        <f t="shared" ref="J290" si="365">D290</f>
        <v>114</v>
      </c>
      <c r="K290" s="8">
        <f t="shared" ref="K290" si="366">E290</f>
        <v>154</v>
      </c>
      <c r="L290" s="8">
        <f t="shared" ref="L290" si="367">F290</f>
        <v>199</v>
      </c>
    </row>
    <row r="291" spans="1:17" ht="16.5" x14ac:dyDescent="0.3">
      <c r="A291" s="2"/>
      <c r="B291" s="18"/>
      <c r="C291" s="6">
        <v>0.11</v>
      </c>
      <c r="D291" s="6">
        <v>0.19</v>
      </c>
      <c r="E291" s="6">
        <v>0.26</v>
      </c>
      <c r="F291" s="6">
        <v>0.34</v>
      </c>
      <c r="G291" s="6">
        <v>0.9</v>
      </c>
      <c r="I291" s="8">
        <f>C293</f>
        <v>0.52</v>
      </c>
      <c r="J291" s="8">
        <f>D293</f>
        <v>0.81</v>
      </c>
      <c r="K291" s="8">
        <f>E293</f>
        <v>1.01</v>
      </c>
      <c r="L291" s="8">
        <f>F293</f>
        <v>1.1499999999999999</v>
      </c>
    </row>
    <row r="292" spans="1:17" ht="16.5" x14ac:dyDescent="0.3">
      <c r="A292" s="2"/>
      <c r="B292" s="18"/>
      <c r="C292" s="6">
        <v>11.89</v>
      </c>
      <c r="D292" s="6">
        <v>21.51</v>
      </c>
      <c r="E292" s="6">
        <v>29.06</v>
      </c>
      <c r="F292" s="6">
        <v>37.549999999999997</v>
      </c>
      <c r="G292" s="6"/>
    </row>
    <row r="293" spans="1:17" ht="16.5" x14ac:dyDescent="0.3">
      <c r="A293" s="2"/>
      <c r="B293" s="18"/>
      <c r="C293" s="6">
        <v>0.52</v>
      </c>
      <c r="D293" s="6">
        <v>0.81</v>
      </c>
      <c r="E293" s="6">
        <v>1.01</v>
      </c>
      <c r="F293" s="6">
        <v>1.1499999999999999</v>
      </c>
      <c r="G293" s="6"/>
    </row>
    <row r="294" spans="1:17" ht="15.75" customHeight="1" x14ac:dyDescent="0.3">
      <c r="A294" s="2"/>
      <c r="B294" s="18" t="s">
        <v>22</v>
      </c>
      <c r="C294" s="6">
        <v>12021</v>
      </c>
      <c r="D294" s="6">
        <v>14037</v>
      </c>
      <c r="E294" s="6">
        <v>15296</v>
      </c>
      <c r="F294" s="6">
        <v>17332</v>
      </c>
      <c r="G294" s="6">
        <v>58686</v>
      </c>
      <c r="I294" s="8">
        <f>C294</f>
        <v>12021</v>
      </c>
      <c r="J294" s="8">
        <f t="shared" ref="J294" si="368">D294</f>
        <v>14037</v>
      </c>
      <c r="K294" s="8">
        <f t="shared" ref="K294" si="369">E294</f>
        <v>15296</v>
      </c>
      <c r="L294" s="8">
        <f t="shared" ref="L294" si="370">F294</f>
        <v>17332</v>
      </c>
    </row>
    <row r="295" spans="1:17" ht="16.5" x14ac:dyDescent="0.3">
      <c r="A295" s="2"/>
      <c r="B295" s="18"/>
      <c r="C295" s="6">
        <v>20.48</v>
      </c>
      <c r="D295" s="6">
        <v>23.92</v>
      </c>
      <c r="E295" s="6">
        <v>26.06</v>
      </c>
      <c r="F295" s="6">
        <v>29.53</v>
      </c>
      <c r="G295" s="6">
        <v>100</v>
      </c>
      <c r="I295" s="8">
        <f>C297</f>
        <v>0</v>
      </c>
      <c r="J295" s="8">
        <f>D297</f>
        <v>0</v>
      </c>
      <c r="K295" s="8">
        <f>E297</f>
        <v>0</v>
      </c>
      <c r="L295" s="8">
        <f>F297</f>
        <v>0</v>
      </c>
    </row>
    <row r="296" spans="1:17" ht="16.5" x14ac:dyDescent="0.3">
      <c r="A296" s="2"/>
      <c r="B296" s="26"/>
      <c r="C296" s="26"/>
      <c r="D296" s="26"/>
      <c r="E296" s="26"/>
      <c r="F296" s="26"/>
      <c r="G296" s="26"/>
    </row>
    <row r="297" spans="1:17" ht="17.25" thickBot="1" x14ac:dyDescent="0.35">
      <c r="A297"/>
      <c r="B297"/>
      <c r="C297"/>
      <c r="D297"/>
      <c r="E297"/>
      <c r="F297"/>
      <c r="G297"/>
    </row>
    <row r="298" spans="1:17" ht="16.5" customHeight="1" x14ac:dyDescent="0.3">
      <c r="A298" s="5" t="s">
        <v>2</v>
      </c>
      <c r="B298" s="17" t="s">
        <v>46</v>
      </c>
      <c r="C298" s="19"/>
      <c r="D298" s="19"/>
      <c r="E298" s="19"/>
      <c r="F298" s="19"/>
      <c r="G298" s="19"/>
      <c r="I298" s="8">
        <f>C298</f>
        <v>0</v>
      </c>
      <c r="J298" s="8">
        <f t="shared" ref="J298" si="371">D298</f>
        <v>0</v>
      </c>
      <c r="K298" s="8">
        <f t="shared" ref="K298" si="372">E298</f>
        <v>0</v>
      </c>
      <c r="L298" s="8">
        <f t="shared" ref="L298" si="373">F298</f>
        <v>0</v>
      </c>
    </row>
    <row r="299" spans="1:17" ht="16.5" customHeight="1" x14ac:dyDescent="0.3">
      <c r="A299" s="4" t="s">
        <v>3</v>
      </c>
      <c r="B299" s="18" t="s">
        <v>18</v>
      </c>
      <c r="C299" s="20" t="s">
        <v>23</v>
      </c>
      <c r="D299" s="20"/>
      <c r="E299" s="20"/>
      <c r="F299" s="20"/>
      <c r="G299" s="20"/>
      <c r="I299" s="8">
        <f>C301</f>
        <v>11899</v>
      </c>
      <c r="J299" s="8">
        <f>D301</f>
        <v>13812</v>
      </c>
      <c r="K299" s="8">
        <f>E301</f>
        <v>15007</v>
      </c>
      <c r="L299" s="8">
        <f>F301</f>
        <v>16997</v>
      </c>
    </row>
    <row r="300" spans="1:17" ht="16.5" x14ac:dyDescent="0.3">
      <c r="A300" s="4" t="s">
        <v>19</v>
      </c>
      <c r="B300" s="18"/>
      <c r="C300" s="3">
        <v>1</v>
      </c>
      <c r="D300" s="3">
        <v>2</v>
      </c>
      <c r="E300" s="3">
        <v>3</v>
      </c>
      <c r="F300" s="3">
        <v>4</v>
      </c>
      <c r="G300" s="3" t="s">
        <v>22</v>
      </c>
    </row>
    <row r="301" spans="1:17" ht="33" x14ac:dyDescent="0.3">
      <c r="A301" s="4" t="s">
        <v>20</v>
      </c>
      <c r="B301" s="18">
        <v>0</v>
      </c>
      <c r="C301" s="6">
        <v>11899</v>
      </c>
      <c r="D301" s="6">
        <v>13812</v>
      </c>
      <c r="E301" s="6">
        <v>15007</v>
      </c>
      <c r="F301" s="6">
        <v>16997</v>
      </c>
      <c r="G301" s="6">
        <v>57715</v>
      </c>
      <c r="I301" s="8">
        <f>C301</f>
        <v>11899</v>
      </c>
      <c r="J301" s="8">
        <f t="shared" ref="J301" si="374">D301</f>
        <v>13812</v>
      </c>
      <c r="K301" s="8">
        <f t="shared" ref="K301" si="375">E301</f>
        <v>15007</v>
      </c>
      <c r="L301" s="8">
        <f t="shared" ref="L301" si="376">F301</f>
        <v>16997</v>
      </c>
      <c r="N301" s="8" t="str">
        <f>TEXT(I301,"#,##0")&amp;" ("&amp;TEXT(I302,"0.00")&amp;")"</f>
        <v>11,899 (98.99)</v>
      </c>
      <c r="O301" s="8" t="str">
        <f t="shared" ref="O301" si="377">TEXT(J301,"#,##0")&amp;" ("&amp;TEXT(J302,"0.00")&amp;")"</f>
        <v>13,812 (98.40)</v>
      </c>
      <c r="P301" s="8" t="str">
        <f t="shared" ref="P301" si="378">TEXT(K301,"#,##0")&amp;" ("&amp;TEXT(K302,"0.00")&amp;")"</f>
        <v>15,007 (98.11)</v>
      </c>
      <c r="Q301" s="8" t="str">
        <f t="shared" ref="Q301" si="379">TEXT(L301,"#,##0")&amp;" ("&amp;TEXT(L302,"0.00")&amp;")"</f>
        <v>16,997 (98.07)</v>
      </c>
    </row>
    <row r="302" spans="1:17" ht="16.5" x14ac:dyDescent="0.3">
      <c r="A302" s="2"/>
      <c r="B302" s="18"/>
      <c r="C302" s="6">
        <v>20.28</v>
      </c>
      <c r="D302" s="6">
        <v>23.54</v>
      </c>
      <c r="E302" s="6">
        <v>25.57</v>
      </c>
      <c r="F302" s="6">
        <v>28.96</v>
      </c>
      <c r="G302" s="6">
        <v>98.35</v>
      </c>
      <c r="I302" s="8">
        <f>C304</f>
        <v>98.99</v>
      </c>
      <c r="J302" s="8">
        <f>D304</f>
        <v>98.4</v>
      </c>
      <c r="K302" s="8">
        <f>E304</f>
        <v>98.11</v>
      </c>
      <c r="L302" s="8">
        <f>F304</f>
        <v>98.07</v>
      </c>
      <c r="N302" s="8" t="str">
        <f>TEXT(I305,"#,##0")&amp;" ("&amp;TEXT(I306,"0.00")&amp;")"</f>
        <v>122 (1.01)</v>
      </c>
      <c r="O302" s="8" t="str">
        <f t="shared" ref="O302" si="380">TEXT(J305,"#,##0")&amp;" ("&amp;TEXT(J306,"0.00")&amp;")"</f>
        <v>225 (1.60)</v>
      </c>
      <c r="P302" s="8" t="str">
        <f t="shared" ref="P302" si="381">TEXT(K305,"#,##0")&amp;" ("&amp;TEXT(K306,"0.00")&amp;")"</f>
        <v>289 (1.89)</v>
      </c>
      <c r="Q302" s="8" t="str">
        <f t="shared" ref="Q302" si="382">TEXT(L305,"#,##0")&amp;" ("&amp;TEXT(L306,"0.00")&amp;")"</f>
        <v>335 (1.93)</v>
      </c>
    </row>
    <row r="303" spans="1:17" ht="16.5" x14ac:dyDescent="0.3">
      <c r="A303" s="2"/>
      <c r="B303" s="18"/>
      <c r="C303" s="6">
        <v>20.62</v>
      </c>
      <c r="D303" s="6">
        <v>23.93</v>
      </c>
      <c r="E303" s="6">
        <v>26</v>
      </c>
      <c r="F303" s="6">
        <v>29.45</v>
      </c>
      <c r="G303" s="6"/>
      <c r="N303" s="8" t="str">
        <f>TEXT(I309,"#,##0")&amp;" ("&amp;TEXT(I310,"0.00")&amp;")"</f>
        <v>12,021 (0.00)</v>
      </c>
      <c r="O303" s="8" t="str">
        <f t="shared" ref="O303" si="383">TEXT(J309,"#,##0")&amp;" ("&amp;TEXT(J310,"0.00")&amp;")"</f>
        <v>14,037 (0.00)</v>
      </c>
      <c r="P303" s="8" t="str">
        <f t="shared" ref="P303" si="384">TEXT(K309,"#,##0")&amp;" ("&amp;TEXT(K310,"0.00")&amp;")"</f>
        <v>15,296 (0.00)</v>
      </c>
      <c r="Q303" s="8" t="str">
        <f t="shared" ref="Q303" si="385">TEXT(L309,"#,##0")&amp;" ("&amp;TEXT(L310,"0.00")&amp;")"</f>
        <v>17,332 (0.00)</v>
      </c>
    </row>
    <row r="304" spans="1:17" ht="16.5" x14ac:dyDescent="0.3">
      <c r="A304" s="2"/>
      <c r="B304" s="18"/>
      <c r="C304" s="6">
        <v>98.99</v>
      </c>
      <c r="D304" s="6">
        <v>98.4</v>
      </c>
      <c r="E304" s="6">
        <v>98.11</v>
      </c>
      <c r="F304" s="6">
        <v>98.07</v>
      </c>
      <c r="G304" s="6"/>
      <c r="N304" s="8" t="str">
        <f>TEXT(I313,"#,##0")&amp;" ("&amp;TEXT(I314,"0.00")&amp;")"</f>
        <v>0 (0.00)</v>
      </c>
      <c r="O304" s="8" t="str">
        <f t="shared" ref="O304" si="386">TEXT(J313,"#,##0")&amp;" ("&amp;TEXT(J314,"0.00")&amp;")"</f>
        <v>0 (0.00)</v>
      </c>
      <c r="P304" s="8" t="str">
        <f t="shared" ref="P304" si="387">TEXT(K313,"#,##0")&amp;" ("&amp;TEXT(K314,"0.00")&amp;")"</f>
        <v>0 (0.00)</v>
      </c>
      <c r="Q304" s="8" t="str">
        <f t="shared" ref="Q304" si="388">TEXT(L313,"#,##0")&amp;" ("&amp;TEXT(L314,"0.00")&amp;")"</f>
        <v>0 (0.00)</v>
      </c>
    </row>
    <row r="305" spans="1:12" ht="16.5" x14ac:dyDescent="0.3">
      <c r="A305" s="2"/>
      <c r="B305" s="18">
        <v>1</v>
      </c>
      <c r="C305" s="6">
        <v>122</v>
      </c>
      <c r="D305" s="6">
        <v>225</v>
      </c>
      <c r="E305" s="6">
        <v>289</v>
      </c>
      <c r="F305" s="6">
        <v>335</v>
      </c>
      <c r="G305" s="6">
        <v>971</v>
      </c>
      <c r="I305" s="8">
        <f>C305</f>
        <v>122</v>
      </c>
      <c r="J305" s="8">
        <f t="shared" ref="J305" si="389">D305</f>
        <v>225</v>
      </c>
      <c r="K305" s="8">
        <f t="shared" ref="K305" si="390">E305</f>
        <v>289</v>
      </c>
      <c r="L305" s="8">
        <f t="shared" ref="L305" si="391">F305</f>
        <v>335</v>
      </c>
    </row>
    <row r="306" spans="1:12" ht="16.5" x14ac:dyDescent="0.3">
      <c r="A306" s="2"/>
      <c r="B306" s="18"/>
      <c r="C306" s="6">
        <v>0.21</v>
      </c>
      <c r="D306" s="6">
        <v>0.38</v>
      </c>
      <c r="E306" s="6">
        <v>0.49</v>
      </c>
      <c r="F306" s="6">
        <v>0.56999999999999995</v>
      </c>
      <c r="G306" s="6">
        <v>1.65</v>
      </c>
      <c r="I306" s="8">
        <f>C308</f>
        <v>1.01</v>
      </c>
      <c r="J306" s="8">
        <f>D308</f>
        <v>1.6</v>
      </c>
      <c r="K306" s="8">
        <f>E308</f>
        <v>1.89</v>
      </c>
      <c r="L306" s="8">
        <f>F308</f>
        <v>1.93</v>
      </c>
    </row>
    <row r="307" spans="1:12" ht="16.5" x14ac:dyDescent="0.3">
      <c r="A307" s="2"/>
      <c r="B307" s="18"/>
      <c r="C307" s="6">
        <v>12.56</v>
      </c>
      <c r="D307" s="6">
        <v>23.17</v>
      </c>
      <c r="E307" s="6">
        <v>29.76</v>
      </c>
      <c r="F307" s="6">
        <v>34.5</v>
      </c>
      <c r="G307" s="6"/>
    </row>
    <row r="308" spans="1:12" ht="16.5" x14ac:dyDescent="0.3">
      <c r="A308" s="2"/>
      <c r="B308" s="18"/>
      <c r="C308" s="6">
        <v>1.01</v>
      </c>
      <c r="D308" s="6">
        <v>1.6</v>
      </c>
      <c r="E308" s="6">
        <v>1.89</v>
      </c>
      <c r="F308" s="6">
        <v>1.93</v>
      </c>
      <c r="G308" s="6"/>
    </row>
    <row r="309" spans="1:12" ht="15.75" customHeight="1" x14ac:dyDescent="0.3">
      <c r="A309" s="2"/>
      <c r="B309" s="18" t="s">
        <v>22</v>
      </c>
      <c r="C309" s="6">
        <v>12021</v>
      </c>
      <c r="D309" s="6">
        <v>14037</v>
      </c>
      <c r="E309" s="6">
        <v>15296</v>
      </c>
      <c r="F309" s="6">
        <v>17332</v>
      </c>
      <c r="G309" s="6">
        <v>58686</v>
      </c>
      <c r="I309" s="8">
        <f>C309</f>
        <v>12021</v>
      </c>
      <c r="J309" s="8">
        <f t="shared" ref="J309" si="392">D309</f>
        <v>14037</v>
      </c>
      <c r="K309" s="8">
        <f t="shared" ref="K309" si="393">E309</f>
        <v>15296</v>
      </c>
      <c r="L309" s="8">
        <f t="shared" ref="L309" si="394">F309</f>
        <v>17332</v>
      </c>
    </row>
    <row r="310" spans="1:12" ht="16.5" x14ac:dyDescent="0.3">
      <c r="A310" s="2"/>
      <c r="B310" s="18"/>
      <c r="C310" s="6">
        <v>20.48</v>
      </c>
      <c r="D310" s="6">
        <v>23.92</v>
      </c>
      <c r="E310" s="6">
        <v>26.06</v>
      </c>
      <c r="F310" s="6">
        <v>29.53</v>
      </c>
      <c r="G310" s="6">
        <v>100</v>
      </c>
      <c r="I310" s="8">
        <f>C312</f>
        <v>0</v>
      </c>
      <c r="J310" s="8">
        <f>D312</f>
        <v>0</v>
      </c>
      <c r="K310" s="8">
        <f>E312</f>
        <v>0</v>
      </c>
      <c r="L310" s="8">
        <f>F312</f>
        <v>0</v>
      </c>
    </row>
    <row r="311" spans="1:12" ht="16.5" x14ac:dyDescent="0.3">
      <c r="A311" s="2"/>
      <c r="B311" s="26"/>
      <c r="C311" s="26"/>
      <c r="D311" s="26"/>
      <c r="E311" s="26"/>
      <c r="F311" s="26"/>
      <c r="G311" s="26"/>
    </row>
    <row r="313" spans="1:12" x14ac:dyDescent="0.3">
      <c r="I313" s="8">
        <f>C313</f>
        <v>0</v>
      </c>
      <c r="J313" s="8">
        <f t="shared" ref="J313" si="395">D313</f>
        <v>0</v>
      </c>
      <c r="K313" s="8">
        <f t="shared" ref="K313" si="396">E313</f>
        <v>0</v>
      </c>
      <c r="L313" s="8">
        <f t="shared" ref="L313" si="397">F313</f>
        <v>0</v>
      </c>
    </row>
    <row r="314" spans="1:12" x14ac:dyDescent="0.3">
      <c r="I314" s="8">
        <f>C316</f>
        <v>0</v>
      </c>
      <c r="J314" s="8">
        <f>D316</f>
        <v>0</v>
      </c>
      <c r="K314" s="8">
        <f>E316</f>
        <v>0</v>
      </c>
      <c r="L314" s="8">
        <f>F316</f>
        <v>0</v>
      </c>
    </row>
  </sheetData>
  <autoFilter ref="B1:B311" xr:uid="{96A188CC-4326-4D8E-8C54-2BA0DE393546}"/>
  <mergeCells count="136">
    <mergeCell ref="B18:B19"/>
    <mergeCell ref="B20:G20"/>
    <mergeCell ref="B22:G22"/>
    <mergeCell ref="B23:B24"/>
    <mergeCell ref="C23:G23"/>
    <mergeCell ref="B25:B28"/>
    <mergeCell ref="B3:G3"/>
    <mergeCell ref="B4:B5"/>
    <mergeCell ref="C4:G4"/>
    <mergeCell ref="B6:B9"/>
    <mergeCell ref="B10:B13"/>
    <mergeCell ref="B14:B17"/>
    <mergeCell ref="B40:B43"/>
    <mergeCell ref="B44:B47"/>
    <mergeCell ref="B48:B49"/>
    <mergeCell ref="B50:G50"/>
    <mergeCell ref="B52:G52"/>
    <mergeCell ref="B53:B54"/>
    <mergeCell ref="C53:G53"/>
    <mergeCell ref="B29:B32"/>
    <mergeCell ref="B33:B34"/>
    <mergeCell ref="B35:G35"/>
    <mergeCell ref="B37:G37"/>
    <mergeCell ref="B38:B39"/>
    <mergeCell ref="C38:G38"/>
    <mergeCell ref="B75:G75"/>
    <mergeCell ref="B76:B77"/>
    <mergeCell ref="C76:G76"/>
    <mergeCell ref="B78:B81"/>
    <mergeCell ref="B82:B85"/>
    <mergeCell ref="B86:B89"/>
    <mergeCell ref="B55:B58"/>
    <mergeCell ref="B59:B62"/>
    <mergeCell ref="B63:B66"/>
    <mergeCell ref="B67:B70"/>
    <mergeCell ref="B71:B72"/>
    <mergeCell ref="B73:G73"/>
    <mergeCell ref="B101:B104"/>
    <mergeCell ref="B105:B108"/>
    <mergeCell ref="B109:B112"/>
    <mergeCell ref="B113:B116"/>
    <mergeCell ref="B117:B118"/>
    <mergeCell ref="B119:G119"/>
    <mergeCell ref="B90:B93"/>
    <mergeCell ref="B94:B95"/>
    <mergeCell ref="B96:G96"/>
    <mergeCell ref="B98:G98"/>
    <mergeCell ref="B99:B100"/>
    <mergeCell ref="C99:G99"/>
    <mergeCell ref="B134:G134"/>
    <mergeCell ref="B136:G136"/>
    <mergeCell ref="B137:B138"/>
    <mergeCell ref="C137:G137"/>
    <mergeCell ref="B139:B142"/>
    <mergeCell ref="B143:B146"/>
    <mergeCell ref="B121:G121"/>
    <mergeCell ref="B122:B123"/>
    <mergeCell ref="C122:G122"/>
    <mergeCell ref="B124:B127"/>
    <mergeCell ref="B128:B131"/>
    <mergeCell ref="B132:B133"/>
    <mergeCell ref="B158:B161"/>
    <mergeCell ref="B162:B165"/>
    <mergeCell ref="B166:B169"/>
    <mergeCell ref="B170:B171"/>
    <mergeCell ref="B172:G172"/>
    <mergeCell ref="B174:G174"/>
    <mergeCell ref="B147:B150"/>
    <mergeCell ref="B151:B152"/>
    <mergeCell ref="B153:G153"/>
    <mergeCell ref="B155:G155"/>
    <mergeCell ref="B156:B157"/>
    <mergeCell ref="C156:G156"/>
    <mergeCell ref="B191:G191"/>
    <mergeCell ref="B193:G193"/>
    <mergeCell ref="B194:B195"/>
    <mergeCell ref="C194:G194"/>
    <mergeCell ref="B196:B199"/>
    <mergeCell ref="B200:B203"/>
    <mergeCell ref="B175:B176"/>
    <mergeCell ref="C175:G175"/>
    <mergeCell ref="B177:B180"/>
    <mergeCell ref="B181:B184"/>
    <mergeCell ref="B185:B188"/>
    <mergeCell ref="B189:B190"/>
    <mergeCell ref="B215:B218"/>
    <mergeCell ref="B219:B220"/>
    <mergeCell ref="B221:G221"/>
    <mergeCell ref="B223:G223"/>
    <mergeCell ref="B224:B225"/>
    <mergeCell ref="C224:G224"/>
    <mergeCell ref="B204:B205"/>
    <mergeCell ref="B206:G206"/>
    <mergeCell ref="B208:G208"/>
    <mergeCell ref="B209:B210"/>
    <mergeCell ref="C209:G209"/>
    <mergeCell ref="B211:B214"/>
    <mergeCell ref="B241:B244"/>
    <mergeCell ref="B245:B248"/>
    <mergeCell ref="B249:B250"/>
    <mergeCell ref="B251:G251"/>
    <mergeCell ref="B253:G253"/>
    <mergeCell ref="B254:B255"/>
    <mergeCell ref="C254:G254"/>
    <mergeCell ref="B226:B229"/>
    <mergeCell ref="B230:B233"/>
    <mergeCell ref="B234:B235"/>
    <mergeCell ref="B236:G236"/>
    <mergeCell ref="B238:G238"/>
    <mergeCell ref="B239:B240"/>
    <mergeCell ref="C239:G239"/>
    <mergeCell ref="B271:B274"/>
    <mergeCell ref="B275:B278"/>
    <mergeCell ref="B279:B280"/>
    <mergeCell ref="B281:G281"/>
    <mergeCell ref="B283:G283"/>
    <mergeCell ref="B284:B285"/>
    <mergeCell ref="C284:G284"/>
    <mergeCell ref="B256:B259"/>
    <mergeCell ref="B260:B263"/>
    <mergeCell ref="B264:B265"/>
    <mergeCell ref="B266:G266"/>
    <mergeCell ref="B268:G268"/>
    <mergeCell ref="B269:B270"/>
    <mergeCell ref="C269:G269"/>
    <mergeCell ref="B301:B304"/>
    <mergeCell ref="B305:B308"/>
    <mergeCell ref="B309:B310"/>
    <mergeCell ref="B311:G311"/>
    <mergeCell ref="B286:B289"/>
    <mergeCell ref="B290:B293"/>
    <mergeCell ref="B294:B295"/>
    <mergeCell ref="B296:G296"/>
    <mergeCell ref="B298:G298"/>
    <mergeCell ref="B299:B300"/>
    <mergeCell ref="C299:G29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4EAE-1747-4869-B643-784CC569245B}">
  <dimension ref="A1:Q311"/>
  <sheetViews>
    <sheetView workbookViewId="0">
      <selection activeCell="C294" sqref="C294:F294"/>
    </sheetView>
  </sheetViews>
  <sheetFormatPr defaultRowHeight="15.75" x14ac:dyDescent="0.3"/>
  <cols>
    <col min="1" max="13" width="9" style="8"/>
    <col min="14" max="17" width="12.5" style="8" bestFit="1" customWidth="1"/>
    <col min="18" max="16384" width="9" style="8"/>
  </cols>
  <sheetData>
    <row r="1" spans="1:17" ht="16.5" x14ac:dyDescent="0.3">
      <c r="A1" s="1" t="s">
        <v>0</v>
      </c>
      <c r="B1"/>
      <c r="C1"/>
      <c r="D1"/>
      <c r="E1"/>
      <c r="F1"/>
      <c r="G1"/>
    </row>
    <row r="2" spans="1:17" ht="17.25" thickBot="1" x14ac:dyDescent="0.35">
      <c r="A2"/>
      <c r="B2"/>
      <c r="C2"/>
      <c r="D2"/>
      <c r="E2"/>
      <c r="F2"/>
      <c r="G2"/>
    </row>
    <row r="3" spans="1:17" ht="16.5" customHeight="1" x14ac:dyDescent="0.3">
      <c r="A3" s="5" t="s">
        <v>2</v>
      </c>
      <c r="B3" s="17" t="s">
        <v>89</v>
      </c>
      <c r="C3" s="19"/>
      <c r="D3" s="19"/>
      <c r="E3" s="19"/>
      <c r="F3" s="19"/>
      <c r="G3" s="19"/>
    </row>
    <row r="4" spans="1:17" ht="16.5" customHeight="1" x14ac:dyDescent="0.3">
      <c r="A4" s="4" t="s">
        <v>3</v>
      </c>
      <c r="B4" s="18" t="s">
        <v>1</v>
      </c>
      <c r="C4" s="20" t="s">
        <v>24</v>
      </c>
      <c r="D4" s="20"/>
      <c r="E4" s="20"/>
      <c r="F4" s="20"/>
      <c r="G4" s="20"/>
    </row>
    <row r="5" spans="1:17" ht="16.5" x14ac:dyDescent="0.3">
      <c r="A5" s="4" t="s">
        <v>19</v>
      </c>
      <c r="B5" s="18"/>
      <c r="C5" s="3">
        <v>1</v>
      </c>
      <c r="D5" s="3">
        <v>2</v>
      </c>
      <c r="E5" s="3">
        <v>3</v>
      </c>
      <c r="F5" s="3">
        <v>4</v>
      </c>
      <c r="G5" s="3" t="s">
        <v>22</v>
      </c>
    </row>
    <row r="6" spans="1:17" ht="33" x14ac:dyDescent="0.3">
      <c r="A6" s="4" t="s">
        <v>20</v>
      </c>
      <c r="B6" s="18">
        <v>1</v>
      </c>
      <c r="C6" s="6">
        <v>5647</v>
      </c>
      <c r="D6" s="6">
        <v>5291</v>
      </c>
      <c r="E6" s="6">
        <v>4469</v>
      </c>
      <c r="F6" s="6">
        <v>5294</v>
      </c>
      <c r="G6" s="6">
        <v>20701</v>
      </c>
      <c r="I6" s="8">
        <f>C6</f>
        <v>5647</v>
      </c>
      <c r="J6" s="8">
        <f t="shared" ref="J6:L6" si="0">D6</f>
        <v>5291</v>
      </c>
      <c r="K6" s="8">
        <f t="shared" si="0"/>
        <v>4469</v>
      </c>
      <c r="L6" s="8">
        <f t="shared" si="0"/>
        <v>5294</v>
      </c>
      <c r="N6" s="8" t="str">
        <f>TEXT(I6,"#,##0")&amp;" ("&amp;TEXT(I7,"0.00")&amp;")"</f>
        <v>5,647 (53.60)</v>
      </c>
      <c r="O6" s="8" t="str">
        <f t="shared" ref="O6:Q6" si="1">TEXT(J6,"#,##0")&amp;" ("&amp;TEXT(J7,"0.00")&amp;")"</f>
        <v>5,291 (35.41)</v>
      </c>
      <c r="P6" s="8" t="str">
        <f t="shared" si="1"/>
        <v>4,469 (27.48)</v>
      </c>
      <c r="Q6" s="8" t="str">
        <f t="shared" si="1"/>
        <v>5,294 (31.24)</v>
      </c>
    </row>
    <row r="7" spans="1:17" ht="16.5" x14ac:dyDescent="0.3">
      <c r="A7" s="2"/>
      <c r="B7" s="18"/>
      <c r="C7" s="6">
        <v>9.6199999999999992</v>
      </c>
      <c r="D7" s="6">
        <v>9.02</v>
      </c>
      <c r="E7" s="6">
        <v>7.62</v>
      </c>
      <c r="F7" s="6">
        <v>9.02</v>
      </c>
      <c r="G7" s="6">
        <v>35.270000000000003</v>
      </c>
      <c r="I7" s="8">
        <f>C9</f>
        <v>53.6</v>
      </c>
      <c r="J7" s="8">
        <f>D9</f>
        <v>35.409999999999997</v>
      </c>
      <c r="K7" s="8">
        <f>E9</f>
        <v>27.48</v>
      </c>
      <c r="L7" s="8">
        <f>F9</f>
        <v>31.24</v>
      </c>
      <c r="N7" s="8" t="str">
        <f>TEXT(I10,"#,##0")&amp;" ("&amp;TEXT(I11,"0.00")&amp;")"</f>
        <v>3,066 (29.10)</v>
      </c>
      <c r="O7" s="8" t="str">
        <f t="shared" ref="O7:Q7" si="2">TEXT(J10,"#,##0")&amp;" ("&amp;TEXT(J11,"0.00")&amp;")"</f>
        <v>5,555 (37.18)</v>
      </c>
      <c r="P7" s="8" t="str">
        <f t="shared" si="2"/>
        <v>6,090 (37.45)</v>
      </c>
      <c r="Q7" s="8" t="str">
        <f t="shared" si="2"/>
        <v>6,490 (38.30)</v>
      </c>
    </row>
    <row r="8" spans="1:17" ht="16.5" x14ac:dyDescent="0.3">
      <c r="A8" s="2"/>
      <c r="B8" s="18"/>
      <c r="C8" s="6">
        <v>27.28</v>
      </c>
      <c r="D8" s="6">
        <v>25.56</v>
      </c>
      <c r="E8" s="6">
        <v>21.59</v>
      </c>
      <c r="F8" s="6">
        <v>25.57</v>
      </c>
      <c r="G8" s="6"/>
      <c r="N8" s="8" t="str">
        <f>TEXT(I14,"#,##0")&amp;" ("&amp;TEXT(I15,"0.00")&amp;")"</f>
        <v>1,823 (17.30)</v>
      </c>
      <c r="O8" s="8" t="str">
        <f t="shared" ref="O8:Q8" si="3">TEXT(J14,"#,##0")&amp;" ("&amp;TEXT(J15,"0.00")&amp;")"</f>
        <v>4,095 (27.41)</v>
      </c>
      <c r="P8" s="8" t="str">
        <f t="shared" si="3"/>
        <v>5,704 (35.07)</v>
      </c>
      <c r="Q8" s="8" t="str">
        <f t="shared" si="3"/>
        <v>5,162 (30.46)</v>
      </c>
    </row>
    <row r="9" spans="1:17" ht="16.5" x14ac:dyDescent="0.3">
      <c r="A9" s="2"/>
      <c r="B9" s="18"/>
      <c r="C9" s="6">
        <v>53.6</v>
      </c>
      <c r="D9" s="6">
        <v>35.409999999999997</v>
      </c>
      <c r="E9" s="6">
        <v>27.48</v>
      </c>
      <c r="F9" s="6">
        <v>31.24</v>
      </c>
      <c r="G9" s="6"/>
    </row>
    <row r="10" spans="1:17" ht="16.5" x14ac:dyDescent="0.3">
      <c r="A10" s="2"/>
      <c r="B10" s="18">
        <v>2</v>
      </c>
      <c r="C10" s="6">
        <v>3066</v>
      </c>
      <c r="D10" s="6">
        <v>5555</v>
      </c>
      <c r="E10" s="6">
        <v>6090</v>
      </c>
      <c r="F10" s="6">
        <v>6490</v>
      </c>
      <c r="G10" s="6">
        <v>21201</v>
      </c>
      <c r="I10" s="8">
        <f>C10</f>
        <v>3066</v>
      </c>
      <c r="J10" s="8">
        <f t="shared" ref="J10:L10" si="4">D10</f>
        <v>5555</v>
      </c>
      <c r="K10" s="8">
        <f t="shared" si="4"/>
        <v>6090</v>
      </c>
      <c r="L10" s="8">
        <f t="shared" si="4"/>
        <v>6490</v>
      </c>
    </row>
    <row r="11" spans="1:17" ht="16.5" x14ac:dyDescent="0.3">
      <c r="A11" s="2"/>
      <c r="B11" s="18"/>
      <c r="C11" s="6">
        <v>5.22</v>
      </c>
      <c r="D11" s="6">
        <v>9.4700000000000006</v>
      </c>
      <c r="E11" s="6">
        <v>10.38</v>
      </c>
      <c r="F11" s="6">
        <v>11.06</v>
      </c>
      <c r="G11" s="6">
        <v>36.130000000000003</v>
      </c>
      <c r="I11" s="8">
        <f>C13</f>
        <v>29.1</v>
      </c>
      <c r="J11" s="8">
        <f>D13</f>
        <v>37.18</v>
      </c>
      <c r="K11" s="8">
        <f>E13</f>
        <v>37.450000000000003</v>
      </c>
      <c r="L11" s="8">
        <f>F13</f>
        <v>38.299999999999997</v>
      </c>
    </row>
    <row r="12" spans="1:17" ht="16.5" x14ac:dyDescent="0.3">
      <c r="A12" s="2"/>
      <c r="B12" s="18"/>
      <c r="C12" s="6">
        <v>14.46</v>
      </c>
      <c r="D12" s="6">
        <v>26.2</v>
      </c>
      <c r="E12" s="6">
        <v>28.73</v>
      </c>
      <c r="F12" s="6">
        <v>30.61</v>
      </c>
      <c r="G12" s="6"/>
    </row>
    <row r="13" spans="1:17" ht="16.5" x14ac:dyDescent="0.3">
      <c r="A13" s="2"/>
      <c r="B13" s="18"/>
      <c r="C13" s="6">
        <v>29.1</v>
      </c>
      <c r="D13" s="6">
        <v>37.18</v>
      </c>
      <c r="E13" s="6">
        <v>37.450000000000003</v>
      </c>
      <c r="F13" s="6">
        <v>38.299999999999997</v>
      </c>
      <c r="G13" s="6"/>
    </row>
    <row r="14" spans="1:17" ht="16.5" x14ac:dyDescent="0.3">
      <c r="A14" s="2"/>
      <c r="B14" s="18">
        <v>3</v>
      </c>
      <c r="C14" s="6">
        <v>1823</v>
      </c>
      <c r="D14" s="6">
        <v>4095</v>
      </c>
      <c r="E14" s="6">
        <v>5704</v>
      </c>
      <c r="F14" s="6">
        <v>5162</v>
      </c>
      <c r="G14" s="6">
        <v>16784</v>
      </c>
      <c r="I14" s="8">
        <f>C14</f>
        <v>1823</v>
      </c>
      <c r="J14" s="8">
        <f t="shared" ref="J14:L14" si="5">D14</f>
        <v>4095</v>
      </c>
      <c r="K14" s="8">
        <f t="shared" si="5"/>
        <v>5704</v>
      </c>
      <c r="L14" s="8">
        <f t="shared" si="5"/>
        <v>5162</v>
      </c>
      <c r="N14" s="13"/>
    </row>
    <row r="15" spans="1:17" ht="16.5" x14ac:dyDescent="0.3">
      <c r="A15" s="2"/>
      <c r="B15" s="18"/>
      <c r="C15" s="6">
        <v>3.11</v>
      </c>
      <c r="D15" s="6">
        <v>6.98</v>
      </c>
      <c r="E15" s="6">
        <v>9.7200000000000006</v>
      </c>
      <c r="F15" s="6">
        <v>8.8000000000000007</v>
      </c>
      <c r="G15" s="6">
        <v>28.6</v>
      </c>
      <c r="I15" s="8">
        <f>C17</f>
        <v>17.3</v>
      </c>
      <c r="J15" s="8">
        <f>D17</f>
        <v>27.41</v>
      </c>
      <c r="K15" s="8">
        <f>E17</f>
        <v>35.07</v>
      </c>
      <c r="L15" s="8">
        <f>F17</f>
        <v>30.46</v>
      </c>
    </row>
    <row r="16" spans="1:17" ht="16.5" x14ac:dyDescent="0.3">
      <c r="A16" s="2"/>
      <c r="B16" s="18"/>
      <c r="C16" s="6">
        <v>10.86</v>
      </c>
      <c r="D16" s="6">
        <v>24.4</v>
      </c>
      <c r="E16" s="6">
        <v>33.979999999999997</v>
      </c>
      <c r="F16" s="6">
        <v>30.76</v>
      </c>
      <c r="G16" s="6"/>
    </row>
    <row r="17" spans="1:17" ht="16.5" x14ac:dyDescent="0.3">
      <c r="A17" s="2"/>
      <c r="B17" s="18"/>
      <c r="C17" s="6">
        <v>17.3</v>
      </c>
      <c r="D17" s="6">
        <v>27.41</v>
      </c>
      <c r="E17" s="6">
        <v>35.07</v>
      </c>
      <c r="F17" s="6">
        <v>30.46</v>
      </c>
      <c r="G17" s="6"/>
    </row>
    <row r="18" spans="1:17" ht="15.75" customHeight="1" x14ac:dyDescent="0.3">
      <c r="A18" s="2"/>
      <c r="B18" s="18" t="s">
        <v>22</v>
      </c>
      <c r="C18" s="6">
        <v>10536</v>
      </c>
      <c r="D18" s="6">
        <v>14941</v>
      </c>
      <c r="E18" s="6">
        <v>16263</v>
      </c>
      <c r="F18" s="6">
        <v>16946</v>
      </c>
      <c r="G18" s="6">
        <v>58686</v>
      </c>
    </row>
    <row r="19" spans="1:17" ht="16.5" x14ac:dyDescent="0.3">
      <c r="A19" s="2"/>
      <c r="B19" s="18"/>
      <c r="C19" s="6">
        <v>17.95</v>
      </c>
      <c r="D19" s="6">
        <v>25.46</v>
      </c>
      <c r="E19" s="6">
        <v>27.71</v>
      </c>
      <c r="F19" s="6">
        <v>28.88</v>
      </c>
      <c r="G19" s="6">
        <v>100</v>
      </c>
    </row>
    <row r="20" spans="1:17" ht="16.5" x14ac:dyDescent="0.3">
      <c r="A20" s="2"/>
      <c r="B20" s="26"/>
      <c r="C20" s="26"/>
      <c r="D20" s="26"/>
      <c r="E20" s="26"/>
      <c r="F20" s="26"/>
      <c r="G20" s="26"/>
    </row>
    <row r="21" spans="1:17" ht="17.25" thickBot="1" x14ac:dyDescent="0.35">
      <c r="A21"/>
      <c r="B21"/>
      <c r="C21"/>
      <c r="D21"/>
      <c r="E21"/>
      <c r="F21"/>
      <c r="G21"/>
    </row>
    <row r="22" spans="1:17" ht="16.5" customHeight="1" x14ac:dyDescent="0.3">
      <c r="A22" s="5" t="s">
        <v>2</v>
      </c>
      <c r="B22" s="17" t="s">
        <v>90</v>
      </c>
      <c r="C22" s="19"/>
      <c r="D22" s="19"/>
      <c r="E22" s="19"/>
      <c r="F22" s="19"/>
      <c r="G22" s="19"/>
    </row>
    <row r="23" spans="1:17" ht="16.5" customHeight="1" x14ac:dyDescent="0.3">
      <c r="A23" s="4" t="s">
        <v>3</v>
      </c>
      <c r="B23" s="18" t="s">
        <v>4</v>
      </c>
      <c r="C23" s="20" t="s">
        <v>24</v>
      </c>
      <c r="D23" s="20"/>
      <c r="E23" s="20"/>
      <c r="F23" s="20"/>
      <c r="G23" s="20"/>
    </row>
    <row r="24" spans="1:17" ht="16.5" x14ac:dyDescent="0.3">
      <c r="A24" s="4" t="s">
        <v>19</v>
      </c>
      <c r="B24" s="18"/>
      <c r="C24" s="3">
        <v>1</v>
      </c>
      <c r="D24" s="3">
        <v>2</v>
      </c>
      <c r="E24" s="3">
        <v>3</v>
      </c>
      <c r="F24" s="3">
        <v>4</v>
      </c>
      <c r="G24" s="3" t="s">
        <v>22</v>
      </c>
    </row>
    <row r="25" spans="1:17" ht="33" x14ac:dyDescent="0.3">
      <c r="A25" s="4" t="s">
        <v>20</v>
      </c>
      <c r="B25" s="18">
        <v>1</v>
      </c>
      <c r="C25" s="6">
        <v>2766</v>
      </c>
      <c r="D25" s="6">
        <v>5936</v>
      </c>
      <c r="E25" s="6">
        <v>8665</v>
      </c>
      <c r="F25" s="6">
        <v>10029</v>
      </c>
      <c r="G25" s="6">
        <v>27396</v>
      </c>
      <c r="I25" s="8">
        <f>C25</f>
        <v>2766</v>
      </c>
      <c r="J25" s="8">
        <f t="shared" ref="J25:L25" si="6">D25</f>
        <v>5936</v>
      </c>
      <c r="K25" s="8">
        <f t="shared" si="6"/>
        <v>8665</v>
      </c>
      <c r="L25" s="8">
        <f t="shared" si="6"/>
        <v>10029</v>
      </c>
      <c r="N25" s="8" t="str">
        <f>TEXT(I25,"#,##0")&amp;" ("&amp;TEXT(I26,"0.00")&amp;")"</f>
        <v>2,766 (26.25)</v>
      </c>
      <c r="O25" s="8" t="str">
        <f t="shared" ref="O25:Q25" si="7">TEXT(J25,"#,##0")&amp;" ("&amp;TEXT(J26,"0.00")&amp;")"</f>
        <v>5,936 (39.73)</v>
      </c>
      <c r="P25" s="8" t="str">
        <f t="shared" si="7"/>
        <v>8,665 (53.28)</v>
      </c>
      <c r="Q25" s="8" t="str">
        <f t="shared" si="7"/>
        <v>10,029 (59.18)</v>
      </c>
    </row>
    <row r="26" spans="1:17" ht="16.5" x14ac:dyDescent="0.3">
      <c r="A26" s="2"/>
      <c r="B26" s="18"/>
      <c r="C26" s="6">
        <v>4.71</v>
      </c>
      <c r="D26" s="6">
        <v>10.11</v>
      </c>
      <c r="E26" s="6">
        <v>14.77</v>
      </c>
      <c r="F26" s="6">
        <v>17.09</v>
      </c>
      <c r="G26" s="6">
        <v>46.68</v>
      </c>
      <c r="I26" s="8">
        <f>C28</f>
        <v>26.25</v>
      </c>
      <c r="J26" s="8">
        <f>D28</f>
        <v>39.729999999999997</v>
      </c>
      <c r="K26" s="8">
        <f>E28</f>
        <v>53.28</v>
      </c>
      <c r="L26" s="8">
        <f>F28</f>
        <v>59.18</v>
      </c>
      <c r="N26" s="8" t="str">
        <f>TEXT(I29,"#,##0")&amp;" ("&amp;TEXT(I30,"0.00")&amp;")"</f>
        <v>7,770 (73.75)</v>
      </c>
      <c r="O26" s="8" t="str">
        <f t="shared" ref="O26:Q26" si="8">TEXT(J29,"#,##0")&amp;" ("&amp;TEXT(J30,"0.00")&amp;")"</f>
        <v>9,005 (60.27)</v>
      </c>
      <c r="P26" s="8" t="str">
        <f t="shared" si="8"/>
        <v>7,598 (46.72)</v>
      </c>
      <c r="Q26" s="8" t="str">
        <f t="shared" si="8"/>
        <v>6,917 (40.82)</v>
      </c>
    </row>
    <row r="27" spans="1:17" ht="16.5" x14ac:dyDescent="0.3">
      <c r="A27" s="2"/>
      <c r="B27" s="18"/>
      <c r="C27" s="6">
        <v>10.1</v>
      </c>
      <c r="D27" s="6">
        <v>21.67</v>
      </c>
      <c r="E27" s="6">
        <v>31.63</v>
      </c>
      <c r="F27" s="6">
        <v>36.61</v>
      </c>
      <c r="G27" s="6"/>
    </row>
    <row r="28" spans="1:17" ht="16.5" x14ac:dyDescent="0.3">
      <c r="A28" s="2"/>
      <c r="B28" s="18"/>
      <c r="C28" s="6">
        <v>26.25</v>
      </c>
      <c r="D28" s="6">
        <v>39.729999999999997</v>
      </c>
      <c r="E28" s="6">
        <v>53.28</v>
      </c>
      <c r="F28" s="6">
        <v>59.18</v>
      </c>
      <c r="G28" s="6"/>
    </row>
    <row r="29" spans="1:17" ht="16.5" x14ac:dyDescent="0.3">
      <c r="A29" s="2"/>
      <c r="B29" s="18">
        <v>2</v>
      </c>
      <c r="C29" s="6">
        <v>7770</v>
      </c>
      <c r="D29" s="6">
        <v>9005</v>
      </c>
      <c r="E29" s="6">
        <v>7598</v>
      </c>
      <c r="F29" s="6">
        <v>6917</v>
      </c>
      <c r="G29" s="6">
        <v>31290</v>
      </c>
      <c r="I29" s="8">
        <f>C29</f>
        <v>7770</v>
      </c>
      <c r="J29" s="8">
        <f t="shared" ref="J29:L29" si="9">D29</f>
        <v>9005</v>
      </c>
      <c r="K29" s="8">
        <f t="shared" si="9"/>
        <v>7598</v>
      </c>
      <c r="L29" s="8">
        <f t="shared" si="9"/>
        <v>6917</v>
      </c>
    </row>
    <row r="30" spans="1:17" ht="16.5" x14ac:dyDescent="0.3">
      <c r="A30" s="2"/>
      <c r="B30" s="18"/>
      <c r="C30" s="6">
        <v>13.24</v>
      </c>
      <c r="D30" s="6">
        <v>15.34</v>
      </c>
      <c r="E30" s="6">
        <v>12.95</v>
      </c>
      <c r="F30" s="6">
        <v>11.79</v>
      </c>
      <c r="G30" s="6">
        <v>53.32</v>
      </c>
      <c r="I30" s="8">
        <f>C32</f>
        <v>73.75</v>
      </c>
      <c r="J30" s="8">
        <f>D32</f>
        <v>60.27</v>
      </c>
      <c r="K30" s="8">
        <f>E32</f>
        <v>46.72</v>
      </c>
      <c r="L30" s="8">
        <f>F32</f>
        <v>40.82</v>
      </c>
    </row>
    <row r="31" spans="1:17" ht="16.5" x14ac:dyDescent="0.3">
      <c r="A31" s="2"/>
      <c r="B31" s="18"/>
      <c r="C31" s="6">
        <v>24.83</v>
      </c>
      <c r="D31" s="6">
        <v>28.78</v>
      </c>
      <c r="E31" s="6">
        <v>24.28</v>
      </c>
      <c r="F31" s="6">
        <v>22.11</v>
      </c>
      <c r="G31" s="6"/>
    </row>
    <row r="32" spans="1:17" ht="16.5" x14ac:dyDescent="0.3">
      <c r="A32" s="2"/>
      <c r="B32" s="18"/>
      <c r="C32" s="6">
        <v>73.75</v>
      </c>
      <c r="D32" s="6">
        <v>60.27</v>
      </c>
      <c r="E32" s="6">
        <v>46.72</v>
      </c>
      <c r="F32" s="6">
        <v>40.82</v>
      </c>
      <c r="G32" s="6"/>
    </row>
    <row r="33" spans="1:17" ht="15.75" customHeight="1" x14ac:dyDescent="0.3">
      <c r="A33" s="2"/>
      <c r="B33" s="18" t="s">
        <v>22</v>
      </c>
      <c r="C33" s="6">
        <v>10536</v>
      </c>
      <c r="D33" s="6">
        <v>14941</v>
      </c>
      <c r="E33" s="6">
        <v>16263</v>
      </c>
      <c r="F33" s="6">
        <v>16946</v>
      </c>
      <c r="G33" s="6">
        <v>58686</v>
      </c>
    </row>
    <row r="34" spans="1:17" ht="16.5" x14ac:dyDescent="0.3">
      <c r="A34" s="2"/>
      <c r="B34" s="18"/>
      <c r="C34" s="6">
        <v>17.95</v>
      </c>
      <c r="D34" s="6">
        <v>25.46</v>
      </c>
      <c r="E34" s="6">
        <v>27.71</v>
      </c>
      <c r="F34" s="6">
        <v>28.88</v>
      </c>
      <c r="G34" s="6">
        <v>100</v>
      </c>
    </row>
    <row r="35" spans="1:17" ht="16.5" x14ac:dyDescent="0.3">
      <c r="A35" s="2"/>
      <c r="B35" s="26"/>
      <c r="C35" s="26"/>
      <c r="D35" s="26"/>
      <c r="E35" s="26"/>
      <c r="F35" s="26"/>
      <c r="G35" s="26"/>
    </row>
    <row r="36" spans="1:17" ht="17.25" thickBot="1" x14ac:dyDescent="0.35">
      <c r="A36"/>
      <c r="B36"/>
      <c r="C36"/>
      <c r="D36"/>
      <c r="E36"/>
      <c r="F36"/>
      <c r="G36"/>
    </row>
    <row r="37" spans="1:17" ht="16.5" customHeight="1" x14ac:dyDescent="0.3">
      <c r="A37" s="5" t="s">
        <v>2</v>
      </c>
      <c r="B37" s="17" t="s">
        <v>91</v>
      </c>
      <c r="C37" s="19"/>
      <c r="D37" s="19"/>
      <c r="E37" s="19"/>
      <c r="F37" s="19"/>
      <c r="G37" s="19"/>
    </row>
    <row r="38" spans="1:17" ht="16.5" customHeight="1" x14ac:dyDescent="0.3">
      <c r="A38" s="4" t="s">
        <v>3</v>
      </c>
      <c r="B38" s="18" t="s">
        <v>5</v>
      </c>
      <c r="C38" s="20" t="s">
        <v>24</v>
      </c>
      <c r="D38" s="20"/>
      <c r="E38" s="20"/>
      <c r="F38" s="20"/>
      <c r="G38" s="20"/>
    </row>
    <row r="39" spans="1:17" ht="16.5" x14ac:dyDescent="0.3">
      <c r="A39" s="4" t="s">
        <v>19</v>
      </c>
      <c r="B39" s="18"/>
      <c r="C39" s="3">
        <v>1</v>
      </c>
      <c r="D39" s="3">
        <v>2</v>
      </c>
      <c r="E39" s="3">
        <v>3</v>
      </c>
      <c r="F39" s="3">
        <v>4</v>
      </c>
      <c r="G39" s="3" t="s">
        <v>22</v>
      </c>
    </row>
    <row r="40" spans="1:17" ht="33" x14ac:dyDescent="0.3">
      <c r="A40" s="4" t="s">
        <v>20</v>
      </c>
      <c r="B40" s="18">
        <v>1</v>
      </c>
      <c r="C40" s="6">
        <v>8855</v>
      </c>
      <c r="D40" s="6">
        <v>12065</v>
      </c>
      <c r="E40" s="6">
        <v>12951</v>
      </c>
      <c r="F40" s="6">
        <v>13230</v>
      </c>
      <c r="G40" s="6">
        <v>47101</v>
      </c>
      <c r="I40" s="8">
        <f>C40</f>
        <v>8855</v>
      </c>
      <c r="J40" s="8">
        <f t="shared" ref="J40:L40" si="10">D40</f>
        <v>12065</v>
      </c>
      <c r="K40" s="8">
        <f t="shared" si="10"/>
        <v>12951</v>
      </c>
      <c r="L40" s="8">
        <f t="shared" si="10"/>
        <v>13230</v>
      </c>
      <c r="N40" s="8" t="str">
        <f>TEXT(I40,"#,##0")&amp;" ("&amp;TEXT(I41,"0.00")&amp;")"</f>
        <v>8,855 (84.05)</v>
      </c>
      <c r="O40" s="8" t="str">
        <f t="shared" ref="O40:Q40" si="11">TEXT(J40,"#,##0")&amp;" ("&amp;TEXT(J41,"0.00")&amp;")"</f>
        <v>12,065 (80.75)</v>
      </c>
      <c r="P40" s="8" t="str">
        <f t="shared" si="11"/>
        <v>12,951 (79.63)</v>
      </c>
      <c r="Q40" s="8" t="str">
        <f t="shared" si="11"/>
        <v>13,230 (78.07)</v>
      </c>
    </row>
    <row r="41" spans="1:17" ht="16.5" x14ac:dyDescent="0.3">
      <c r="A41" s="2"/>
      <c r="B41" s="18"/>
      <c r="C41" s="6">
        <v>15.09</v>
      </c>
      <c r="D41" s="6">
        <v>20.56</v>
      </c>
      <c r="E41" s="6">
        <v>22.07</v>
      </c>
      <c r="F41" s="6">
        <v>22.54</v>
      </c>
      <c r="G41" s="6">
        <v>80.260000000000005</v>
      </c>
      <c r="I41" s="8">
        <f>C43</f>
        <v>84.05</v>
      </c>
      <c r="J41" s="8">
        <f>D43</f>
        <v>80.75</v>
      </c>
      <c r="K41" s="8">
        <f>E43</f>
        <v>79.63</v>
      </c>
      <c r="L41" s="8">
        <f>F43</f>
        <v>78.069999999999993</v>
      </c>
      <c r="N41" s="8" t="str">
        <f>TEXT(I44,"#,##0")&amp;" ("&amp;TEXT(I45,"0.00")&amp;")"</f>
        <v>1,681 (15.95)</v>
      </c>
      <c r="O41" s="8" t="str">
        <f t="shared" ref="O41:Q41" si="12">TEXT(J44,"#,##0")&amp;" ("&amp;TEXT(J45,"0.00")&amp;")"</f>
        <v>2,876 (19.25)</v>
      </c>
      <c r="P41" s="8" t="str">
        <f t="shared" si="12"/>
        <v>3,312 (20.37)</v>
      </c>
      <c r="Q41" s="8" t="str">
        <f t="shared" si="12"/>
        <v>3,716 (21.93)</v>
      </c>
    </row>
    <row r="42" spans="1:17" ht="16.5" x14ac:dyDescent="0.3">
      <c r="A42" s="2"/>
      <c r="B42" s="18"/>
      <c r="C42" s="6">
        <v>18.8</v>
      </c>
      <c r="D42" s="6">
        <v>25.62</v>
      </c>
      <c r="E42" s="6">
        <v>27.5</v>
      </c>
      <c r="F42" s="6">
        <v>28.09</v>
      </c>
      <c r="G42" s="6"/>
    </row>
    <row r="43" spans="1:17" ht="16.5" x14ac:dyDescent="0.3">
      <c r="A43" s="2"/>
      <c r="B43" s="18"/>
      <c r="C43" s="6">
        <v>84.05</v>
      </c>
      <c r="D43" s="6">
        <v>80.75</v>
      </c>
      <c r="E43" s="6">
        <v>79.63</v>
      </c>
      <c r="F43" s="6">
        <v>78.069999999999993</v>
      </c>
      <c r="G43" s="6"/>
    </row>
    <row r="44" spans="1:17" ht="16.5" x14ac:dyDescent="0.3">
      <c r="A44" s="2"/>
      <c r="B44" s="18">
        <v>2</v>
      </c>
      <c r="C44" s="6">
        <v>1681</v>
      </c>
      <c r="D44" s="6">
        <v>2876</v>
      </c>
      <c r="E44" s="6">
        <v>3312</v>
      </c>
      <c r="F44" s="6">
        <v>3716</v>
      </c>
      <c r="G44" s="6">
        <v>11585</v>
      </c>
      <c r="I44" s="8">
        <f>C44</f>
        <v>1681</v>
      </c>
      <c r="J44" s="8">
        <f t="shared" ref="J44:L44" si="13">D44</f>
        <v>2876</v>
      </c>
      <c r="K44" s="8">
        <f t="shared" si="13"/>
        <v>3312</v>
      </c>
      <c r="L44" s="8">
        <f t="shared" si="13"/>
        <v>3716</v>
      </c>
    </row>
    <row r="45" spans="1:17" ht="16.5" x14ac:dyDescent="0.3">
      <c r="A45" s="2"/>
      <c r="B45" s="18"/>
      <c r="C45" s="6">
        <v>2.86</v>
      </c>
      <c r="D45" s="6">
        <v>4.9000000000000004</v>
      </c>
      <c r="E45" s="6">
        <v>5.64</v>
      </c>
      <c r="F45" s="6">
        <v>6.33</v>
      </c>
      <c r="G45" s="6">
        <v>19.739999999999998</v>
      </c>
      <c r="I45" s="8">
        <f>C47</f>
        <v>15.95</v>
      </c>
      <c r="J45" s="8">
        <f>D47</f>
        <v>19.25</v>
      </c>
      <c r="K45" s="8">
        <f>E47</f>
        <v>20.37</v>
      </c>
      <c r="L45" s="8">
        <f>F47</f>
        <v>21.93</v>
      </c>
    </row>
    <row r="46" spans="1:17" ht="16.5" x14ac:dyDescent="0.3">
      <c r="A46" s="2"/>
      <c r="B46" s="18"/>
      <c r="C46" s="6">
        <v>14.51</v>
      </c>
      <c r="D46" s="6">
        <v>24.83</v>
      </c>
      <c r="E46" s="6">
        <v>28.59</v>
      </c>
      <c r="F46" s="6">
        <v>32.08</v>
      </c>
      <c r="G46" s="6"/>
    </row>
    <row r="47" spans="1:17" ht="16.5" x14ac:dyDescent="0.3">
      <c r="A47" s="2"/>
      <c r="B47" s="18"/>
      <c r="C47" s="6">
        <v>15.95</v>
      </c>
      <c r="D47" s="6">
        <v>19.25</v>
      </c>
      <c r="E47" s="6">
        <v>20.37</v>
      </c>
      <c r="F47" s="6">
        <v>21.93</v>
      </c>
      <c r="G47" s="6"/>
    </row>
    <row r="48" spans="1:17" ht="15.75" customHeight="1" x14ac:dyDescent="0.3">
      <c r="A48" s="2"/>
      <c r="B48" s="18" t="s">
        <v>22</v>
      </c>
      <c r="C48" s="6">
        <v>10536</v>
      </c>
      <c r="D48" s="6">
        <v>14941</v>
      </c>
      <c r="E48" s="6">
        <v>16263</v>
      </c>
      <c r="F48" s="6">
        <v>16946</v>
      </c>
      <c r="G48" s="6">
        <v>58686</v>
      </c>
      <c r="I48" s="8">
        <f>C48</f>
        <v>10536</v>
      </c>
      <c r="J48" s="8">
        <f t="shared" ref="J48:L48" si="14">D48</f>
        <v>14941</v>
      </c>
      <c r="K48" s="8">
        <f t="shared" si="14"/>
        <v>16263</v>
      </c>
      <c r="L48" s="8">
        <f t="shared" si="14"/>
        <v>16946</v>
      </c>
    </row>
    <row r="49" spans="1:17" ht="16.5" x14ac:dyDescent="0.3">
      <c r="A49" s="2"/>
      <c r="B49" s="18"/>
      <c r="C49" s="6">
        <v>17.95</v>
      </c>
      <c r="D49" s="6">
        <v>25.46</v>
      </c>
      <c r="E49" s="6">
        <v>27.71</v>
      </c>
      <c r="F49" s="6">
        <v>28.88</v>
      </c>
      <c r="G49" s="6">
        <v>100</v>
      </c>
      <c r="I49" s="8">
        <f>C51</f>
        <v>0</v>
      </c>
      <c r="J49" s="8">
        <f>D51</f>
        <v>0</v>
      </c>
      <c r="K49" s="8">
        <f>E51</f>
        <v>0</v>
      </c>
      <c r="L49" s="8">
        <f>F51</f>
        <v>0</v>
      </c>
    </row>
    <row r="50" spans="1:17" ht="16.5" x14ac:dyDescent="0.3">
      <c r="A50" s="2"/>
      <c r="B50" s="26"/>
      <c r="C50" s="26"/>
      <c r="D50" s="26"/>
      <c r="E50" s="26"/>
      <c r="F50" s="26"/>
      <c r="G50" s="26"/>
    </row>
    <row r="51" spans="1:17" ht="17.25" thickBot="1" x14ac:dyDescent="0.35">
      <c r="A51"/>
      <c r="B51"/>
      <c r="C51"/>
      <c r="D51"/>
      <c r="E51"/>
      <c r="F51"/>
      <c r="G51"/>
    </row>
    <row r="52" spans="1:17" ht="16.5" customHeight="1" x14ac:dyDescent="0.3">
      <c r="A52" s="5" t="s">
        <v>2</v>
      </c>
      <c r="B52" s="17" t="s">
        <v>92</v>
      </c>
      <c r="C52" s="19"/>
      <c r="D52" s="19"/>
      <c r="E52" s="19"/>
      <c r="F52" s="19"/>
      <c r="G52" s="19"/>
    </row>
    <row r="53" spans="1:17" ht="16.5" customHeight="1" x14ac:dyDescent="0.3">
      <c r="A53" s="4" t="s">
        <v>3</v>
      </c>
      <c r="B53" s="18" t="s">
        <v>6</v>
      </c>
      <c r="C53" s="20" t="s">
        <v>24</v>
      </c>
      <c r="D53" s="20"/>
      <c r="E53" s="20"/>
      <c r="F53" s="20"/>
      <c r="G53" s="20"/>
    </row>
    <row r="54" spans="1:17" ht="16.5" x14ac:dyDescent="0.3">
      <c r="A54" s="4" t="s">
        <v>19</v>
      </c>
      <c r="B54" s="18"/>
      <c r="C54" s="3">
        <v>1</v>
      </c>
      <c r="D54" s="3">
        <v>2</v>
      </c>
      <c r="E54" s="3">
        <v>3</v>
      </c>
      <c r="F54" s="3">
        <v>4</v>
      </c>
      <c r="G54" s="3" t="s">
        <v>22</v>
      </c>
    </row>
    <row r="55" spans="1:17" ht="33" x14ac:dyDescent="0.3">
      <c r="A55" s="4" t="s">
        <v>20</v>
      </c>
      <c r="B55" s="18">
        <v>1</v>
      </c>
      <c r="C55" s="6">
        <v>717</v>
      </c>
      <c r="D55" s="6">
        <v>1639</v>
      </c>
      <c r="E55" s="6">
        <v>2360</v>
      </c>
      <c r="F55" s="6">
        <v>2462</v>
      </c>
      <c r="G55" s="6">
        <v>7178</v>
      </c>
      <c r="I55" s="8">
        <f>C55</f>
        <v>717</v>
      </c>
      <c r="J55" s="8">
        <f t="shared" ref="J55:L55" si="15">D55</f>
        <v>1639</v>
      </c>
      <c r="K55" s="8">
        <f t="shared" si="15"/>
        <v>2360</v>
      </c>
      <c r="L55" s="8">
        <f t="shared" si="15"/>
        <v>2462</v>
      </c>
      <c r="N55" s="8" t="str">
        <f>TEXT(I55,"#,##0")&amp;" ("&amp;TEXT(I56,"0.00")&amp;")"</f>
        <v>717 (6.81)</v>
      </c>
      <c r="O55" s="8" t="str">
        <f t="shared" ref="O55:Q55" si="16">TEXT(J55,"#,##0")&amp;" ("&amp;TEXT(J56,"0.00")&amp;")"</f>
        <v>1,639 (10.97)</v>
      </c>
      <c r="P55" s="8" t="str">
        <f t="shared" si="16"/>
        <v>2,360 (14.51)</v>
      </c>
      <c r="Q55" s="8" t="str">
        <f t="shared" si="16"/>
        <v>2,462 (14.53)</v>
      </c>
    </row>
    <row r="56" spans="1:17" ht="16.5" x14ac:dyDescent="0.3">
      <c r="A56" s="2"/>
      <c r="B56" s="18"/>
      <c r="C56" s="6">
        <v>1.22</v>
      </c>
      <c r="D56" s="6">
        <v>2.79</v>
      </c>
      <c r="E56" s="6">
        <v>4.0199999999999996</v>
      </c>
      <c r="F56" s="6">
        <v>4.2</v>
      </c>
      <c r="G56" s="6">
        <v>12.23</v>
      </c>
      <c r="I56" s="8">
        <f>C58</f>
        <v>6.81</v>
      </c>
      <c r="J56" s="8">
        <f>D58</f>
        <v>10.97</v>
      </c>
      <c r="K56" s="8">
        <f>E58</f>
        <v>14.51</v>
      </c>
      <c r="L56" s="8">
        <f>F58</f>
        <v>14.53</v>
      </c>
      <c r="N56" s="8" t="str">
        <f>TEXT(I59,"#,##0")&amp;" ("&amp;TEXT(I60,"0.00")&amp;")"</f>
        <v>848 (8.05)</v>
      </c>
      <c r="O56" s="8" t="str">
        <f t="shared" ref="O56:Q56" si="17">TEXT(J59,"#,##0")&amp;" ("&amp;TEXT(J60,"0.00")&amp;")"</f>
        <v>1,841 (12.32)</v>
      </c>
      <c r="P56" s="8" t="str">
        <f t="shared" si="17"/>
        <v>2,395 (14.73)</v>
      </c>
      <c r="Q56" s="8" t="str">
        <f t="shared" si="17"/>
        <v>2,434 (14.36)</v>
      </c>
    </row>
    <row r="57" spans="1:17" ht="16.5" x14ac:dyDescent="0.3">
      <c r="A57" s="2"/>
      <c r="B57" s="18"/>
      <c r="C57" s="6">
        <v>9.99</v>
      </c>
      <c r="D57" s="6">
        <v>22.83</v>
      </c>
      <c r="E57" s="6">
        <v>32.880000000000003</v>
      </c>
      <c r="F57" s="6">
        <v>34.299999999999997</v>
      </c>
      <c r="G57" s="6"/>
      <c r="N57" s="8" t="str">
        <f>TEXT(I63,"#,##0")&amp;" ("&amp;TEXT(I64,"0.00")&amp;")"</f>
        <v>2,744 (26.04)</v>
      </c>
      <c r="O57" s="8" t="str">
        <f t="shared" ref="O57:Q57" si="18">TEXT(J63,"#,##0")&amp;" ("&amp;TEXT(J64,"0.00")&amp;")"</f>
        <v>4,469 (29.91)</v>
      </c>
      <c r="P57" s="8" t="str">
        <f t="shared" si="18"/>
        <v>4,775 (29.36)</v>
      </c>
      <c r="Q57" s="8" t="str">
        <f t="shared" si="18"/>
        <v>4,972 (29.34)</v>
      </c>
    </row>
    <row r="58" spans="1:17" ht="16.5" x14ac:dyDescent="0.3">
      <c r="A58" s="2"/>
      <c r="B58" s="18"/>
      <c r="C58" s="6">
        <v>6.81</v>
      </c>
      <c r="D58" s="6">
        <v>10.97</v>
      </c>
      <c r="E58" s="6">
        <v>14.51</v>
      </c>
      <c r="F58" s="6">
        <v>14.53</v>
      </c>
      <c r="G58" s="6"/>
      <c r="N58" s="8" t="str">
        <f>TEXT(I67,"#,##0")&amp;" ("&amp;TEXT(I68,"0.00")&amp;")"</f>
        <v>6,227 (59.10)</v>
      </c>
      <c r="O58" s="8" t="str">
        <f t="shared" ref="O58:Q58" si="19">TEXT(J67,"#,##0")&amp;" ("&amp;TEXT(J68,"0.00")&amp;")"</f>
        <v>6,992 (46.80)</v>
      </c>
      <c r="P58" s="8" t="str">
        <f t="shared" si="19"/>
        <v>6,733 (41.40)</v>
      </c>
      <c r="Q58" s="8" t="str">
        <f t="shared" si="19"/>
        <v>7,078 (41.77)</v>
      </c>
    </row>
    <row r="59" spans="1:17" ht="16.5" x14ac:dyDescent="0.3">
      <c r="A59" s="2"/>
      <c r="B59" s="18">
        <v>2</v>
      </c>
      <c r="C59" s="6">
        <v>848</v>
      </c>
      <c r="D59" s="6">
        <v>1841</v>
      </c>
      <c r="E59" s="6">
        <v>2395</v>
      </c>
      <c r="F59" s="6">
        <v>2434</v>
      </c>
      <c r="G59" s="6">
        <v>7518</v>
      </c>
      <c r="I59" s="8">
        <f>C59</f>
        <v>848</v>
      </c>
      <c r="J59" s="8">
        <f t="shared" ref="J59:L59" si="20">D59</f>
        <v>1841</v>
      </c>
      <c r="K59" s="8">
        <f t="shared" si="20"/>
        <v>2395</v>
      </c>
      <c r="L59" s="8">
        <f t="shared" si="20"/>
        <v>2434</v>
      </c>
    </row>
    <row r="60" spans="1:17" ht="16.5" x14ac:dyDescent="0.3">
      <c r="A60" s="2"/>
      <c r="B60" s="18"/>
      <c r="C60" s="6">
        <v>1.44</v>
      </c>
      <c r="D60" s="6">
        <v>3.14</v>
      </c>
      <c r="E60" s="6">
        <v>4.08</v>
      </c>
      <c r="F60" s="6">
        <v>4.1500000000000004</v>
      </c>
      <c r="G60" s="6">
        <v>12.81</v>
      </c>
      <c r="I60" s="8">
        <f>C62</f>
        <v>8.0500000000000007</v>
      </c>
      <c r="J60" s="8">
        <f>D62</f>
        <v>12.32</v>
      </c>
      <c r="K60" s="8">
        <f>E62</f>
        <v>14.73</v>
      </c>
      <c r="L60" s="8">
        <f>F62</f>
        <v>14.36</v>
      </c>
    </row>
    <row r="61" spans="1:17" ht="16.5" x14ac:dyDescent="0.3">
      <c r="A61" s="2"/>
      <c r="B61" s="18"/>
      <c r="C61" s="6">
        <v>11.28</v>
      </c>
      <c r="D61" s="6">
        <v>24.49</v>
      </c>
      <c r="E61" s="6">
        <v>31.86</v>
      </c>
      <c r="F61" s="6">
        <v>32.380000000000003</v>
      </c>
      <c r="G61" s="6"/>
    </row>
    <row r="62" spans="1:17" ht="16.5" x14ac:dyDescent="0.3">
      <c r="A62" s="2"/>
      <c r="B62" s="18"/>
      <c r="C62" s="6">
        <v>8.0500000000000007</v>
      </c>
      <c r="D62" s="6">
        <v>12.32</v>
      </c>
      <c r="E62" s="6">
        <v>14.73</v>
      </c>
      <c r="F62" s="6">
        <v>14.36</v>
      </c>
      <c r="G62" s="6"/>
    </row>
    <row r="63" spans="1:17" ht="16.5" x14ac:dyDescent="0.3">
      <c r="A63" s="2"/>
      <c r="B63" s="18">
        <v>3</v>
      </c>
      <c r="C63" s="6">
        <v>2744</v>
      </c>
      <c r="D63" s="6">
        <v>4469</v>
      </c>
      <c r="E63" s="6">
        <v>4775</v>
      </c>
      <c r="F63" s="6">
        <v>4972</v>
      </c>
      <c r="G63" s="6">
        <v>16960</v>
      </c>
      <c r="I63" s="8">
        <f>C63</f>
        <v>2744</v>
      </c>
      <c r="J63" s="8">
        <f t="shared" ref="J63:L63" si="21">D63</f>
        <v>4469</v>
      </c>
      <c r="K63" s="8">
        <f t="shared" si="21"/>
        <v>4775</v>
      </c>
      <c r="L63" s="8">
        <f t="shared" si="21"/>
        <v>4972</v>
      </c>
    </row>
    <row r="64" spans="1:17" ht="16.5" x14ac:dyDescent="0.3">
      <c r="A64" s="2"/>
      <c r="B64" s="18"/>
      <c r="C64" s="6">
        <v>4.68</v>
      </c>
      <c r="D64" s="6">
        <v>7.62</v>
      </c>
      <c r="E64" s="6">
        <v>8.14</v>
      </c>
      <c r="F64" s="6">
        <v>8.4700000000000006</v>
      </c>
      <c r="G64" s="6">
        <v>28.9</v>
      </c>
      <c r="I64" s="8">
        <f>C66</f>
        <v>26.04</v>
      </c>
      <c r="J64" s="8">
        <f>D66</f>
        <v>29.91</v>
      </c>
      <c r="K64" s="8">
        <f>E66</f>
        <v>29.36</v>
      </c>
      <c r="L64" s="8">
        <f>F66</f>
        <v>29.34</v>
      </c>
    </row>
    <row r="65" spans="1:17" ht="16.5" x14ac:dyDescent="0.3">
      <c r="A65" s="2"/>
      <c r="B65" s="18"/>
      <c r="C65" s="6">
        <v>16.18</v>
      </c>
      <c r="D65" s="6">
        <v>26.35</v>
      </c>
      <c r="E65" s="6">
        <v>28.15</v>
      </c>
      <c r="F65" s="6">
        <v>29.32</v>
      </c>
      <c r="G65" s="6"/>
    </row>
    <row r="66" spans="1:17" ht="16.5" x14ac:dyDescent="0.3">
      <c r="A66" s="2"/>
      <c r="B66" s="18"/>
      <c r="C66" s="6">
        <v>26.04</v>
      </c>
      <c r="D66" s="6">
        <v>29.91</v>
      </c>
      <c r="E66" s="6">
        <v>29.36</v>
      </c>
      <c r="F66" s="6">
        <v>29.34</v>
      </c>
      <c r="G66" s="6"/>
    </row>
    <row r="67" spans="1:17" ht="16.5" x14ac:dyDescent="0.3">
      <c r="A67" s="2"/>
      <c r="B67" s="18">
        <v>4</v>
      </c>
      <c r="C67" s="6">
        <v>6227</v>
      </c>
      <c r="D67" s="6">
        <v>6992</v>
      </c>
      <c r="E67" s="6">
        <v>6733</v>
      </c>
      <c r="F67" s="6">
        <v>7078</v>
      </c>
      <c r="G67" s="6">
        <v>27030</v>
      </c>
      <c r="I67" s="8">
        <f>C67</f>
        <v>6227</v>
      </c>
      <c r="J67" s="8">
        <f t="shared" ref="J67:L67" si="22">D67</f>
        <v>6992</v>
      </c>
      <c r="K67" s="8">
        <f t="shared" si="22"/>
        <v>6733</v>
      </c>
      <c r="L67" s="8">
        <f t="shared" si="22"/>
        <v>7078</v>
      </c>
    </row>
    <row r="68" spans="1:17" ht="16.5" x14ac:dyDescent="0.3">
      <c r="A68" s="2"/>
      <c r="B68" s="18"/>
      <c r="C68" s="6">
        <v>10.61</v>
      </c>
      <c r="D68" s="6">
        <v>11.91</v>
      </c>
      <c r="E68" s="6">
        <v>11.47</v>
      </c>
      <c r="F68" s="6">
        <v>12.06</v>
      </c>
      <c r="G68" s="6">
        <v>46.06</v>
      </c>
      <c r="I68" s="8">
        <f>C70</f>
        <v>59.1</v>
      </c>
      <c r="J68" s="8">
        <f>D70</f>
        <v>46.8</v>
      </c>
      <c r="K68" s="8">
        <f>E70</f>
        <v>41.4</v>
      </c>
      <c r="L68" s="8">
        <f>F70</f>
        <v>41.77</v>
      </c>
    </row>
    <row r="69" spans="1:17" ht="16.5" x14ac:dyDescent="0.3">
      <c r="A69" s="2"/>
      <c r="B69" s="18"/>
      <c r="C69" s="6">
        <v>23.04</v>
      </c>
      <c r="D69" s="6">
        <v>25.87</v>
      </c>
      <c r="E69" s="6">
        <v>24.91</v>
      </c>
      <c r="F69" s="6">
        <v>26.19</v>
      </c>
      <c r="G69" s="6"/>
    </row>
    <row r="70" spans="1:17" ht="16.5" x14ac:dyDescent="0.3">
      <c r="A70" s="2"/>
      <c r="B70" s="18"/>
      <c r="C70" s="6">
        <v>59.1</v>
      </c>
      <c r="D70" s="6">
        <v>46.8</v>
      </c>
      <c r="E70" s="6">
        <v>41.4</v>
      </c>
      <c r="F70" s="6">
        <v>41.77</v>
      </c>
      <c r="G70" s="6"/>
    </row>
    <row r="71" spans="1:17" ht="15.75" customHeight="1" x14ac:dyDescent="0.3">
      <c r="A71" s="2"/>
      <c r="B71" s="18" t="s">
        <v>22</v>
      </c>
      <c r="C71" s="6">
        <v>10536</v>
      </c>
      <c r="D71" s="6">
        <v>14941</v>
      </c>
      <c r="E71" s="6">
        <v>16263</v>
      </c>
      <c r="F71" s="6">
        <v>16946</v>
      </c>
      <c r="G71" s="6">
        <v>58686</v>
      </c>
    </row>
    <row r="72" spans="1:17" ht="16.5" x14ac:dyDescent="0.3">
      <c r="A72" s="2"/>
      <c r="B72" s="18"/>
      <c r="C72" s="6">
        <v>17.95</v>
      </c>
      <c r="D72" s="6">
        <v>25.46</v>
      </c>
      <c r="E72" s="6">
        <v>27.71</v>
      </c>
      <c r="F72" s="6">
        <v>28.88</v>
      </c>
      <c r="G72" s="6">
        <v>100</v>
      </c>
    </row>
    <row r="73" spans="1:17" ht="16.5" x14ac:dyDescent="0.3">
      <c r="A73" s="2"/>
      <c r="B73" s="26"/>
      <c r="C73" s="26"/>
      <c r="D73" s="26"/>
      <c r="E73" s="26"/>
      <c r="F73" s="26"/>
      <c r="G73" s="26"/>
    </row>
    <row r="74" spans="1:17" ht="17.25" thickBot="1" x14ac:dyDescent="0.35">
      <c r="A74"/>
      <c r="B74"/>
      <c r="C74"/>
      <c r="D74"/>
      <c r="E74"/>
      <c r="F74"/>
      <c r="G74"/>
    </row>
    <row r="75" spans="1:17" ht="16.5" customHeight="1" x14ac:dyDescent="0.3">
      <c r="A75" s="5" t="s">
        <v>2</v>
      </c>
      <c r="B75" s="17" t="s">
        <v>93</v>
      </c>
      <c r="C75" s="19"/>
      <c r="D75" s="19"/>
      <c r="E75" s="19"/>
      <c r="F75" s="19"/>
      <c r="G75" s="19"/>
    </row>
    <row r="76" spans="1:17" ht="16.5" customHeight="1" x14ac:dyDescent="0.3">
      <c r="A76" s="4" t="s">
        <v>3</v>
      </c>
      <c r="B76" s="18" t="s">
        <v>7</v>
      </c>
      <c r="C76" s="20" t="s">
        <v>24</v>
      </c>
      <c r="D76" s="20"/>
      <c r="E76" s="20"/>
      <c r="F76" s="20"/>
      <c r="G76" s="20"/>
    </row>
    <row r="77" spans="1:17" ht="16.5" x14ac:dyDescent="0.3">
      <c r="A77" s="4" t="s">
        <v>19</v>
      </c>
      <c r="B77" s="18"/>
      <c r="C77" s="3">
        <v>1</v>
      </c>
      <c r="D77" s="3">
        <v>2</v>
      </c>
      <c r="E77" s="3">
        <v>3</v>
      </c>
      <c r="F77" s="3">
        <v>4</v>
      </c>
      <c r="G77" s="3" t="s">
        <v>22</v>
      </c>
    </row>
    <row r="78" spans="1:17" ht="33" x14ac:dyDescent="0.3">
      <c r="A78" s="4" t="s">
        <v>20</v>
      </c>
      <c r="B78" s="18">
        <v>1</v>
      </c>
      <c r="C78" s="6">
        <v>1169</v>
      </c>
      <c r="D78" s="6">
        <v>2006</v>
      </c>
      <c r="E78" s="6">
        <v>2436</v>
      </c>
      <c r="F78" s="6">
        <v>2693</v>
      </c>
      <c r="G78" s="6">
        <v>8304</v>
      </c>
      <c r="I78" s="8">
        <f>C78</f>
        <v>1169</v>
      </c>
      <c r="J78" s="8">
        <f t="shared" ref="J78:L78" si="23">D78</f>
        <v>2006</v>
      </c>
      <c r="K78" s="8">
        <f t="shared" si="23"/>
        <v>2436</v>
      </c>
      <c r="L78" s="8">
        <f t="shared" si="23"/>
        <v>2693</v>
      </c>
      <c r="N78" s="8" t="str">
        <f>TEXT(I78,"#,##0")&amp;" ("&amp;TEXT(I79,"0.00")&amp;")"</f>
        <v>1,169 (11.10)</v>
      </c>
      <c r="O78" s="8" t="str">
        <f t="shared" ref="O78:Q78" si="24">TEXT(J78,"#,##0")&amp;" ("&amp;TEXT(J79,"0.00")&amp;")"</f>
        <v>2,006 (13.43)</v>
      </c>
      <c r="P78" s="8" t="str">
        <f t="shared" si="24"/>
        <v>2,436 (14.98)</v>
      </c>
      <c r="Q78" s="8" t="str">
        <f t="shared" si="24"/>
        <v>2,693 (15.89)</v>
      </c>
    </row>
    <row r="79" spans="1:17" ht="16.5" x14ac:dyDescent="0.3">
      <c r="A79" s="2"/>
      <c r="B79" s="18"/>
      <c r="C79" s="6">
        <v>1.99</v>
      </c>
      <c r="D79" s="6">
        <v>3.42</v>
      </c>
      <c r="E79" s="6">
        <v>4.1500000000000004</v>
      </c>
      <c r="F79" s="6">
        <v>4.59</v>
      </c>
      <c r="G79" s="6">
        <v>14.15</v>
      </c>
      <c r="I79" s="8">
        <f>C81</f>
        <v>11.1</v>
      </c>
      <c r="J79" s="8">
        <f>D81</f>
        <v>13.43</v>
      </c>
      <c r="K79" s="8">
        <f>E81</f>
        <v>14.98</v>
      </c>
      <c r="L79" s="8">
        <f>F81</f>
        <v>15.89</v>
      </c>
      <c r="N79" s="8" t="str">
        <f>TEXT(I82,"#,##0")&amp;" ("&amp;TEXT(I83,"0.00")&amp;")"</f>
        <v>2,523 (23.95)</v>
      </c>
      <c r="O79" s="8" t="str">
        <f t="shared" ref="O79:Q79" si="25">TEXT(J82,"#,##0")&amp;" ("&amp;TEXT(J83,"0.00")&amp;")"</f>
        <v>3,575 (23.93)</v>
      </c>
      <c r="P79" s="8" t="str">
        <f t="shared" si="25"/>
        <v>4,146 (25.49)</v>
      </c>
      <c r="Q79" s="8" t="str">
        <f t="shared" si="25"/>
        <v>4,493 (26.51)</v>
      </c>
    </row>
    <row r="80" spans="1:17" ht="16.5" x14ac:dyDescent="0.3">
      <c r="A80" s="2"/>
      <c r="B80" s="18"/>
      <c r="C80" s="6">
        <v>14.08</v>
      </c>
      <c r="D80" s="6">
        <v>24.16</v>
      </c>
      <c r="E80" s="6">
        <v>29.34</v>
      </c>
      <c r="F80" s="6">
        <v>32.43</v>
      </c>
      <c r="G80" s="6"/>
      <c r="N80" s="8" t="str">
        <f>TEXT(I86,"#,##0")&amp;" ("&amp;TEXT(I87,"0.00")&amp;")"</f>
        <v>3,237 (30.72)</v>
      </c>
      <c r="O80" s="8" t="str">
        <f t="shared" ref="O80:Q80" si="26">TEXT(J86,"#,##0")&amp;" ("&amp;TEXT(J87,"0.00")&amp;")"</f>
        <v>4,497 (30.10)</v>
      </c>
      <c r="P80" s="8" t="str">
        <f t="shared" si="26"/>
        <v>4,722 (29.04)</v>
      </c>
      <c r="Q80" s="8" t="str">
        <f t="shared" si="26"/>
        <v>4,894 (28.88)</v>
      </c>
    </row>
    <row r="81" spans="1:17" ht="16.5" x14ac:dyDescent="0.3">
      <c r="A81" s="2"/>
      <c r="B81" s="18"/>
      <c r="C81" s="6">
        <v>11.1</v>
      </c>
      <c r="D81" s="6">
        <v>13.43</v>
      </c>
      <c r="E81" s="6">
        <v>14.98</v>
      </c>
      <c r="F81" s="6">
        <v>15.89</v>
      </c>
      <c r="G81" s="6"/>
      <c r="N81" s="8" t="str">
        <f>TEXT(I90,"#,##0")&amp;" ("&amp;TEXT(I91,"0.00")&amp;")"</f>
        <v>3,607 (34.24)</v>
      </c>
      <c r="O81" s="8" t="str">
        <f t="shared" ref="O81:Q81" si="27">TEXT(J90,"#,##0")&amp;" ("&amp;TEXT(J91,"0.00")&amp;")"</f>
        <v>4,863 (32.55)</v>
      </c>
      <c r="P81" s="8" t="str">
        <f t="shared" si="27"/>
        <v>4,959 (30.49)</v>
      </c>
      <c r="Q81" s="8" t="str">
        <f t="shared" si="27"/>
        <v>4,866 (28.71)</v>
      </c>
    </row>
    <row r="82" spans="1:17" ht="16.5" x14ac:dyDescent="0.3">
      <c r="A82" s="2"/>
      <c r="B82" s="18">
        <v>2</v>
      </c>
      <c r="C82" s="6">
        <v>2523</v>
      </c>
      <c r="D82" s="6">
        <v>3575</v>
      </c>
      <c r="E82" s="6">
        <v>4146</v>
      </c>
      <c r="F82" s="6">
        <v>4493</v>
      </c>
      <c r="G82" s="6">
        <v>14737</v>
      </c>
      <c r="I82" s="8">
        <f>C82</f>
        <v>2523</v>
      </c>
      <c r="J82" s="8">
        <f t="shared" ref="J82:L82" si="28">D82</f>
        <v>3575</v>
      </c>
      <c r="K82" s="8">
        <f t="shared" si="28"/>
        <v>4146</v>
      </c>
      <c r="L82" s="8">
        <f t="shared" si="28"/>
        <v>4493</v>
      </c>
    </row>
    <row r="83" spans="1:17" ht="16.5" x14ac:dyDescent="0.3">
      <c r="A83" s="2"/>
      <c r="B83" s="18"/>
      <c r="C83" s="6">
        <v>4.3</v>
      </c>
      <c r="D83" s="6">
        <v>6.09</v>
      </c>
      <c r="E83" s="6">
        <v>7.06</v>
      </c>
      <c r="F83" s="6">
        <v>7.66</v>
      </c>
      <c r="G83" s="6">
        <v>25.11</v>
      </c>
      <c r="I83" s="8">
        <f>C85</f>
        <v>23.95</v>
      </c>
      <c r="J83" s="8">
        <f>D85</f>
        <v>23.93</v>
      </c>
      <c r="K83" s="8">
        <f>E85</f>
        <v>25.49</v>
      </c>
      <c r="L83" s="8">
        <f>F85</f>
        <v>26.51</v>
      </c>
    </row>
    <row r="84" spans="1:17" ht="16.5" x14ac:dyDescent="0.3">
      <c r="A84" s="2"/>
      <c r="B84" s="18"/>
      <c r="C84" s="6">
        <v>17.12</v>
      </c>
      <c r="D84" s="6">
        <v>24.26</v>
      </c>
      <c r="E84" s="6">
        <v>28.13</v>
      </c>
      <c r="F84" s="6">
        <v>30.49</v>
      </c>
      <c r="G84" s="6"/>
    </row>
    <row r="85" spans="1:17" ht="16.5" x14ac:dyDescent="0.3">
      <c r="A85" s="2"/>
      <c r="B85" s="18"/>
      <c r="C85" s="6">
        <v>23.95</v>
      </c>
      <c r="D85" s="6">
        <v>23.93</v>
      </c>
      <c r="E85" s="6">
        <v>25.49</v>
      </c>
      <c r="F85" s="6">
        <v>26.51</v>
      </c>
      <c r="G85" s="6"/>
    </row>
    <row r="86" spans="1:17" ht="16.5" x14ac:dyDescent="0.3">
      <c r="A86" s="2"/>
      <c r="B86" s="18">
        <v>3</v>
      </c>
      <c r="C86" s="6">
        <v>3237</v>
      </c>
      <c r="D86" s="6">
        <v>4497</v>
      </c>
      <c r="E86" s="6">
        <v>4722</v>
      </c>
      <c r="F86" s="6">
        <v>4894</v>
      </c>
      <c r="G86" s="6">
        <v>17350</v>
      </c>
      <c r="I86" s="8">
        <f>C86</f>
        <v>3237</v>
      </c>
      <c r="J86" s="8">
        <f t="shared" ref="J86:L86" si="29">D86</f>
        <v>4497</v>
      </c>
      <c r="K86" s="8">
        <f t="shared" si="29"/>
        <v>4722</v>
      </c>
      <c r="L86" s="8">
        <f t="shared" si="29"/>
        <v>4894</v>
      </c>
    </row>
    <row r="87" spans="1:17" ht="16.5" x14ac:dyDescent="0.3">
      <c r="A87" s="2"/>
      <c r="B87" s="18"/>
      <c r="C87" s="6">
        <v>5.52</v>
      </c>
      <c r="D87" s="6">
        <v>7.66</v>
      </c>
      <c r="E87" s="6">
        <v>8.0500000000000007</v>
      </c>
      <c r="F87" s="6">
        <v>8.34</v>
      </c>
      <c r="G87" s="6">
        <v>29.56</v>
      </c>
      <c r="I87" s="8">
        <f>C89</f>
        <v>30.72</v>
      </c>
      <c r="J87" s="8">
        <f>D89</f>
        <v>30.1</v>
      </c>
      <c r="K87" s="8">
        <f>E89</f>
        <v>29.04</v>
      </c>
      <c r="L87" s="8">
        <f>F89</f>
        <v>28.88</v>
      </c>
    </row>
    <row r="88" spans="1:17" ht="16.5" x14ac:dyDescent="0.3">
      <c r="A88" s="2"/>
      <c r="B88" s="18"/>
      <c r="C88" s="6">
        <v>18.66</v>
      </c>
      <c r="D88" s="6">
        <v>25.92</v>
      </c>
      <c r="E88" s="6">
        <v>27.22</v>
      </c>
      <c r="F88" s="6">
        <v>28.21</v>
      </c>
      <c r="G88" s="6"/>
    </row>
    <row r="89" spans="1:17" ht="16.5" x14ac:dyDescent="0.3">
      <c r="A89" s="2"/>
      <c r="B89" s="18"/>
      <c r="C89" s="6">
        <v>30.72</v>
      </c>
      <c r="D89" s="6">
        <v>30.1</v>
      </c>
      <c r="E89" s="6">
        <v>29.04</v>
      </c>
      <c r="F89" s="6">
        <v>28.88</v>
      </c>
      <c r="G89" s="6"/>
    </row>
    <row r="90" spans="1:17" ht="16.5" x14ac:dyDescent="0.3">
      <c r="A90" s="2"/>
      <c r="B90" s="18">
        <v>4</v>
      </c>
      <c r="C90" s="6">
        <v>3607</v>
      </c>
      <c r="D90" s="6">
        <v>4863</v>
      </c>
      <c r="E90" s="6">
        <v>4959</v>
      </c>
      <c r="F90" s="6">
        <v>4866</v>
      </c>
      <c r="G90" s="6">
        <v>18295</v>
      </c>
      <c r="I90" s="8">
        <f>C90</f>
        <v>3607</v>
      </c>
      <c r="J90" s="8">
        <f t="shared" ref="J90:L90" si="30">D90</f>
        <v>4863</v>
      </c>
      <c r="K90" s="8">
        <f t="shared" si="30"/>
        <v>4959</v>
      </c>
      <c r="L90" s="8">
        <f t="shared" si="30"/>
        <v>4866</v>
      </c>
    </row>
    <row r="91" spans="1:17" ht="16.5" x14ac:dyDescent="0.3">
      <c r="A91" s="2"/>
      <c r="B91" s="18"/>
      <c r="C91" s="6">
        <v>6.15</v>
      </c>
      <c r="D91" s="6">
        <v>8.2899999999999991</v>
      </c>
      <c r="E91" s="6">
        <v>8.4499999999999993</v>
      </c>
      <c r="F91" s="6">
        <v>8.2899999999999991</v>
      </c>
      <c r="G91" s="6">
        <v>31.17</v>
      </c>
      <c r="I91" s="8">
        <f>C93</f>
        <v>34.24</v>
      </c>
      <c r="J91" s="8">
        <f>D93</f>
        <v>32.549999999999997</v>
      </c>
      <c r="K91" s="8">
        <f>E93</f>
        <v>30.49</v>
      </c>
      <c r="L91" s="8">
        <f>F93</f>
        <v>28.71</v>
      </c>
    </row>
    <row r="92" spans="1:17" ht="16.5" x14ac:dyDescent="0.3">
      <c r="A92" s="2"/>
      <c r="B92" s="18"/>
      <c r="C92" s="6">
        <v>19.72</v>
      </c>
      <c r="D92" s="6">
        <v>26.58</v>
      </c>
      <c r="E92" s="6">
        <v>27.11</v>
      </c>
      <c r="F92" s="6">
        <v>26.6</v>
      </c>
      <c r="G92" s="6"/>
    </row>
    <row r="93" spans="1:17" ht="16.5" x14ac:dyDescent="0.3">
      <c r="A93" s="2"/>
      <c r="B93" s="18"/>
      <c r="C93" s="6">
        <v>34.24</v>
      </c>
      <c r="D93" s="6">
        <v>32.549999999999997</v>
      </c>
      <c r="E93" s="6">
        <v>30.49</v>
      </c>
      <c r="F93" s="6">
        <v>28.71</v>
      </c>
      <c r="G93" s="6"/>
    </row>
    <row r="94" spans="1:17" ht="15.75" customHeight="1" x14ac:dyDescent="0.3">
      <c r="A94" s="2"/>
      <c r="B94" s="18" t="s">
        <v>22</v>
      </c>
      <c r="C94" s="6">
        <v>10536</v>
      </c>
      <c r="D94" s="6">
        <v>14941</v>
      </c>
      <c r="E94" s="6">
        <v>16263</v>
      </c>
      <c r="F94" s="6">
        <v>16946</v>
      </c>
      <c r="G94" s="6">
        <v>58686</v>
      </c>
    </row>
    <row r="95" spans="1:17" ht="16.5" x14ac:dyDescent="0.3">
      <c r="A95" s="2"/>
      <c r="B95" s="18"/>
      <c r="C95" s="6">
        <v>17.95</v>
      </c>
      <c r="D95" s="6">
        <v>25.46</v>
      </c>
      <c r="E95" s="6">
        <v>27.71</v>
      </c>
      <c r="F95" s="6">
        <v>28.88</v>
      </c>
      <c r="G95" s="6">
        <v>100</v>
      </c>
    </row>
    <row r="96" spans="1:17" ht="16.5" x14ac:dyDescent="0.3">
      <c r="A96" s="2"/>
      <c r="B96" s="26"/>
      <c r="C96" s="26"/>
      <c r="D96" s="26"/>
      <c r="E96" s="26"/>
      <c r="F96" s="26"/>
      <c r="G96" s="26"/>
    </row>
    <row r="97" spans="1:17" ht="17.25" thickBot="1" x14ac:dyDescent="0.35">
      <c r="A97"/>
      <c r="B97"/>
      <c r="C97"/>
      <c r="D97"/>
      <c r="E97"/>
      <c r="F97"/>
      <c r="G97"/>
    </row>
    <row r="98" spans="1:17" ht="16.5" customHeight="1" x14ac:dyDescent="0.3">
      <c r="A98" s="5" t="s">
        <v>2</v>
      </c>
      <c r="B98" s="17" t="s">
        <v>94</v>
      </c>
      <c r="C98" s="19"/>
      <c r="D98" s="19"/>
      <c r="E98" s="19"/>
      <c r="F98" s="19"/>
      <c r="G98" s="19"/>
    </row>
    <row r="99" spans="1:17" ht="16.5" customHeight="1" x14ac:dyDescent="0.3">
      <c r="A99" s="4" t="s">
        <v>3</v>
      </c>
      <c r="B99" s="18" t="s">
        <v>8</v>
      </c>
      <c r="C99" s="20" t="s">
        <v>24</v>
      </c>
      <c r="D99" s="20"/>
      <c r="E99" s="20"/>
      <c r="F99" s="20"/>
      <c r="G99" s="20"/>
    </row>
    <row r="100" spans="1:17" ht="16.5" x14ac:dyDescent="0.3">
      <c r="A100" s="4" t="s">
        <v>19</v>
      </c>
      <c r="B100" s="18"/>
      <c r="C100" s="3">
        <v>1</v>
      </c>
      <c r="D100" s="3">
        <v>2</v>
      </c>
      <c r="E100" s="3">
        <v>3</v>
      </c>
      <c r="F100" s="3">
        <v>4</v>
      </c>
      <c r="G100" s="3" t="s">
        <v>22</v>
      </c>
    </row>
    <row r="101" spans="1:17" ht="33" x14ac:dyDescent="0.3">
      <c r="A101" s="4" t="s">
        <v>20</v>
      </c>
      <c r="B101" s="18">
        <v>1</v>
      </c>
      <c r="C101" s="6">
        <v>1760</v>
      </c>
      <c r="D101" s="6">
        <v>15</v>
      </c>
      <c r="E101" s="6">
        <v>0</v>
      </c>
      <c r="F101" s="6">
        <v>0</v>
      </c>
      <c r="G101" s="6">
        <v>1775</v>
      </c>
      <c r="I101" s="8">
        <f>C101</f>
        <v>1760</v>
      </c>
      <c r="J101" s="8">
        <f t="shared" ref="J101:L101" si="31">D101</f>
        <v>15</v>
      </c>
      <c r="K101" s="8">
        <f t="shared" si="31"/>
        <v>0</v>
      </c>
      <c r="L101" s="8">
        <f t="shared" si="31"/>
        <v>0</v>
      </c>
      <c r="N101" s="8" t="str">
        <f>TEXT(I101,"#,##0")&amp;" ("&amp;TEXT(I102,"0.00")&amp;")"</f>
        <v>1,760 (16.70)</v>
      </c>
      <c r="O101" s="8" t="str">
        <f t="shared" ref="O101:Q101" si="32">TEXT(J101,"#,##0")&amp;" ("&amp;TEXT(J102,"0.00")&amp;")"</f>
        <v>15 (0.10)</v>
      </c>
      <c r="P101" s="8" t="str">
        <f t="shared" si="32"/>
        <v>0 (0.00)</v>
      </c>
      <c r="Q101" s="8" t="str">
        <f t="shared" si="32"/>
        <v>0 (0.00)</v>
      </c>
    </row>
    <row r="102" spans="1:17" ht="16.5" x14ac:dyDescent="0.3">
      <c r="A102" s="2"/>
      <c r="B102" s="18"/>
      <c r="C102" s="6">
        <v>3</v>
      </c>
      <c r="D102" s="6">
        <v>0.03</v>
      </c>
      <c r="E102" s="6">
        <v>0</v>
      </c>
      <c r="F102" s="6">
        <v>0</v>
      </c>
      <c r="G102" s="6">
        <v>3.02</v>
      </c>
      <c r="I102" s="8">
        <f>C104</f>
        <v>16.7</v>
      </c>
      <c r="J102" s="8">
        <f>D104</f>
        <v>0.1</v>
      </c>
      <c r="K102" s="8">
        <f>E104</f>
        <v>0</v>
      </c>
      <c r="L102" s="8">
        <f>F104</f>
        <v>0</v>
      </c>
      <c r="N102" s="8" t="str">
        <f>TEXT(I105,"#,##0")&amp;" ("&amp;TEXT(I106,"0.00")&amp;")"</f>
        <v>8,678 (82.37)</v>
      </c>
      <c r="O102" s="8" t="str">
        <f t="shared" ref="O102:Q102" si="33">TEXT(J105,"#,##0")&amp;" ("&amp;TEXT(J106,"0.00")&amp;")"</f>
        <v>10,438 (69.86)</v>
      </c>
      <c r="P102" s="8" t="str">
        <f t="shared" si="33"/>
        <v>2,605 (16.02)</v>
      </c>
      <c r="Q102" s="8" t="str">
        <f t="shared" si="33"/>
        <v>152 (0.90)</v>
      </c>
    </row>
    <row r="103" spans="1:17" ht="16.5" x14ac:dyDescent="0.3">
      <c r="A103" s="2"/>
      <c r="B103" s="18"/>
      <c r="C103" s="6">
        <v>99.15</v>
      </c>
      <c r="D103" s="6">
        <v>0.85</v>
      </c>
      <c r="E103" s="6">
        <v>0</v>
      </c>
      <c r="F103" s="6">
        <v>0</v>
      </c>
      <c r="G103" s="6"/>
      <c r="N103" s="8" t="str">
        <f>TEXT(I109,"#,##0")&amp;" ("&amp;TEXT(I110,"0.00")&amp;")"</f>
        <v>97 (0.92)</v>
      </c>
      <c r="O103" s="8" t="str">
        <f t="shared" ref="O103:Q103" si="34">TEXT(J109,"#,##0")&amp;" ("&amp;TEXT(J110,"0.00")&amp;")"</f>
        <v>4,187 (28.02)</v>
      </c>
      <c r="P103" s="8" t="str">
        <f t="shared" si="34"/>
        <v>8,305 (51.07)</v>
      </c>
      <c r="Q103" s="8" t="str">
        <f t="shared" si="34"/>
        <v>1,774 (10.47)</v>
      </c>
    </row>
    <row r="104" spans="1:17" ht="16.5" x14ac:dyDescent="0.3">
      <c r="A104" s="2"/>
      <c r="B104" s="18"/>
      <c r="C104" s="6">
        <v>16.7</v>
      </c>
      <c r="D104" s="6">
        <v>0.1</v>
      </c>
      <c r="E104" s="6">
        <v>0</v>
      </c>
      <c r="F104" s="6">
        <v>0</v>
      </c>
      <c r="G104" s="6"/>
      <c r="N104" s="8" t="str">
        <f>TEXT(I113,"#,##0")&amp;" ("&amp;TEXT(I114,"0.00")&amp;")"</f>
        <v>1 (0.01)</v>
      </c>
      <c r="O104" s="8" t="str">
        <f t="shared" ref="O104:Q104" si="35">TEXT(J113,"#,##0")&amp;" ("&amp;TEXT(J114,"0.00")&amp;")"</f>
        <v>301 (2.01)</v>
      </c>
      <c r="P104" s="8" t="str">
        <f t="shared" si="35"/>
        <v>5,353 (32.92)</v>
      </c>
      <c r="Q104" s="8" t="str">
        <f t="shared" si="35"/>
        <v>15,020 (88.63)</v>
      </c>
    </row>
    <row r="105" spans="1:17" ht="16.5" x14ac:dyDescent="0.3">
      <c r="A105" s="2"/>
      <c r="B105" s="18">
        <v>2</v>
      </c>
      <c r="C105" s="6">
        <v>8678</v>
      </c>
      <c r="D105" s="6">
        <v>10438</v>
      </c>
      <c r="E105" s="6">
        <v>2605</v>
      </c>
      <c r="F105" s="6">
        <v>152</v>
      </c>
      <c r="G105" s="6">
        <v>21873</v>
      </c>
      <c r="I105" s="8">
        <f>C105</f>
        <v>8678</v>
      </c>
      <c r="J105" s="8">
        <f t="shared" ref="J105:L105" si="36">D105</f>
        <v>10438</v>
      </c>
      <c r="K105" s="8">
        <f t="shared" si="36"/>
        <v>2605</v>
      </c>
      <c r="L105" s="8">
        <f t="shared" si="36"/>
        <v>152</v>
      </c>
    </row>
    <row r="106" spans="1:17" ht="16.5" x14ac:dyDescent="0.3">
      <c r="A106" s="2"/>
      <c r="B106" s="18"/>
      <c r="C106" s="6">
        <v>14.79</v>
      </c>
      <c r="D106" s="6">
        <v>17.79</v>
      </c>
      <c r="E106" s="6">
        <v>4.4400000000000004</v>
      </c>
      <c r="F106" s="6">
        <v>0.26</v>
      </c>
      <c r="G106" s="6">
        <v>37.270000000000003</v>
      </c>
      <c r="I106" s="8">
        <f>C108</f>
        <v>82.37</v>
      </c>
      <c r="J106" s="8">
        <f>D108</f>
        <v>69.86</v>
      </c>
      <c r="K106" s="8">
        <f>E108</f>
        <v>16.02</v>
      </c>
      <c r="L106" s="8">
        <f>F108</f>
        <v>0.9</v>
      </c>
    </row>
    <row r="107" spans="1:17" ht="16.5" x14ac:dyDescent="0.3">
      <c r="A107" s="2"/>
      <c r="B107" s="18"/>
      <c r="C107" s="6">
        <v>39.67</v>
      </c>
      <c r="D107" s="6">
        <v>47.72</v>
      </c>
      <c r="E107" s="6">
        <v>11.91</v>
      </c>
      <c r="F107" s="6">
        <v>0.69</v>
      </c>
      <c r="G107" s="6"/>
    </row>
    <row r="108" spans="1:17" ht="16.5" x14ac:dyDescent="0.3">
      <c r="A108" s="2"/>
      <c r="B108" s="18"/>
      <c r="C108" s="6">
        <v>82.37</v>
      </c>
      <c r="D108" s="6">
        <v>69.86</v>
      </c>
      <c r="E108" s="6">
        <v>16.02</v>
      </c>
      <c r="F108" s="6">
        <v>0.9</v>
      </c>
      <c r="G108" s="6"/>
    </row>
    <row r="109" spans="1:17" ht="16.5" x14ac:dyDescent="0.3">
      <c r="A109" s="2"/>
      <c r="B109" s="18">
        <v>3</v>
      </c>
      <c r="C109" s="6">
        <v>97</v>
      </c>
      <c r="D109" s="6">
        <v>4187</v>
      </c>
      <c r="E109" s="6">
        <v>8305</v>
      </c>
      <c r="F109" s="6">
        <v>1774</v>
      </c>
      <c r="G109" s="6">
        <v>14363</v>
      </c>
      <c r="I109" s="8">
        <f>C109</f>
        <v>97</v>
      </c>
      <c r="J109" s="8">
        <f t="shared" ref="J109:L109" si="37">D109</f>
        <v>4187</v>
      </c>
      <c r="K109" s="8">
        <f t="shared" si="37"/>
        <v>8305</v>
      </c>
      <c r="L109" s="8">
        <f t="shared" si="37"/>
        <v>1774</v>
      </c>
    </row>
    <row r="110" spans="1:17" ht="16.5" x14ac:dyDescent="0.3">
      <c r="A110" s="2"/>
      <c r="B110" s="18"/>
      <c r="C110" s="6">
        <v>0.17</v>
      </c>
      <c r="D110" s="6">
        <v>7.13</v>
      </c>
      <c r="E110" s="6">
        <v>14.15</v>
      </c>
      <c r="F110" s="6">
        <v>3.02</v>
      </c>
      <c r="G110" s="6">
        <v>24.47</v>
      </c>
      <c r="I110" s="8">
        <f>C112</f>
        <v>0.92</v>
      </c>
      <c r="J110" s="8">
        <f>D112</f>
        <v>28.02</v>
      </c>
      <c r="K110" s="8">
        <f>E112</f>
        <v>51.07</v>
      </c>
      <c r="L110" s="8">
        <f>F112</f>
        <v>10.47</v>
      </c>
    </row>
    <row r="111" spans="1:17" ht="16.5" x14ac:dyDescent="0.3">
      <c r="A111" s="2"/>
      <c r="B111" s="18"/>
      <c r="C111" s="6">
        <v>0.68</v>
      </c>
      <c r="D111" s="6">
        <v>29.15</v>
      </c>
      <c r="E111" s="6">
        <v>57.82</v>
      </c>
      <c r="F111" s="6">
        <v>12.35</v>
      </c>
      <c r="G111" s="6"/>
    </row>
    <row r="112" spans="1:17" ht="16.5" x14ac:dyDescent="0.3">
      <c r="A112" s="2"/>
      <c r="B112" s="18"/>
      <c r="C112" s="6">
        <v>0.92</v>
      </c>
      <c r="D112" s="6">
        <v>28.02</v>
      </c>
      <c r="E112" s="6">
        <v>51.07</v>
      </c>
      <c r="F112" s="6">
        <v>10.47</v>
      </c>
      <c r="G112" s="6"/>
    </row>
    <row r="113" spans="1:17" ht="16.5" x14ac:dyDescent="0.3">
      <c r="A113" s="2"/>
      <c r="B113" s="18">
        <v>4</v>
      </c>
      <c r="C113" s="6">
        <v>1</v>
      </c>
      <c r="D113" s="6">
        <v>301</v>
      </c>
      <c r="E113" s="6">
        <v>5353</v>
      </c>
      <c r="F113" s="6">
        <v>15020</v>
      </c>
      <c r="G113" s="6">
        <v>20675</v>
      </c>
      <c r="I113" s="8">
        <f>C113</f>
        <v>1</v>
      </c>
      <c r="J113" s="8">
        <f t="shared" ref="J113:L113" si="38">D113</f>
        <v>301</v>
      </c>
      <c r="K113" s="8">
        <f t="shared" si="38"/>
        <v>5353</v>
      </c>
      <c r="L113" s="8">
        <f t="shared" si="38"/>
        <v>15020</v>
      </c>
    </row>
    <row r="114" spans="1:17" ht="16.5" x14ac:dyDescent="0.3">
      <c r="A114" s="2"/>
      <c r="B114" s="18"/>
      <c r="C114" s="6">
        <v>0</v>
      </c>
      <c r="D114" s="6">
        <v>0.51</v>
      </c>
      <c r="E114" s="6">
        <v>9.1199999999999992</v>
      </c>
      <c r="F114" s="6">
        <v>25.59</v>
      </c>
      <c r="G114" s="6">
        <v>35.229999999999997</v>
      </c>
      <c r="I114" s="8">
        <f>C116</f>
        <v>0.01</v>
      </c>
      <c r="J114" s="8">
        <f>D116</f>
        <v>2.0099999999999998</v>
      </c>
      <c r="K114" s="8">
        <f>E116</f>
        <v>32.92</v>
      </c>
      <c r="L114" s="8">
        <f>F116</f>
        <v>88.63</v>
      </c>
    </row>
    <row r="115" spans="1:17" ht="16.5" x14ac:dyDescent="0.3">
      <c r="A115" s="2"/>
      <c r="B115" s="18"/>
      <c r="C115" s="6">
        <v>0</v>
      </c>
      <c r="D115" s="6">
        <v>1.46</v>
      </c>
      <c r="E115" s="6">
        <v>25.89</v>
      </c>
      <c r="F115" s="6">
        <v>72.650000000000006</v>
      </c>
      <c r="G115" s="6"/>
    </row>
    <row r="116" spans="1:17" ht="16.5" x14ac:dyDescent="0.3">
      <c r="A116" s="2"/>
      <c r="B116" s="18"/>
      <c r="C116" s="6">
        <v>0.01</v>
      </c>
      <c r="D116" s="6">
        <v>2.0099999999999998</v>
      </c>
      <c r="E116" s="6">
        <v>32.92</v>
      </c>
      <c r="F116" s="6">
        <v>88.63</v>
      </c>
      <c r="G116" s="6"/>
    </row>
    <row r="117" spans="1:17" ht="15.75" customHeight="1" x14ac:dyDescent="0.3">
      <c r="A117" s="2"/>
      <c r="B117" s="18" t="s">
        <v>22</v>
      </c>
      <c r="C117" s="6">
        <v>10536</v>
      </c>
      <c r="D117" s="6">
        <v>14941</v>
      </c>
      <c r="E117" s="6">
        <v>16263</v>
      </c>
      <c r="F117" s="6">
        <v>16946</v>
      </c>
      <c r="G117" s="6">
        <v>58686</v>
      </c>
    </row>
    <row r="118" spans="1:17" ht="16.5" x14ac:dyDescent="0.3">
      <c r="A118" s="2"/>
      <c r="B118" s="18"/>
      <c r="C118" s="6">
        <v>17.95</v>
      </c>
      <c r="D118" s="6">
        <v>25.46</v>
      </c>
      <c r="E118" s="6">
        <v>27.71</v>
      </c>
      <c r="F118" s="6">
        <v>28.88</v>
      </c>
      <c r="G118" s="6">
        <v>100</v>
      </c>
    </row>
    <row r="119" spans="1:17" ht="16.5" x14ac:dyDescent="0.3">
      <c r="A119" s="2"/>
      <c r="B119" s="26"/>
      <c r="C119" s="26"/>
      <c r="D119" s="26"/>
      <c r="E119" s="26"/>
      <c r="F119" s="26"/>
      <c r="G119" s="26"/>
    </row>
    <row r="120" spans="1:17" ht="17.25" thickBot="1" x14ac:dyDescent="0.35">
      <c r="A120"/>
      <c r="B120"/>
      <c r="C120"/>
      <c r="D120"/>
      <c r="E120"/>
      <c r="F120"/>
      <c r="G120"/>
    </row>
    <row r="121" spans="1:17" ht="16.5" customHeight="1" x14ac:dyDescent="0.3">
      <c r="A121" s="5" t="s">
        <v>2</v>
      </c>
      <c r="B121" s="17" t="s">
        <v>95</v>
      </c>
      <c r="C121" s="19"/>
      <c r="D121" s="19"/>
      <c r="E121" s="19"/>
      <c r="F121" s="19"/>
      <c r="G121" s="19"/>
    </row>
    <row r="122" spans="1:17" ht="16.5" customHeight="1" x14ac:dyDescent="0.3">
      <c r="A122" s="4" t="s">
        <v>3</v>
      </c>
      <c r="B122" s="18" t="s">
        <v>9</v>
      </c>
      <c r="C122" s="20" t="s">
        <v>24</v>
      </c>
      <c r="D122" s="20"/>
      <c r="E122" s="20"/>
      <c r="F122" s="20"/>
      <c r="G122" s="20"/>
    </row>
    <row r="123" spans="1:17" ht="16.5" x14ac:dyDescent="0.3">
      <c r="A123" s="4" t="s">
        <v>19</v>
      </c>
      <c r="B123" s="18"/>
      <c r="C123" s="3">
        <v>1</v>
      </c>
      <c r="D123" s="3">
        <v>2</v>
      </c>
      <c r="E123" s="3">
        <v>3</v>
      </c>
      <c r="F123" s="3">
        <v>4</v>
      </c>
      <c r="G123" s="3" t="s">
        <v>22</v>
      </c>
    </row>
    <row r="124" spans="1:17" ht="33" x14ac:dyDescent="0.3">
      <c r="A124" s="4" t="s">
        <v>20</v>
      </c>
      <c r="B124" s="18">
        <v>1</v>
      </c>
      <c r="C124" s="6">
        <v>9470</v>
      </c>
      <c r="D124" s="6">
        <v>14000</v>
      </c>
      <c r="E124" s="6">
        <v>15286</v>
      </c>
      <c r="F124" s="6">
        <v>15715</v>
      </c>
      <c r="G124" s="6">
        <v>54471</v>
      </c>
      <c r="I124" s="8">
        <f>C124</f>
        <v>9470</v>
      </c>
      <c r="J124" s="8">
        <f t="shared" ref="J124:L124" si="39">D124</f>
        <v>14000</v>
      </c>
      <c r="K124" s="8">
        <f t="shared" si="39"/>
        <v>15286</v>
      </c>
      <c r="L124" s="8">
        <f t="shared" si="39"/>
        <v>15715</v>
      </c>
      <c r="N124" s="8" t="str">
        <f>TEXT(I124,"#,##0")&amp;" ("&amp;TEXT(I125,"0.00")&amp;")"</f>
        <v>9,470 (89.88)</v>
      </c>
      <c r="O124" s="8" t="str">
        <f t="shared" ref="O124:Q124" si="40">TEXT(J124,"#,##0")&amp;" ("&amp;TEXT(J125,"0.00")&amp;")"</f>
        <v>14,000 (93.70)</v>
      </c>
      <c r="P124" s="8" t="str">
        <f t="shared" si="40"/>
        <v>15,286 (93.99)</v>
      </c>
      <c r="Q124" s="8" t="str">
        <f t="shared" si="40"/>
        <v>15,715 (92.74)</v>
      </c>
    </row>
    <row r="125" spans="1:17" ht="16.5" x14ac:dyDescent="0.3">
      <c r="A125" s="2"/>
      <c r="B125" s="18"/>
      <c r="C125" s="6">
        <v>16.14</v>
      </c>
      <c r="D125" s="6">
        <v>23.86</v>
      </c>
      <c r="E125" s="6">
        <v>26.05</v>
      </c>
      <c r="F125" s="6">
        <v>26.78</v>
      </c>
      <c r="G125" s="6">
        <v>92.82</v>
      </c>
      <c r="I125" s="8">
        <f>C127</f>
        <v>89.88</v>
      </c>
      <c r="J125" s="8">
        <f>D127</f>
        <v>93.7</v>
      </c>
      <c r="K125" s="8">
        <f>E127</f>
        <v>93.99</v>
      </c>
      <c r="L125" s="8">
        <f>F127</f>
        <v>92.74</v>
      </c>
      <c r="N125" s="8" t="str">
        <f>TEXT(I128,"#,##0")&amp;" ("&amp;TEXT(I129,"0.00")&amp;")"</f>
        <v>1,066 (10.12)</v>
      </c>
      <c r="O125" s="8" t="str">
        <f t="shared" ref="O125:Q125" si="41">TEXT(J128,"#,##0")&amp;" ("&amp;TEXT(J129,"0.00")&amp;")"</f>
        <v>941 (6.30)</v>
      </c>
      <c r="P125" s="8" t="str">
        <f t="shared" si="41"/>
        <v>977 (6.01)</v>
      </c>
      <c r="Q125" s="8" t="str">
        <f t="shared" si="41"/>
        <v>1,231 (7.26)</v>
      </c>
    </row>
    <row r="126" spans="1:17" ht="16.5" x14ac:dyDescent="0.3">
      <c r="A126" s="2"/>
      <c r="B126" s="18"/>
      <c r="C126" s="6">
        <v>17.39</v>
      </c>
      <c r="D126" s="6">
        <v>25.7</v>
      </c>
      <c r="E126" s="6">
        <v>28.06</v>
      </c>
      <c r="F126" s="6">
        <v>28.85</v>
      </c>
      <c r="G126" s="6"/>
    </row>
    <row r="127" spans="1:17" ht="16.5" x14ac:dyDescent="0.3">
      <c r="A127" s="2"/>
      <c r="B127" s="18"/>
      <c r="C127" s="6">
        <v>89.88</v>
      </c>
      <c r="D127" s="6">
        <v>93.7</v>
      </c>
      <c r="E127" s="6">
        <v>93.99</v>
      </c>
      <c r="F127" s="6">
        <v>92.74</v>
      </c>
      <c r="G127" s="6"/>
    </row>
    <row r="128" spans="1:17" ht="16.5" x14ac:dyDescent="0.3">
      <c r="A128" s="2"/>
      <c r="B128" s="18">
        <v>2</v>
      </c>
      <c r="C128" s="6">
        <v>1066</v>
      </c>
      <c r="D128" s="6">
        <v>941</v>
      </c>
      <c r="E128" s="6">
        <v>977</v>
      </c>
      <c r="F128" s="6">
        <v>1231</v>
      </c>
      <c r="G128" s="6">
        <v>4215</v>
      </c>
      <c r="I128" s="8">
        <f>C128</f>
        <v>1066</v>
      </c>
      <c r="J128" s="8">
        <f t="shared" ref="J128:L128" si="42">D128</f>
        <v>941</v>
      </c>
      <c r="K128" s="8">
        <f t="shared" si="42"/>
        <v>977</v>
      </c>
      <c r="L128" s="8">
        <f t="shared" si="42"/>
        <v>1231</v>
      </c>
    </row>
    <row r="129" spans="1:17" ht="16.5" x14ac:dyDescent="0.3">
      <c r="A129" s="2"/>
      <c r="B129" s="18"/>
      <c r="C129" s="6">
        <v>1.82</v>
      </c>
      <c r="D129" s="6">
        <v>1.6</v>
      </c>
      <c r="E129" s="6">
        <v>1.66</v>
      </c>
      <c r="F129" s="6">
        <v>2.1</v>
      </c>
      <c r="G129" s="6">
        <v>7.18</v>
      </c>
      <c r="I129" s="8">
        <f>C131</f>
        <v>10.119999999999999</v>
      </c>
      <c r="J129" s="8">
        <f>D131</f>
        <v>6.3</v>
      </c>
      <c r="K129" s="8">
        <f>E131</f>
        <v>6.01</v>
      </c>
      <c r="L129" s="8">
        <f>F131</f>
        <v>7.26</v>
      </c>
    </row>
    <row r="130" spans="1:17" ht="16.5" x14ac:dyDescent="0.3">
      <c r="A130" s="2"/>
      <c r="B130" s="18"/>
      <c r="C130" s="6">
        <v>25.29</v>
      </c>
      <c r="D130" s="6">
        <v>22.33</v>
      </c>
      <c r="E130" s="6">
        <v>23.18</v>
      </c>
      <c r="F130" s="6">
        <v>29.21</v>
      </c>
      <c r="G130" s="6"/>
    </row>
    <row r="131" spans="1:17" ht="16.5" x14ac:dyDescent="0.3">
      <c r="A131" s="2"/>
      <c r="B131" s="18"/>
      <c r="C131" s="6">
        <v>10.119999999999999</v>
      </c>
      <c r="D131" s="6">
        <v>6.3</v>
      </c>
      <c r="E131" s="6">
        <v>6.01</v>
      </c>
      <c r="F131" s="6">
        <v>7.26</v>
      </c>
      <c r="G131" s="6"/>
    </row>
    <row r="132" spans="1:17" ht="15.75" customHeight="1" x14ac:dyDescent="0.3">
      <c r="A132" s="2"/>
      <c r="B132" s="18" t="s">
        <v>22</v>
      </c>
      <c r="C132" s="6">
        <v>10536</v>
      </c>
      <c r="D132" s="6">
        <v>14941</v>
      </c>
      <c r="E132" s="6">
        <v>16263</v>
      </c>
      <c r="F132" s="6">
        <v>16946</v>
      </c>
      <c r="G132" s="6">
        <v>58686</v>
      </c>
    </row>
    <row r="133" spans="1:17" ht="16.5" x14ac:dyDescent="0.3">
      <c r="A133" s="2"/>
      <c r="B133" s="18"/>
      <c r="C133" s="6">
        <v>17.95</v>
      </c>
      <c r="D133" s="6">
        <v>25.46</v>
      </c>
      <c r="E133" s="6">
        <v>27.71</v>
      </c>
      <c r="F133" s="6">
        <v>28.88</v>
      </c>
      <c r="G133" s="6">
        <v>100</v>
      </c>
    </row>
    <row r="134" spans="1:17" ht="16.5" x14ac:dyDescent="0.3">
      <c r="A134" s="2"/>
      <c r="B134" s="26"/>
      <c r="C134" s="26"/>
      <c r="D134" s="26"/>
      <c r="E134" s="26"/>
      <c r="F134" s="26"/>
      <c r="G134" s="26"/>
    </row>
    <row r="135" spans="1:17" ht="17.25" thickBot="1" x14ac:dyDescent="0.35">
      <c r="A135"/>
      <c r="B135"/>
      <c r="C135"/>
      <c r="D135"/>
      <c r="E135"/>
      <c r="F135"/>
      <c r="G135"/>
    </row>
    <row r="136" spans="1:17" ht="16.5" customHeight="1" x14ac:dyDescent="0.3">
      <c r="A136" s="5" t="s">
        <v>2</v>
      </c>
      <c r="B136" s="17" t="s">
        <v>96</v>
      </c>
      <c r="C136" s="19"/>
      <c r="D136" s="19"/>
      <c r="E136" s="19"/>
      <c r="F136" s="19"/>
      <c r="G136" s="19"/>
    </row>
    <row r="137" spans="1:17" ht="16.5" customHeight="1" x14ac:dyDescent="0.3">
      <c r="A137" s="4" t="s">
        <v>3</v>
      </c>
      <c r="B137" s="18" t="s">
        <v>10</v>
      </c>
      <c r="C137" s="20" t="s">
        <v>24</v>
      </c>
      <c r="D137" s="20"/>
      <c r="E137" s="20"/>
      <c r="F137" s="20"/>
      <c r="G137" s="20"/>
    </row>
    <row r="138" spans="1:17" ht="16.5" x14ac:dyDescent="0.3">
      <c r="A138" s="4" t="s">
        <v>19</v>
      </c>
      <c r="B138" s="18"/>
      <c r="C138" s="3">
        <v>1</v>
      </c>
      <c r="D138" s="3">
        <v>2</v>
      </c>
      <c r="E138" s="3">
        <v>3</v>
      </c>
      <c r="F138" s="3">
        <v>4</v>
      </c>
      <c r="G138" s="3" t="s">
        <v>22</v>
      </c>
    </row>
    <row r="139" spans="1:17" ht="33" x14ac:dyDescent="0.3">
      <c r="A139" s="4" t="s">
        <v>20</v>
      </c>
      <c r="B139" s="18">
        <v>1</v>
      </c>
      <c r="C139" s="6">
        <v>3596</v>
      </c>
      <c r="D139" s="6">
        <v>5199</v>
      </c>
      <c r="E139" s="6">
        <v>5375</v>
      </c>
      <c r="F139" s="6">
        <v>4807</v>
      </c>
      <c r="G139" s="6">
        <v>18977</v>
      </c>
      <c r="I139" s="8">
        <f>C139</f>
        <v>3596</v>
      </c>
      <c r="J139" s="8">
        <f t="shared" ref="J139:L139" si="43">D139</f>
        <v>5199</v>
      </c>
      <c r="K139" s="8">
        <f t="shared" si="43"/>
        <v>5375</v>
      </c>
      <c r="L139" s="8">
        <f t="shared" si="43"/>
        <v>4807</v>
      </c>
      <c r="N139" s="8" t="str">
        <f>TEXT(I139,"#,##0")&amp;" ("&amp;TEXT(I140,"0.00")&amp;")"</f>
        <v>3,596 (34.13)</v>
      </c>
      <c r="O139" s="8" t="str">
        <f t="shared" ref="O139:Q139" si="44">TEXT(J139,"#,##0")&amp;" ("&amp;TEXT(J140,"0.00")&amp;")"</f>
        <v>5,199 (34.80)</v>
      </c>
      <c r="P139" s="8" t="str">
        <f t="shared" si="44"/>
        <v>5,375 (33.05)</v>
      </c>
      <c r="Q139" s="8" t="str">
        <f t="shared" si="44"/>
        <v>4,807 (28.37)</v>
      </c>
    </row>
    <row r="140" spans="1:17" ht="16.5" x14ac:dyDescent="0.3">
      <c r="A140" s="2"/>
      <c r="B140" s="18"/>
      <c r="C140" s="6">
        <v>6.13</v>
      </c>
      <c r="D140" s="6">
        <v>8.86</v>
      </c>
      <c r="E140" s="6">
        <v>9.16</v>
      </c>
      <c r="F140" s="6">
        <v>8.19</v>
      </c>
      <c r="G140" s="6">
        <v>32.340000000000003</v>
      </c>
      <c r="I140" s="8">
        <f>C142</f>
        <v>34.130000000000003</v>
      </c>
      <c r="J140" s="8">
        <f>D142</f>
        <v>34.799999999999997</v>
      </c>
      <c r="K140" s="8">
        <f>E142</f>
        <v>33.049999999999997</v>
      </c>
      <c r="L140" s="8">
        <f>F142</f>
        <v>28.37</v>
      </c>
      <c r="N140" s="8" t="str">
        <f>TEXT(I143,"#,##0")&amp;" ("&amp;TEXT(I144,"0.00")&amp;")"</f>
        <v>5,229 (49.63)</v>
      </c>
      <c r="O140" s="8" t="str">
        <f t="shared" ref="O140:Q140" si="45">TEXT(J143,"#,##0")&amp;" ("&amp;TEXT(J144,"0.00")&amp;")"</f>
        <v>7,371 (49.33)</v>
      </c>
      <c r="P140" s="8" t="str">
        <f t="shared" si="45"/>
        <v>8,027 (49.36)</v>
      </c>
      <c r="Q140" s="8" t="str">
        <f t="shared" si="45"/>
        <v>8,373 (49.41)</v>
      </c>
    </row>
    <row r="141" spans="1:17" ht="16.5" x14ac:dyDescent="0.3">
      <c r="A141" s="2"/>
      <c r="B141" s="18"/>
      <c r="C141" s="6">
        <v>18.95</v>
      </c>
      <c r="D141" s="6">
        <v>27.4</v>
      </c>
      <c r="E141" s="6">
        <v>28.32</v>
      </c>
      <c r="F141" s="6">
        <v>25.33</v>
      </c>
      <c r="G141" s="6"/>
      <c r="N141" s="8" t="str">
        <f>TEXT(I147,"#,##0")&amp;" ("&amp;TEXT(I148,"0.00")&amp;")"</f>
        <v>1,711 (16.24)</v>
      </c>
      <c r="O141" s="8" t="str">
        <f t="shared" ref="O141:Q141" si="46">TEXT(J147,"#,##0")&amp;" ("&amp;TEXT(J148,"0.00")&amp;")"</f>
        <v>2,371 (15.87)</v>
      </c>
      <c r="P141" s="8" t="str">
        <f t="shared" si="46"/>
        <v>2,861 (17.59)</v>
      </c>
      <c r="Q141" s="8" t="str">
        <f t="shared" si="46"/>
        <v>3,766 (22.22)</v>
      </c>
    </row>
    <row r="142" spans="1:17" ht="16.5" x14ac:dyDescent="0.3">
      <c r="A142" s="2"/>
      <c r="B142" s="18"/>
      <c r="C142" s="6">
        <v>34.130000000000003</v>
      </c>
      <c r="D142" s="6">
        <v>34.799999999999997</v>
      </c>
      <c r="E142" s="6">
        <v>33.049999999999997</v>
      </c>
      <c r="F142" s="6">
        <v>28.37</v>
      </c>
      <c r="G142" s="6"/>
    </row>
    <row r="143" spans="1:17" ht="16.5" x14ac:dyDescent="0.3">
      <c r="A143" s="2"/>
      <c r="B143" s="18">
        <v>2</v>
      </c>
      <c r="C143" s="6">
        <v>5229</v>
      </c>
      <c r="D143" s="6">
        <v>7371</v>
      </c>
      <c r="E143" s="6">
        <v>8027</v>
      </c>
      <c r="F143" s="6">
        <v>8373</v>
      </c>
      <c r="G143" s="6">
        <v>29000</v>
      </c>
      <c r="I143" s="8">
        <f>C143</f>
        <v>5229</v>
      </c>
      <c r="J143" s="8">
        <f t="shared" ref="J143:L143" si="47">D143</f>
        <v>7371</v>
      </c>
      <c r="K143" s="8">
        <f t="shared" si="47"/>
        <v>8027</v>
      </c>
      <c r="L143" s="8">
        <f t="shared" si="47"/>
        <v>8373</v>
      </c>
    </row>
    <row r="144" spans="1:17" ht="16.5" x14ac:dyDescent="0.3">
      <c r="A144" s="2"/>
      <c r="B144" s="18"/>
      <c r="C144" s="6">
        <v>8.91</v>
      </c>
      <c r="D144" s="6">
        <v>12.56</v>
      </c>
      <c r="E144" s="6">
        <v>13.68</v>
      </c>
      <c r="F144" s="6">
        <v>14.27</v>
      </c>
      <c r="G144" s="6">
        <v>49.42</v>
      </c>
      <c r="I144" s="8">
        <f>C146</f>
        <v>49.63</v>
      </c>
      <c r="J144" s="8">
        <f>D146</f>
        <v>49.33</v>
      </c>
      <c r="K144" s="8">
        <f>E146</f>
        <v>49.36</v>
      </c>
      <c r="L144" s="8">
        <f>F146</f>
        <v>49.41</v>
      </c>
    </row>
    <row r="145" spans="1:17" ht="16.5" x14ac:dyDescent="0.3">
      <c r="A145" s="2"/>
      <c r="B145" s="18"/>
      <c r="C145" s="6">
        <v>18.03</v>
      </c>
      <c r="D145" s="6">
        <v>25.42</v>
      </c>
      <c r="E145" s="6">
        <v>27.68</v>
      </c>
      <c r="F145" s="6">
        <v>28.87</v>
      </c>
      <c r="G145" s="6"/>
    </row>
    <row r="146" spans="1:17" ht="16.5" x14ac:dyDescent="0.3">
      <c r="A146" s="2"/>
      <c r="B146" s="18"/>
      <c r="C146" s="6">
        <v>49.63</v>
      </c>
      <c r="D146" s="6">
        <v>49.33</v>
      </c>
      <c r="E146" s="6">
        <v>49.36</v>
      </c>
      <c r="F146" s="6">
        <v>49.41</v>
      </c>
      <c r="G146" s="6"/>
    </row>
    <row r="147" spans="1:17" ht="16.5" x14ac:dyDescent="0.3">
      <c r="A147" s="2"/>
      <c r="B147" s="18">
        <v>3</v>
      </c>
      <c r="C147" s="6">
        <v>1711</v>
      </c>
      <c r="D147" s="6">
        <v>2371</v>
      </c>
      <c r="E147" s="6">
        <v>2861</v>
      </c>
      <c r="F147" s="6">
        <v>3766</v>
      </c>
      <c r="G147" s="6">
        <v>10709</v>
      </c>
      <c r="I147" s="8">
        <f>C147</f>
        <v>1711</v>
      </c>
      <c r="J147" s="8">
        <f t="shared" ref="J147:L147" si="48">D147</f>
        <v>2371</v>
      </c>
      <c r="K147" s="8">
        <f t="shared" si="48"/>
        <v>2861</v>
      </c>
      <c r="L147" s="8">
        <f t="shared" si="48"/>
        <v>3766</v>
      </c>
    </row>
    <row r="148" spans="1:17" ht="16.5" x14ac:dyDescent="0.3">
      <c r="A148" s="2"/>
      <c r="B148" s="18"/>
      <c r="C148" s="6">
        <v>2.92</v>
      </c>
      <c r="D148" s="6">
        <v>4.04</v>
      </c>
      <c r="E148" s="6">
        <v>4.88</v>
      </c>
      <c r="F148" s="6">
        <v>6.42</v>
      </c>
      <c r="G148" s="6">
        <v>18.25</v>
      </c>
      <c r="I148" s="8">
        <f>C150</f>
        <v>16.239999999999998</v>
      </c>
      <c r="J148" s="8">
        <f>D150</f>
        <v>15.87</v>
      </c>
      <c r="K148" s="8">
        <f>E150</f>
        <v>17.59</v>
      </c>
      <c r="L148" s="8">
        <f>F150</f>
        <v>22.22</v>
      </c>
    </row>
    <row r="149" spans="1:17" ht="16.5" x14ac:dyDescent="0.3">
      <c r="A149" s="2"/>
      <c r="B149" s="18"/>
      <c r="C149" s="6">
        <v>15.98</v>
      </c>
      <c r="D149" s="6">
        <v>22.14</v>
      </c>
      <c r="E149" s="6">
        <v>26.72</v>
      </c>
      <c r="F149" s="6">
        <v>35.17</v>
      </c>
      <c r="G149" s="6"/>
    </row>
    <row r="150" spans="1:17" ht="16.5" x14ac:dyDescent="0.3">
      <c r="A150" s="2"/>
      <c r="B150" s="18"/>
      <c r="C150" s="6">
        <v>16.239999999999998</v>
      </c>
      <c r="D150" s="6">
        <v>15.87</v>
      </c>
      <c r="E150" s="6">
        <v>17.59</v>
      </c>
      <c r="F150" s="6">
        <v>22.22</v>
      </c>
      <c r="G150" s="6"/>
    </row>
    <row r="151" spans="1:17" ht="15.75" customHeight="1" x14ac:dyDescent="0.3">
      <c r="A151" s="2"/>
      <c r="B151" s="18" t="s">
        <v>22</v>
      </c>
      <c r="C151" s="6">
        <v>10536</v>
      </c>
      <c r="D151" s="6">
        <v>14941</v>
      </c>
      <c r="E151" s="6">
        <v>16263</v>
      </c>
      <c r="F151" s="6">
        <v>16946</v>
      </c>
      <c r="G151" s="6">
        <v>58686</v>
      </c>
    </row>
    <row r="152" spans="1:17" ht="16.5" x14ac:dyDescent="0.3">
      <c r="A152" s="2"/>
      <c r="B152" s="18"/>
      <c r="C152" s="6">
        <v>17.95</v>
      </c>
      <c r="D152" s="6">
        <v>25.46</v>
      </c>
      <c r="E152" s="6">
        <v>27.71</v>
      </c>
      <c r="F152" s="6">
        <v>28.88</v>
      </c>
      <c r="G152" s="6">
        <v>100</v>
      </c>
    </row>
    <row r="153" spans="1:17" ht="16.5" x14ac:dyDescent="0.3">
      <c r="A153" s="2"/>
      <c r="B153" s="26"/>
      <c r="C153" s="26"/>
      <c r="D153" s="26"/>
      <c r="E153" s="26"/>
      <c r="F153" s="26"/>
      <c r="G153" s="26"/>
    </row>
    <row r="154" spans="1:17" ht="17.25" thickBot="1" x14ac:dyDescent="0.35">
      <c r="A154"/>
      <c r="B154"/>
      <c r="C154"/>
      <c r="D154"/>
      <c r="E154"/>
      <c r="F154"/>
      <c r="G154"/>
    </row>
    <row r="155" spans="1:17" ht="16.5" customHeight="1" x14ac:dyDescent="0.3">
      <c r="A155" s="5" t="s">
        <v>2</v>
      </c>
      <c r="B155" s="17" t="s">
        <v>97</v>
      </c>
      <c r="C155" s="19"/>
      <c r="D155" s="19"/>
      <c r="E155" s="19"/>
      <c r="F155" s="19"/>
      <c r="G155" s="19"/>
    </row>
    <row r="156" spans="1:17" ht="16.5" customHeight="1" x14ac:dyDescent="0.3">
      <c r="A156" s="4" t="s">
        <v>3</v>
      </c>
      <c r="B156" s="18" t="s">
        <v>11</v>
      </c>
      <c r="C156" s="20" t="s">
        <v>24</v>
      </c>
      <c r="D156" s="20"/>
      <c r="E156" s="20"/>
      <c r="F156" s="20"/>
      <c r="G156" s="20"/>
    </row>
    <row r="157" spans="1:17" ht="16.5" x14ac:dyDescent="0.3">
      <c r="A157" s="4" t="s">
        <v>19</v>
      </c>
      <c r="B157" s="18"/>
      <c r="C157" s="3">
        <v>1</v>
      </c>
      <c r="D157" s="3">
        <v>2</v>
      </c>
      <c r="E157" s="3">
        <v>3</v>
      </c>
      <c r="F157" s="3">
        <v>4</v>
      </c>
      <c r="G157" s="3" t="s">
        <v>22</v>
      </c>
    </row>
    <row r="158" spans="1:17" ht="33" x14ac:dyDescent="0.3">
      <c r="A158" s="4" t="s">
        <v>20</v>
      </c>
      <c r="B158" s="18">
        <v>1</v>
      </c>
      <c r="C158" s="6">
        <v>2943</v>
      </c>
      <c r="D158" s="6">
        <v>3788</v>
      </c>
      <c r="E158" s="6">
        <v>3948</v>
      </c>
      <c r="F158" s="6">
        <v>4845</v>
      </c>
      <c r="G158" s="6">
        <v>15524</v>
      </c>
      <c r="I158" s="8">
        <f>C158</f>
        <v>2943</v>
      </c>
      <c r="J158" s="8">
        <f t="shared" ref="J158:L158" si="49">D158</f>
        <v>3788</v>
      </c>
      <c r="K158" s="8">
        <f t="shared" si="49"/>
        <v>3948</v>
      </c>
      <c r="L158" s="8">
        <f t="shared" si="49"/>
        <v>4845</v>
      </c>
      <c r="N158" s="8" t="str">
        <f>TEXT(I158,"#,##0")&amp;" ("&amp;TEXT(I159,"0.00")&amp;")"</f>
        <v>2,943 (27.93)</v>
      </c>
      <c r="O158" s="8" t="str">
        <f t="shared" ref="O158:Q158" si="50">TEXT(J158,"#,##0")&amp;" ("&amp;TEXT(J159,"0.00")&amp;")"</f>
        <v>3,788 (25.35)</v>
      </c>
      <c r="P158" s="8" t="str">
        <f t="shared" si="50"/>
        <v>3,948 (24.28)</v>
      </c>
      <c r="Q158" s="8" t="str">
        <f t="shared" si="50"/>
        <v>4,845 (28.59)</v>
      </c>
    </row>
    <row r="159" spans="1:17" ht="16.5" x14ac:dyDescent="0.3">
      <c r="A159" s="2"/>
      <c r="B159" s="18"/>
      <c r="C159" s="6">
        <v>5.01</v>
      </c>
      <c r="D159" s="6">
        <v>6.45</v>
      </c>
      <c r="E159" s="6">
        <v>6.73</v>
      </c>
      <c r="F159" s="6">
        <v>8.26</v>
      </c>
      <c r="G159" s="6">
        <v>26.45</v>
      </c>
      <c r="I159" s="8">
        <f>C161</f>
        <v>27.93</v>
      </c>
      <c r="J159" s="8">
        <f>D161</f>
        <v>25.35</v>
      </c>
      <c r="K159" s="8">
        <f>E161</f>
        <v>24.28</v>
      </c>
      <c r="L159" s="8">
        <f>F161</f>
        <v>28.59</v>
      </c>
      <c r="N159" s="8" t="str">
        <f>TEXT(I162,"#,##0")&amp;" ("&amp;TEXT(I163,"0.00")&amp;")"</f>
        <v>6,340 (60.17)</v>
      </c>
      <c r="O159" s="8" t="str">
        <f t="shared" ref="O159:Q159" si="51">TEXT(J162,"#,##0")&amp;" ("&amp;TEXT(J163,"0.00")&amp;")"</f>
        <v>8,978 (60.09)</v>
      </c>
      <c r="P159" s="8" t="str">
        <f t="shared" si="51"/>
        <v>9,672 (59.47)</v>
      </c>
      <c r="Q159" s="8" t="str">
        <f t="shared" si="51"/>
        <v>9,520 (56.18)</v>
      </c>
    </row>
    <row r="160" spans="1:17" ht="16.5" x14ac:dyDescent="0.3">
      <c r="A160" s="2"/>
      <c r="B160" s="18"/>
      <c r="C160" s="6">
        <v>18.96</v>
      </c>
      <c r="D160" s="6">
        <v>24.4</v>
      </c>
      <c r="E160" s="6">
        <v>25.43</v>
      </c>
      <c r="F160" s="6">
        <v>31.21</v>
      </c>
      <c r="G160" s="6"/>
      <c r="N160" s="8" t="str">
        <f>TEXT(I166,"#,##0")&amp;" ("&amp;TEXT(I167,"0.00")&amp;")"</f>
        <v>1,253 (11.89)</v>
      </c>
      <c r="O160" s="8" t="str">
        <f t="shared" ref="O160:Q160" si="52">TEXT(J166,"#,##0")&amp;" ("&amp;TEXT(J167,"0.00")&amp;")"</f>
        <v>2,175 (14.56)</v>
      </c>
      <c r="P160" s="8" t="str">
        <f t="shared" si="52"/>
        <v>2,643 (16.25)</v>
      </c>
      <c r="Q160" s="8" t="str">
        <f t="shared" si="52"/>
        <v>2,581 (15.23)</v>
      </c>
    </row>
    <row r="161" spans="1:12" ht="16.5" x14ac:dyDescent="0.3">
      <c r="A161" s="2"/>
      <c r="B161" s="18"/>
      <c r="C161" s="6">
        <v>27.93</v>
      </c>
      <c r="D161" s="6">
        <v>25.35</v>
      </c>
      <c r="E161" s="6">
        <v>24.28</v>
      </c>
      <c r="F161" s="6">
        <v>28.59</v>
      </c>
      <c r="G161" s="6"/>
    </row>
    <row r="162" spans="1:12" ht="16.5" x14ac:dyDescent="0.3">
      <c r="A162" s="2"/>
      <c r="B162" s="18">
        <v>2</v>
      </c>
      <c r="C162" s="6">
        <v>6340</v>
      </c>
      <c r="D162" s="6">
        <v>8978</v>
      </c>
      <c r="E162" s="6">
        <v>9672</v>
      </c>
      <c r="F162" s="6">
        <v>9520</v>
      </c>
      <c r="G162" s="6">
        <v>34510</v>
      </c>
      <c r="I162" s="8">
        <f>C162</f>
        <v>6340</v>
      </c>
      <c r="J162" s="8">
        <f t="shared" ref="J162:L162" si="53">D162</f>
        <v>8978</v>
      </c>
      <c r="K162" s="8">
        <f t="shared" si="53"/>
        <v>9672</v>
      </c>
      <c r="L162" s="8">
        <f t="shared" si="53"/>
        <v>9520</v>
      </c>
    </row>
    <row r="163" spans="1:12" ht="16.5" x14ac:dyDescent="0.3">
      <c r="A163" s="2"/>
      <c r="B163" s="18"/>
      <c r="C163" s="6">
        <v>10.8</v>
      </c>
      <c r="D163" s="6">
        <v>15.3</v>
      </c>
      <c r="E163" s="6">
        <v>16.48</v>
      </c>
      <c r="F163" s="6">
        <v>16.22</v>
      </c>
      <c r="G163" s="6">
        <v>58.8</v>
      </c>
      <c r="I163" s="8">
        <f>C165</f>
        <v>60.17</v>
      </c>
      <c r="J163" s="8">
        <f>D165</f>
        <v>60.09</v>
      </c>
      <c r="K163" s="8">
        <f>E165</f>
        <v>59.47</v>
      </c>
      <c r="L163" s="8">
        <f>F165</f>
        <v>56.18</v>
      </c>
    </row>
    <row r="164" spans="1:12" ht="16.5" x14ac:dyDescent="0.3">
      <c r="A164" s="2"/>
      <c r="B164" s="18"/>
      <c r="C164" s="6">
        <v>18.37</v>
      </c>
      <c r="D164" s="6">
        <v>26.02</v>
      </c>
      <c r="E164" s="6">
        <v>28.03</v>
      </c>
      <c r="F164" s="6">
        <v>27.59</v>
      </c>
      <c r="G164" s="6"/>
    </row>
    <row r="165" spans="1:12" ht="16.5" x14ac:dyDescent="0.3">
      <c r="A165" s="2"/>
      <c r="B165" s="18"/>
      <c r="C165" s="6">
        <v>60.17</v>
      </c>
      <c r="D165" s="6">
        <v>60.09</v>
      </c>
      <c r="E165" s="6">
        <v>59.47</v>
      </c>
      <c r="F165" s="6">
        <v>56.18</v>
      </c>
      <c r="G165" s="6"/>
    </row>
    <row r="166" spans="1:12" ht="16.5" x14ac:dyDescent="0.3">
      <c r="A166" s="2"/>
      <c r="B166" s="18">
        <v>3</v>
      </c>
      <c r="C166" s="6">
        <v>1253</v>
      </c>
      <c r="D166" s="6">
        <v>2175</v>
      </c>
      <c r="E166" s="6">
        <v>2643</v>
      </c>
      <c r="F166" s="6">
        <v>2581</v>
      </c>
      <c r="G166" s="6">
        <v>8652</v>
      </c>
      <c r="I166" s="8">
        <f>C166</f>
        <v>1253</v>
      </c>
      <c r="J166" s="8">
        <f t="shared" ref="J166:L166" si="54">D166</f>
        <v>2175</v>
      </c>
      <c r="K166" s="8">
        <f t="shared" si="54"/>
        <v>2643</v>
      </c>
      <c r="L166" s="8">
        <f t="shared" si="54"/>
        <v>2581</v>
      </c>
    </row>
    <row r="167" spans="1:12" ht="16.5" x14ac:dyDescent="0.3">
      <c r="A167" s="2"/>
      <c r="B167" s="18"/>
      <c r="C167" s="6">
        <v>2.14</v>
      </c>
      <c r="D167" s="6">
        <v>3.71</v>
      </c>
      <c r="E167" s="6">
        <v>4.5</v>
      </c>
      <c r="F167" s="6">
        <v>4.4000000000000004</v>
      </c>
      <c r="G167" s="6">
        <v>14.74</v>
      </c>
      <c r="I167" s="8">
        <f>C169</f>
        <v>11.89</v>
      </c>
      <c r="J167" s="8">
        <f>D169</f>
        <v>14.56</v>
      </c>
      <c r="K167" s="8">
        <f>E169</f>
        <v>16.25</v>
      </c>
      <c r="L167" s="8">
        <f>F169</f>
        <v>15.23</v>
      </c>
    </row>
    <row r="168" spans="1:12" ht="16.5" x14ac:dyDescent="0.3">
      <c r="A168" s="2"/>
      <c r="B168" s="18"/>
      <c r="C168" s="6">
        <v>14.48</v>
      </c>
      <c r="D168" s="6">
        <v>25.14</v>
      </c>
      <c r="E168" s="6">
        <v>30.55</v>
      </c>
      <c r="F168" s="6">
        <v>29.83</v>
      </c>
      <c r="G168" s="6"/>
    </row>
    <row r="169" spans="1:12" ht="16.5" x14ac:dyDescent="0.3">
      <c r="A169" s="2"/>
      <c r="B169" s="18"/>
      <c r="C169" s="6">
        <v>11.89</v>
      </c>
      <c r="D169" s="6">
        <v>14.56</v>
      </c>
      <c r="E169" s="6">
        <v>16.25</v>
      </c>
      <c r="F169" s="6">
        <v>15.23</v>
      </c>
      <c r="G169" s="6"/>
    </row>
    <row r="170" spans="1:12" ht="15.75" customHeight="1" x14ac:dyDescent="0.3">
      <c r="A170" s="2"/>
      <c r="B170" s="18" t="s">
        <v>22</v>
      </c>
      <c r="C170" s="6">
        <v>10536</v>
      </c>
      <c r="D170" s="6">
        <v>14941</v>
      </c>
      <c r="E170" s="6">
        <v>16263</v>
      </c>
      <c r="F170" s="6">
        <v>16946</v>
      </c>
      <c r="G170" s="6">
        <v>58686</v>
      </c>
    </row>
    <row r="171" spans="1:12" ht="16.5" x14ac:dyDescent="0.3">
      <c r="A171" s="2"/>
      <c r="B171" s="18"/>
      <c r="C171" s="6">
        <v>17.95</v>
      </c>
      <c r="D171" s="6">
        <v>25.46</v>
      </c>
      <c r="E171" s="6">
        <v>27.71</v>
      </c>
      <c r="F171" s="6">
        <v>28.88</v>
      </c>
      <c r="G171" s="6">
        <v>100</v>
      </c>
    </row>
    <row r="172" spans="1:12" ht="16.5" x14ac:dyDescent="0.3">
      <c r="A172" s="2"/>
      <c r="B172" s="26"/>
      <c r="C172" s="26"/>
      <c r="D172" s="26"/>
      <c r="E172" s="26"/>
      <c r="F172" s="26"/>
      <c r="G172" s="26"/>
    </row>
    <row r="173" spans="1:12" ht="17.25" thickBot="1" x14ac:dyDescent="0.35">
      <c r="A173"/>
      <c r="B173"/>
      <c r="C173"/>
      <c r="D173"/>
      <c r="E173"/>
      <c r="F173"/>
      <c r="G173"/>
    </row>
    <row r="174" spans="1:12" ht="16.5" customHeight="1" x14ac:dyDescent="0.3">
      <c r="A174" s="5" t="s">
        <v>2</v>
      </c>
      <c r="B174" s="17" t="s">
        <v>98</v>
      </c>
      <c r="C174" s="19"/>
      <c r="D174" s="19"/>
      <c r="E174" s="19"/>
      <c r="F174" s="19"/>
      <c r="G174" s="19"/>
    </row>
    <row r="175" spans="1:12" ht="16.5" customHeight="1" x14ac:dyDescent="0.3">
      <c r="A175" s="4" t="s">
        <v>3</v>
      </c>
      <c r="B175" s="18" t="s">
        <v>12</v>
      </c>
      <c r="C175" s="20" t="s">
        <v>24</v>
      </c>
      <c r="D175" s="20"/>
      <c r="E175" s="20"/>
      <c r="F175" s="20"/>
      <c r="G175" s="20"/>
    </row>
    <row r="176" spans="1:12" ht="16.5" x14ac:dyDescent="0.3">
      <c r="A176" s="4" t="s">
        <v>19</v>
      </c>
      <c r="B176" s="18"/>
      <c r="C176" s="3">
        <v>1</v>
      </c>
      <c r="D176" s="3">
        <v>2</v>
      </c>
      <c r="E176" s="3">
        <v>3</v>
      </c>
      <c r="F176" s="3">
        <v>4</v>
      </c>
      <c r="G176" s="3" t="s">
        <v>22</v>
      </c>
    </row>
    <row r="177" spans="1:17" ht="33" x14ac:dyDescent="0.3">
      <c r="A177" s="4" t="s">
        <v>20</v>
      </c>
      <c r="B177" s="18">
        <v>1</v>
      </c>
      <c r="C177" s="6">
        <v>4718</v>
      </c>
      <c r="D177" s="6">
        <v>6164</v>
      </c>
      <c r="E177" s="6">
        <v>6204</v>
      </c>
      <c r="F177" s="6">
        <v>5989</v>
      </c>
      <c r="G177" s="6">
        <v>23075</v>
      </c>
      <c r="I177" s="8">
        <f>C177</f>
        <v>4718</v>
      </c>
      <c r="J177" s="8">
        <f t="shared" ref="J177:L177" si="55">D177</f>
        <v>6164</v>
      </c>
      <c r="K177" s="8">
        <f t="shared" si="55"/>
        <v>6204</v>
      </c>
      <c r="L177" s="8">
        <f t="shared" si="55"/>
        <v>5989</v>
      </c>
      <c r="N177" s="8" t="str">
        <f>TEXT(I177,"#,##0")&amp;" ("&amp;TEXT(I178,"0.00")&amp;")"</f>
        <v>4,718 (44.78)</v>
      </c>
      <c r="O177" s="8" t="str">
        <f t="shared" ref="O177:Q177" si="56">TEXT(J177,"#,##0")&amp;" ("&amp;TEXT(J178,"0.00")&amp;")"</f>
        <v>6,164 (41.26)</v>
      </c>
      <c r="P177" s="8" t="str">
        <f t="shared" si="56"/>
        <v>6,204 (38.15)</v>
      </c>
      <c r="Q177" s="8" t="str">
        <f t="shared" si="56"/>
        <v>5,989 (35.34)</v>
      </c>
    </row>
    <row r="178" spans="1:17" ht="16.5" x14ac:dyDescent="0.3">
      <c r="A178" s="2"/>
      <c r="B178" s="18"/>
      <c r="C178" s="6">
        <v>8.0399999999999991</v>
      </c>
      <c r="D178" s="6">
        <v>10.5</v>
      </c>
      <c r="E178" s="6">
        <v>10.57</v>
      </c>
      <c r="F178" s="6">
        <v>10.210000000000001</v>
      </c>
      <c r="G178" s="6">
        <v>39.32</v>
      </c>
      <c r="I178" s="8">
        <f>C180</f>
        <v>44.78</v>
      </c>
      <c r="J178" s="8">
        <f>D180</f>
        <v>41.26</v>
      </c>
      <c r="K178" s="8">
        <f>E180</f>
        <v>38.15</v>
      </c>
      <c r="L178" s="8">
        <f>F180</f>
        <v>35.340000000000003</v>
      </c>
      <c r="N178" s="8" t="str">
        <f>TEXT(I181,"#,##0")&amp;" ("&amp;TEXT(I182,"0.00")&amp;")"</f>
        <v>3,835 (36.40)</v>
      </c>
      <c r="O178" s="8" t="str">
        <f t="shared" ref="O178:Q178" si="57">TEXT(J181,"#,##0")&amp;" ("&amp;TEXT(J182,"0.00")&amp;")"</f>
        <v>5,474 (36.64)</v>
      </c>
      <c r="P178" s="8" t="str">
        <f t="shared" si="57"/>
        <v>5,612 (34.51)</v>
      </c>
      <c r="Q178" s="8" t="str">
        <f t="shared" si="57"/>
        <v>5,712 (33.71)</v>
      </c>
    </row>
    <row r="179" spans="1:17" ht="16.5" x14ac:dyDescent="0.3">
      <c r="A179" s="2"/>
      <c r="B179" s="18"/>
      <c r="C179" s="6">
        <v>20.45</v>
      </c>
      <c r="D179" s="6">
        <v>26.71</v>
      </c>
      <c r="E179" s="6">
        <v>26.89</v>
      </c>
      <c r="F179" s="6">
        <v>25.95</v>
      </c>
      <c r="G179" s="6"/>
      <c r="N179" s="8" t="str">
        <f>TEXT(I185,"#,##0")&amp;" ("&amp;TEXT(I186,"0.00")&amp;")"</f>
        <v>1,983 (18.82)</v>
      </c>
      <c r="O179" s="8" t="str">
        <f t="shared" ref="O179:Q179" si="58">TEXT(J185,"#,##0")&amp;" ("&amp;TEXT(J186,"0.00")&amp;")"</f>
        <v>3,303 (22.11)</v>
      </c>
      <c r="P179" s="8" t="str">
        <f t="shared" si="58"/>
        <v>4,447 (27.34)</v>
      </c>
      <c r="Q179" s="8" t="str">
        <f t="shared" si="58"/>
        <v>5,245 (30.95)</v>
      </c>
    </row>
    <row r="180" spans="1:17" ht="16.5" x14ac:dyDescent="0.3">
      <c r="A180" s="2"/>
      <c r="B180" s="18"/>
      <c r="C180" s="6">
        <v>44.78</v>
      </c>
      <c r="D180" s="6">
        <v>41.26</v>
      </c>
      <c r="E180" s="6">
        <v>38.15</v>
      </c>
      <c r="F180" s="6">
        <v>35.340000000000003</v>
      </c>
      <c r="G180" s="6"/>
    </row>
    <row r="181" spans="1:17" ht="16.5" x14ac:dyDescent="0.3">
      <c r="A181" s="2"/>
      <c r="B181" s="18">
        <v>2</v>
      </c>
      <c r="C181" s="6">
        <v>3835</v>
      </c>
      <c r="D181" s="6">
        <v>5474</v>
      </c>
      <c r="E181" s="6">
        <v>5612</v>
      </c>
      <c r="F181" s="6">
        <v>5712</v>
      </c>
      <c r="G181" s="6">
        <v>20633</v>
      </c>
      <c r="I181" s="8">
        <f>C181</f>
        <v>3835</v>
      </c>
      <c r="J181" s="8">
        <f t="shared" ref="J181:L181" si="59">D181</f>
        <v>5474</v>
      </c>
      <c r="K181" s="8">
        <f t="shared" si="59"/>
        <v>5612</v>
      </c>
      <c r="L181" s="8">
        <f t="shared" si="59"/>
        <v>5712</v>
      </c>
    </row>
    <row r="182" spans="1:17" ht="16.5" x14ac:dyDescent="0.3">
      <c r="A182" s="2"/>
      <c r="B182" s="18"/>
      <c r="C182" s="6">
        <v>6.53</v>
      </c>
      <c r="D182" s="6">
        <v>9.33</v>
      </c>
      <c r="E182" s="6">
        <v>9.56</v>
      </c>
      <c r="F182" s="6">
        <v>9.73</v>
      </c>
      <c r="G182" s="6">
        <v>35.159999999999997</v>
      </c>
      <c r="I182" s="8">
        <f>C184</f>
        <v>36.4</v>
      </c>
      <c r="J182" s="8">
        <f>D184</f>
        <v>36.64</v>
      </c>
      <c r="K182" s="8">
        <f>E184</f>
        <v>34.51</v>
      </c>
      <c r="L182" s="8">
        <f>F184</f>
        <v>33.71</v>
      </c>
    </row>
    <row r="183" spans="1:17" ht="16.5" x14ac:dyDescent="0.3">
      <c r="A183" s="2"/>
      <c r="B183" s="18"/>
      <c r="C183" s="6">
        <v>18.59</v>
      </c>
      <c r="D183" s="6">
        <v>26.53</v>
      </c>
      <c r="E183" s="6">
        <v>27.2</v>
      </c>
      <c r="F183" s="6">
        <v>27.68</v>
      </c>
      <c r="G183" s="6"/>
    </row>
    <row r="184" spans="1:17" ht="16.5" x14ac:dyDescent="0.3">
      <c r="A184" s="2"/>
      <c r="B184" s="18"/>
      <c r="C184" s="6">
        <v>36.4</v>
      </c>
      <c r="D184" s="6">
        <v>36.64</v>
      </c>
      <c r="E184" s="6">
        <v>34.51</v>
      </c>
      <c r="F184" s="6">
        <v>33.71</v>
      </c>
      <c r="G184" s="6"/>
    </row>
    <row r="185" spans="1:17" ht="16.5" x14ac:dyDescent="0.3">
      <c r="A185" s="2"/>
      <c r="B185" s="18">
        <v>3</v>
      </c>
      <c r="C185" s="6">
        <v>1983</v>
      </c>
      <c r="D185" s="6">
        <v>3303</v>
      </c>
      <c r="E185" s="6">
        <v>4447</v>
      </c>
      <c r="F185" s="6">
        <v>5245</v>
      </c>
      <c r="G185" s="6">
        <v>14978</v>
      </c>
      <c r="I185" s="8">
        <f>C185</f>
        <v>1983</v>
      </c>
      <c r="J185" s="8">
        <f t="shared" ref="J185:L185" si="60">D185</f>
        <v>3303</v>
      </c>
      <c r="K185" s="8">
        <f t="shared" si="60"/>
        <v>4447</v>
      </c>
      <c r="L185" s="8">
        <f t="shared" si="60"/>
        <v>5245</v>
      </c>
    </row>
    <row r="186" spans="1:17" ht="16.5" x14ac:dyDescent="0.3">
      <c r="A186" s="2"/>
      <c r="B186" s="18"/>
      <c r="C186" s="6">
        <v>3.38</v>
      </c>
      <c r="D186" s="6">
        <v>5.63</v>
      </c>
      <c r="E186" s="6">
        <v>7.58</v>
      </c>
      <c r="F186" s="6">
        <v>8.94</v>
      </c>
      <c r="G186" s="6">
        <v>25.52</v>
      </c>
      <c r="I186" s="8">
        <f>C188</f>
        <v>18.82</v>
      </c>
      <c r="J186" s="8">
        <f>D188</f>
        <v>22.11</v>
      </c>
      <c r="K186" s="8">
        <f>E188</f>
        <v>27.34</v>
      </c>
      <c r="L186" s="8">
        <f>F188</f>
        <v>30.95</v>
      </c>
    </row>
    <row r="187" spans="1:17" ht="16.5" x14ac:dyDescent="0.3">
      <c r="A187" s="2"/>
      <c r="B187" s="18"/>
      <c r="C187" s="6">
        <v>13.24</v>
      </c>
      <c r="D187" s="6">
        <v>22.05</v>
      </c>
      <c r="E187" s="6">
        <v>29.69</v>
      </c>
      <c r="F187" s="6">
        <v>35.020000000000003</v>
      </c>
      <c r="G187" s="6"/>
    </row>
    <row r="188" spans="1:17" ht="16.5" x14ac:dyDescent="0.3">
      <c r="A188" s="2"/>
      <c r="B188" s="18"/>
      <c r="C188" s="6">
        <v>18.82</v>
      </c>
      <c r="D188" s="6">
        <v>22.11</v>
      </c>
      <c r="E188" s="6">
        <v>27.34</v>
      </c>
      <c r="F188" s="6">
        <v>30.95</v>
      </c>
      <c r="G188" s="6"/>
    </row>
    <row r="189" spans="1:17" ht="15.75" customHeight="1" x14ac:dyDescent="0.3">
      <c r="A189" s="2"/>
      <c r="B189" s="18" t="s">
        <v>22</v>
      </c>
      <c r="C189" s="6">
        <v>10536</v>
      </c>
      <c r="D189" s="6">
        <v>14941</v>
      </c>
      <c r="E189" s="6">
        <v>16263</v>
      </c>
      <c r="F189" s="6">
        <v>16946</v>
      </c>
      <c r="G189" s="6">
        <v>58686</v>
      </c>
    </row>
    <row r="190" spans="1:17" ht="16.5" x14ac:dyDescent="0.3">
      <c r="A190" s="2"/>
      <c r="B190" s="18"/>
      <c r="C190" s="6">
        <v>17.95</v>
      </c>
      <c r="D190" s="6">
        <v>25.46</v>
      </c>
      <c r="E190" s="6">
        <v>27.71</v>
      </c>
      <c r="F190" s="6">
        <v>28.88</v>
      </c>
      <c r="G190" s="6">
        <v>100</v>
      </c>
    </row>
    <row r="191" spans="1:17" ht="16.5" x14ac:dyDescent="0.3">
      <c r="A191" s="2"/>
      <c r="B191" s="26"/>
      <c r="C191" s="26"/>
      <c r="D191" s="26"/>
      <c r="E191" s="26"/>
      <c r="F191" s="26"/>
      <c r="G191" s="26"/>
    </row>
    <row r="192" spans="1:17" ht="17.25" thickBot="1" x14ac:dyDescent="0.35">
      <c r="A192"/>
      <c r="B192"/>
      <c r="C192"/>
      <c r="D192"/>
      <c r="E192"/>
      <c r="F192"/>
      <c r="G192"/>
    </row>
    <row r="193" spans="1:17" ht="16.5" customHeight="1" x14ac:dyDescent="0.3">
      <c r="A193" s="5" t="s">
        <v>2</v>
      </c>
      <c r="B193" s="17" t="s">
        <v>99</v>
      </c>
      <c r="C193" s="19"/>
      <c r="D193" s="19"/>
      <c r="E193" s="19"/>
      <c r="F193" s="19"/>
      <c r="G193" s="19"/>
    </row>
    <row r="194" spans="1:17" ht="16.5" customHeight="1" x14ac:dyDescent="0.3">
      <c r="A194" s="4" t="s">
        <v>3</v>
      </c>
      <c r="B194" s="18" t="s">
        <v>13</v>
      </c>
      <c r="C194" s="20" t="s">
        <v>24</v>
      </c>
      <c r="D194" s="20"/>
      <c r="E194" s="20"/>
      <c r="F194" s="20"/>
      <c r="G194" s="20"/>
    </row>
    <row r="195" spans="1:17" ht="16.5" x14ac:dyDescent="0.3">
      <c r="A195" s="4" t="s">
        <v>19</v>
      </c>
      <c r="B195" s="18"/>
      <c r="C195" s="3">
        <v>1</v>
      </c>
      <c r="D195" s="3">
        <v>2</v>
      </c>
      <c r="E195" s="3">
        <v>3</v>
      </c>
      <c r="F195" s="3">
        <v>4</v>
      </c>
      <c r="G195" s="3" t="s">
        <v>22</v>
      </c>
    </row>
    <row r="196" spans="1:17" ht="33" x14ac:dyDescent="0.3">
      <c r="A196" s="4" t="s">
        <v>20</v>
      </c>
      <c r="B196" s="18">
        <v>0</v>
      </c>
      <c r="C196" s="6">
        <v>8651</v>
      </c>
      <c r="D196" s="6">
        <v>11731</v>
      </c>
      <c r="E196" s="6">
        <v>12108</v>
      </c>
      <c r="F196" s="6">
        <v>11757</v>
      </c>
      <c r="G196" s="6">
        <v>44247</v>
      </c>
      <c r="I196" s="8">
        <f>C196</f>
        <v>8651</v>
      </c>
      <c r="J196" s="8">
        <f t="shared" ref="J196:L196" si="61">D196</f>
        <v>11731</v>
      </c>
      <c r="K196" s="8">
        <f t="shared" si="61"/>
        <v>12108</v>
      </c>
      <c r="L196" s="8">
        <f t="shared" si="61"/>
        <v>11757</v>
      </c>
      <c r="N196" s="8" t="str">
        <f>TEXT(I196,"#,##0")&amp;" ("&amp;TEXT(I197,"0.00")&amp;")"</f>
        <v>8,651 (82.11)</v>
      </c>
      <c r="O196" s="8" t="str">
        <f t="shared" ref="O196:Q196" si="62">TEXT(J196,"#,##0")&amp;" ("&amp;TEXT(J197,"0.00")&amp;")"</f>
        <v>11,731 (78.52)</v>
      </c>
      <c r="P196" s="8" t="str">
        <f t="shared" si="62"/>
        <v>12,108 (74.45)</v>
      </c>
      <c r="Q196" s="8" t="str">
        <f t="shared" si="62"/>
        <v>11,757 (69.38)</v>
      </c>
    </row>
    <row r="197" spans="1:17" ht="16.5" x14ac:dyDescent="0.3">
      <c r="A197" s="2"/>
      <c r="B197" s="18"/>
      <c r="C197" s="6">
        <v>14.74</v>
      </c>
      <c r="D197" s="6">
        <v>19.989999999999998</v>
      </c>
      <c r="E197" s="6">
        <v>20.63</v>
      </c>
      <c r="F197" s="6">
        <v>20.03</v>
      </c>
      <c r="G197" s="6">
        <v>75.400000000000006</v>
      </c>
      <c r="I197" s="8">
        <f>C199</f>
        <v>82.11</v>
      </c>
      <c r="J197" s="8">
        <f>D199</f>
        <v>78.52</v>
      </c>
      <c r="K197" s="8">
        <f>E199</f>
        <v>74.45</v>
      </c>
      <c r="L197" s="8">
        <f>F199</f>
        <v>69.38</v>
      </c>
      <c r="N197" s="8" t="str">
        <f>TEXT(I200,"#,##0")&amp;" ("&amp;TEXT(I201,"0.00")&amp;")"</f>
        <v>1,885 (17.89)</v>
      </c>
      <c r="O197" s="8" t="str">
        <f t="shared" ref="O197:Q197" si="63">TEXT(J200,"#,##0")&amp;" ("&amp;TEXT(J201,"0.00")&amp;")"</f>
        <v>3,210 (21.48)</v>
      </c>
      <c r="P197" s="8" t="str">
        <f t="shared" si="63"/>
        <v>4,155 (25.55)</v>
      </c>
      <c r="Q197" s="8" t="str">
        <f t="shared" si="63"/>
        <v>5,189 (30.62)</v>
      </c>
    </row>
    <row r="198" spans="1:17" ht="16.5" x14ac:dyDescent="0.3">
      <c r="A198" s="2"/>
      <c r="B198" s="18"/>
      <c r="C198" s="6">
        <v>19.55</v>
      </c>
      <c r="D198" s="6">
        <v>26.51</v>
      </c>
      <c r="E198" s="6">
        <v>27.36</v>
      </c>
      <c r="F198" s="6">
        <v>26.57</v>
      </c>
      <c r="G198" s="6"/>
    </row>
    <row r="199" spans="1:17" ht="16.5" x14ac:dyDescent="0.3">
      <c r="A199" s="2"/>
      <c r="B199" s="18"/>
      <c r="C199" s="6">
        <v>82.11</v>
      </c>
      <c r="D199" s="6">
        <v>78.52</v>
      </c>
      <c r="E199" s="6">
        <v>74.45</v>
      </c>
      <c r="F199" s="6">
        <v>69.38</v>
      </c>
      <c r="G199" s="6"/>
    </row>
    <row r="200" spans="1:17" ht="16.5" x14ac:dyDescent="0.3">
      <c r="A200" s="2"/>
      <c r="B200" s="18">
        <v>1</v>
      </c>
      <c r="C200" s="6">
        <v>1885</v>
      </c>
      <c r="D200" s="6">
        <v>3210</v>
      </c>
      <c r="E200" s="6">
        <v>4155</v>
      </c>
      <c r="F200" s="6">
        <v>5189</v>
      </c>
      <c r="G200" s="6">
        <v>14439</v>
      </c>
      <c r="I200" s="8">
        <f>C200</f>
        <v>1885</v>
      </c>
      <c r="J200" s="8">
        <f t="shared" ref="J200:L200" si="64">D200</f>
        <v>3210</v>
      </c>
      <c r="K200" s="8">
        <f t="shared" si="64"/>
        <v>4155</v>
      </c>
      <c r="L200" s="8">
        <f t="shared" si="64"/>
        <v>5189</v>
      </c>
    </row>
    <row r="201" spans="1:17" ht="16.5" x14ac:dyDescent="0.3">
      <c r="A201" s="2"/>
      <c r="B201" s="18"/>
      <c r="C201" s="6">
        <v>3.21</v>
      </c>
      <c r="D201" s="6">
        <v>5.47</v>
      </c>
      <c r="E201" s="6">
        <v>7.08</v>
      </c>
      <c r="F201" s="6">
        <v>8.84</v>
      </c>
      <c r="G201" s="6">
        <v>24.6</v>
      </c>
      <c r="I201" s="8">
        <f>C203</f>
        <v>17.89</v>
      </c>
      <c r="J201" s="8">
        <f>D203</f>
        <v>21.48</v>
      </c>
      <c r="K201" s="8">
        <f>E203</f>
        <v>25.55</v>
      </c>
      <c r="L201" s="8">
        <f>F203</f>
        <v>30.62</v>
      </c>
    </row>
    <row r="202" spans="1:17" ht="16.5" x14ac:dyDescent="0.3">
      <c r="A202" s="2"/>
      <c r="B202" s="18"/>
      <c r="C202" s="6">
        <v>13.05</v>
      </c>
      <c r="D202" s="6">
        <v>22.23</v>
      </c>
      <c r="E202" s="6">
        <v>28.78</v>
      </c>
      <c r="F202" s="6">
        <v>35.94</v>
      </c>
      <c r="G202" s="6"/>
    </row>
    <row r="203" spans="1:17" ht="16.5" x14ac:dyDescent="0.3">
      <c r="A203" s="2"/>
      <c r="B203" s="18"/>
      <c r="C203" s="6">
        <v>17.89</v>
      </c>
      <c r="D203" s="6">
        <v>21.48</v>
      </c>
      <c r="E203" s="6">
        <v>25.55</v>
      </c>
      <c r="F203" s="6">
        <v>30.62</v>
      </c>
      <c r="G203" s="6"/>
    </row>
    <row r="204" spans="1:17" ht="15.75" customHeight="1" x14ac:dyDescent="0.3">
      <c r="A204" s="2"/>
      <c r="B204" s="18" t="s">
        <v>22</v>
      </c>
      <c r="C204" s="6">
        <v>10536</v>
      </c>
      <c r="D204" s="6">
        <v>14941</v>
      </c>
      <c r="E204" s="6">
        <v>16263</v>
      </c>
      <c r="F204" s="6">
        <v>16946</v>
      </c>
      <c r="G204" s="6">
        <v>58686</v>
      </c>
    </row>
    <row r="205" spans="1:17" ht="16.5" x14ac:dyDescent="0.3">
      <c r="A205" s="2"/>
      <c r="B205" s="18"/>
      <c r="C205" s="6">
        <v>17.95</v>
      </c>
      <c r="D205" s="6">
        <v>25.46</v>
      </c>
      <c r="E205" s="6">
        <v>27.71</v>
      </c>
      <c r="F205" s="6">
        <v>28.88</v>
      </c>
      <c r="G205" s="6">
        <v>100</v>
      </c>
    </row>
    <row r="206" spans="1:17" ht="16.5" x14ac:dyDescent="0.3">
      <c r="A206" s="2"/>
      <c r="B206" s="26"/>
      <c r="C206" s="26"/>
      <c r="D206" s="26"/>
      <c r="E206" s="26"/>
      <c r="F206" s="26"/>
      <c r="G206" s="26"/>
    </row>
    <row r="207" spans="1:17" ht="17.25" thickBot="1" x14ac:dyDescent="0.35">
      <c r="A207"/>
      <c r="B207"/>
      <c r="C207"/>
      <c r="D207"/>
      <c r="E207"/>
      <c r="F207"/>
      <c r="G207"/>
    </row>
    <row r="208" spans="1:17" ht="16.5" customHeight="1" x14ac:dyDescent="0.3">
      <c r="A208" s="5" t="s">
        <v>2</v>
      </c>
      <c r="B208" s="17" t="s">
        <v>100</v>
      </c>
      <c r="C208" s="19"/>
      <c r="D208" s="19"/>
      <c r="E208" s="19"/>
      <c r="F208" s="19"/>
      <c r="G208" s="19"/>
    </row>
    <row r="209" spans="1:17" ht="16.5" customHeight="1" x14ac:dyDescent="0.3">
      <c r="A209" s="4" t="s">
        <v>3</v>
      </c>
      <c r="B209" s="18" t="s">
        <v>27</v>
      </c>
      <c r="C209" s="20" t="s">
        <v>24</v>
      </c>
      <c r="D209" s="20"/>
      <c r="E209" s="20"/>
      <c r="F209" s="20"/>
      <c r="G209" s="20"/>
    </row>
    <row r="210" spans="1:17" ht="16.5" x14ac:dyDescent="0.3">
      <c r="A210" s="4" t="s">
        <v>19</v>
      </c>
      <c r="B210" s="18"/>
      <c r="C210" s="3">
        <v>1</v>
      </c>
      <c r="D210" s="3">
        <v>2</v>
      </c>
      <c r="E210" s="3">
        <v>3</v>
      </c>
      <c r="F210" s="3">
        <v>4</v>
      </c>
      <c r="G210" s="3" t="s">
        <v>22</v>
      </c>
    </row>
    <row r="211" spans="1:17" ht="33" x14ac:dyDescent="0.3">
      <c r="A211" s="4" t="s">
        <v>20</v>
      </c>
      <c r="B211" s="18">
        <v>0</v>
      </c>
      <c r="C211" s="6">
        <v>9945</v>
      </c>
      <c r="D211" s="6">
        <v>13000</v>
      </c>
      <c r="E211" s="6">
        <v>12684</v>
      </c>
      <c r="F211" s="6">
        <v>11722</v>
      </c>
      <c r="G211" s="6">
        <v>47351</v>
      </c>
      <c r="I211" s="8">
        <f>C211</f>
        <v>9945</v>
      </c>
      <c r="J211" s="8">
        <f t="shared" ref="J211:L211" si="65">D211</f>
        <v>13000</v>
      </c>
      <c r="K211" s="8">
        <f t="shared" si="65"/>
        <v>12684</v>
      </c>
      <c r="L211" s="8">
        <f t="shared" si="65"/>
        <v>11722</v>
      </c>
      <c r="N211" s="8" t="str">
        <f>TEXT(I211,"#,##0")&amp;" ("&amp;TEXT(I212,"0.00")&amp;")"</f>
        <v>9,945 (94.39)</v>
      </c>
      <c r="O211" s="8" t="str">
        <f t="shared" ref="O211:Q211" si="66">TEXT(J211,"#,##0")&amp;" ("&amp;TEXT(J212,"0.00")&amp;")"</f>
        <v>13,000 (87.01)</v>
      </c>
      <c r="P211" s="8" t="str">
        <f t="shared" si="66"/>
        <v>12,684 (77.99)</v>
      </c>
      <c r="Q211" s="8" t="str">
        <f t="shared" si="66"/>
        <v>11,722 (69.17)</v>
      </c>
    </row>
    <row r="212" spans="1:17" ht="16.5" x14ac:dyDescent="0.3">
      <c r="A212" s="2"/>
      <c r="B212" s="18"/>
      <c r="C212" s="6">
        <v>16.95</v>
      </c>
      <c r="D212" s="6">
        <v>22.15</v>
      </c>
      <c r="E212" s="6">
        <v>21.61</v>
      </c>
      <c r="F212" s="6">
        <v>19.97</v>
      </c>
      <c r="G212" s="6">
        <v>80.69</v>
      </c>
      <c r="I212" s="8">
        <f>C214</f>
        <v>94.39</v>
      </c>
      <c r="J212" s="8">
        <f>D214</f>
        <v>87.01</v>
      </c>
      <c r="K212" s="8">
        <f>E214</f>
        <v>77.989999999999995</v>
      </c>
      <c r="L212" s="8">
        <f>F214</f>
        <v>69.17</v>
      </c>
      <c r="N212" s="8" t="str">
        <f>TEXT(I215,"#,##0")&amp;" ("&amp;TEXT(I216,"0.00")&amp;")"</f>
        <v>591 (5.61)</v>
      </c>
      <c r="O212" s="8" t="str">
        <f t="shared" ref="O212:Q212" si="67">TEXT(J215,"#,##0")&amp;" ("&amp;TEXT(J216,"0.00")&amp;")"</f>
        <v>1,941 (12.99)</v>
      </c>
      <c r="P212" s="8" t="str">
        <f t="shared" si="67"/>
        <v>3,579 (22.01)</v>
      </c>
      <c r="Q212" s="8" t="str">
        <f t="shared" si="67"/>
        <v>5,224 (30.83)</v>
      </c>
    </row>
    <row r="213" spans="1:17" ht="16.5" x14ac:dyDescent="0.3">
      <c r="A213" s="2"/>
      <c r="B213" s="18"/>
      <c r="C213" s="6">
        <v>21</v>
      </c>
      <c r="D213" s="6">
        <v>27.45</v>
      </c>
      <c r="E213" s="6">
        <v>26.79</v>
      </c>
      <c r="F213" s="6">
        <v>24.76</v>
      </c>
      <c r="G213" s="6"/>
    </row>
    <row r="214" spans="1:17" ht="16.5" x14ac:dyDescent="0.3">
      <c r="A214" s="2"/>
      <c r="B214" s="18"/>
      <c r="C214" s="6">
        <v>94.39</v>
      </c>
      <c r="D214" s="6">
        <v>87.01</v>
      </c>
      <c r="E214" s="6">
        <v>77.989999999999995</v>
      </c>
      <c r="F214" s="6">
        <v>69.17</v>
      </c>
      <c r="G214" s="6"/>
    </row>
    <row r="215" spans="1:17" ht="16.5" x14ac:dyDescent="0.3">
      <c r="A215" s="2"/>
      <c r="B215" s="18">
        <v>1</v>
      </c>
      <c r="C215" s="6">
        <v>591</v>
      </c>
      <c r="D215" s="6">
        <v>1941</v>
      </c>
      <c r="E215" s="6">
        <v>3579</v>
      </c>
      <c r="F215" s="6">
        <v>5224</v>
      </c>
      <c r="G215" s="6">
        <v>11335</v>
      </c>
      <c r="I215" s="8">
        <f>C215</f>
        <v>591</v>
      </c>
      <c r="J215" s="8">
        <f t="shared" ref="J215:L215" si="68">D215</f>
        <v>1941</v>
      </c>
      <c r="K215" s="8">
        <f t="shared" si="68"/>
        <v>3579</v>
      </c>
      <c r="L215" s="8">
        <f t="shared" si="68"/>
        <v>5224</v>
      </c>
    </row>
    <row r="216" spans="1:17" ht="16.5" x14ac:dyDescent="0.3">
      <c r="A216" s="2"/>
      <c r="B216" s="18"/>
      <c r="C216" s="6">
        <v>1.01</v>
      </c>
      <c r="D216" s="6">
        <v>3.31</v>
      </c>
      <c r="E216" s="6">
        <v>6.1</v>
      </c>
      <c r="F216" s="6">
        <v>8.9</v>
      </c>
      <c r="G216" s="6">
        <v>19.309999999999999</v>
      </c>
      <c r="I216" s="8">
        <f>C218</f>
        <v>5.61</v>
      </c>
      <c r="J216" s="8">
        <f>D218</f>
        <v>12.99</v>
      </c>
      <c r="K216" s="8">
        <f>E218</f>
        <v>22.01</v>
      </c>
      <c r="L216" s="8">
        <f>F218</f>
        <v>30.83</v>
      </c>
    </row>
    <row r="217" spans="1:17" ht="16.5" x14ac:dyDescent="0.3">
      <c r="A217" s="2"/>
      <c r="B217" s="18"/>
      <c r="C217" s="6">
        <v>5.21</v>
      </c>
      <c r="D217" s="6">
        <v>17.12</v>
      </c>
      <c r="E217" s="6">
        <v>31.57</v>
      </c>
      <c r="F217" s="6">
        <v>46.09</v>
      </c>
      <c r="G217" s="6"/>
    </row>
    <row r="218" spans="1:17" ht="16.5" x14ac:dyDescent="0.3">
      <c r="A218" s="2"/>
      <c r="B218" s="18"/>
      <c r="C218" s="6">
        <v>5.61</v>
      </c>
      <c r="D218" s="6">
        <v>12.99</v>
      </c>
      <c r="E218" s="6">
        <v>22.01</v>
      </c>
      <c r="F218" s="6">
        <v>30.83</v>
      </c>
      <c r="G218" s="6"/>
    </row>
    <row r="219" spans="1:17" ht="15.75" customHeight="1" x14ac:dyDescent="0.3">
      <c r="A219" s="2"/>
      <c r="B219" s="18" t="s">
        <v>22</v>
      </c>
      <c r="C219" s="6">
        <v>10536</v>
      </c>
      <c r="D219" s="6">
        <v>14941</v>
      </c>
      <c r="E219" s="6">
        <v>16263</v>
      </c>
      <c r="F219" s="6">
        <v>16946</v>
      </c>
      <c r="G219" s="6">
        <v>58686</v>
      </c>
    </row>
    <row r="220" spans="1:17" ht="16.5" x14ac:dyDescent="0.3">
      <c r="A220" s="2"/>
      <c r="B220" s="18"/>
      <c r="C220" s="6">
        <v>17.95</v>
      </c>
      <c r="D220" s="6">
        <v>25.46</v>
      </c>
      <c r="E220" s="6">
        <v>27.71</v>
      </c>
      <c r="F220" s="6">
        <v>28.88</v>
      </c>
      <c r="G220" s="6">
        <v>100</v>
      </c>
    </row>
    <row r="221" spans="1:17" ht="16.5" x14ac:dyDescent="0.3">
      <c r="A221" s="2"/>
      <c r="B221" s="26"/>
      <c r="C221" s="26"/>
      <c r="D221" s="26"/>
      <c r="E221" s="26"/>
      <c r="F221" s="26"/>
      <c r="G221" s="26"/>
    </row>
    <row r="222" spans="1:17" ht="17.25" thickBot="1" x14ac:dyDescent="0.35">
      <c r="A222"/>
      <c r="B222"/>
      <c r="C222"/>
      <c r="D222"/>
      <c r="E222"/>
      <c r="F222"/>
      <c r="G222"/>
    </row>
    <row r="223" spans="1:17" ht="16.5" customHeight="1" x14ac:dyDescent="0.3">
      <c r="A223" s="5" t="s">
        <v>2</v>
      </c>
      <c r="B223" s="17" t="s">
        <v>101</v>
      </c>
      <c r="C223" s="19"/>
      <c r="D223" s="19"/>
      <c r="E223" s="19"/>
      <c r="F223" s="19"/>
      <c r="G223" s="19"/>
    </row>
    <row r="224" spans="1:17" ht="16.5" customHeight="1" x14ac:dyDescent="0.3">
      <c r="A224" s="4" t="s">
        <v>3</v>
      </c>
      <c r="B224" s="18" t="s">
        <v>28</v>
      </c>
      <c r="C224" s="20" t="s">
        <v>24</v>
      </c>
      <c r="D224" s="20"/>
      <c r="E224" s="20"/>
      <c r="F224" s="20"/>
      <c r="G224" s="20"/>
    </row>
    <row r="225" spans="1:17" ht="16.5" x14ac:dyDescent="0.3">
      <c r="A225" s="4" t="s">
        <v>19</v>
      </c>
      <c r="B225" s="18"/>
      <c r="C225" s="3">
        <v>1</v>
      </c>
      <c r="D225" s="3">
        <v>2</v>
      </c>
      <c r="E225" s="3">
        <v>3</v>
      </c>
      <c r="F225" s="3">
        <v>4</v>
      </c>
      <c r="G225" s="3" t="s">
        <v>22</v>
      </c>
    </row>
    <row r="226" spans="1:17" ht="33" x14ac:dyDescent="0.3">
      <c r="A226" s="4" t="s">
        <v>20</v>
      </c>
      <c r="B226" s="18">
        <v>0</v>
      </c>
      <c r="C226" s="6">
        <v>10281</v>
      </c>
      <c r="D226" s="6">
        <v>14149</v>
      </c>
      <c r="E226" s="6">
        <v>14758</v>
      </c>
      <c r="F226" s="6">
        <v>14431</v>
      </c>
      <c r="G226" s="6">
        <v>53619</v>
      </c>
      <c r="I226" s="8">
        <f>C226</f>
        <v>10281</v>
      </c>
      <c r="J226" s="8">
        <f t="shared" ref="J226:L226" si="69">D226</f>
        <v>14149</v>
      </c>
      <c r="K226" s="8">
        <f t="shared" si="69"/>
        <v>14758</v>
      </c>
      <c r="L226" s="8">
        <f t="shared" si="69"/>
        <v>14431</v>
      </c>
      <c r="N226" s="8" t="str">
        <f>TEXT(I226,"#,##0")&amp;" ("&amp;TEXT(I227,"0.00")&amp;")"</f>
        <v>10,281 (97.58)</v>
      </c>
      <c r="O226" s="8" t="str">
        <f t="shared" ref="O226:Q226" si="70">TEXT(J226,"#,##0")&amp;" ("&amp;TEXT(J227,"0.00")&amp;")"</f>
        <v>14,149 (94.70)</v>
      </c>
      <c r="P226" s="8" t="str">
        <f t="shared" si="70"/>
        <v>14,758 (90.75)</v>
      </c>
      <c r="Q226" s="8" t="str">
        <f t="shared" si="70"/>
        <v>14,431 (85.16)</v>
      </c>
    </row>
    <row r="227" spans="1:17" ht="16.5" x14ac:dyDescent="0.3">
      <c r="A227" s="2"/>
      <c r="B227" s="18"/>
      <c r="C227" s="6">
        <v>17.52</v>
      </c>
      <c r="D227" s="6">
        <v>24.11</v>
      </c>
      <c r="E227" s="6">
        <v>25.15</v>
      </c>
      <c r="F227" s="6">
        <v>24.59</v>
      </c>
      <c r="G227" s="6">
        <v>91.37</v>
      </c>
      <c r="I227" s="8">
        <f>C229</f>
        <v>97.58</v>
      </c>
      <c r="J227" s="8">
        <f>D229</f>
        <v>94.7</v>
      </c>
      <c r="K227" s="8">
        <f>E229</f>
        <v>90.75</v>
      </c>
      <c r="L227" s="8">
        <f>F229</f>
        <v>85.16</v>
      </c>
      <c r="N227" s="8" t="str">
        <f>TEXT(I230,"#,##0")&amp;" ("&amp;TEXT(I231,"0.00")&amp;")"</f>
        <v>255 (2.42)</v>
      </c>
      <c r="O227" s="8" t="str">
        <f t="shared" ref="O227:Q227" si="71">TEXT(J230,"#,##0")&amp;" ("&amp;TEXT(J231,"0.00")&amp;")"</f>
        <v>792 (5.30)</v>
      </c>
      <c r="P227" s="8" t="str">
        <f t="shared" si="71"/>
        <v>1,505 (9.25)</v>
      </c>
      <c r="Q227" s="8" t="str">
        <f t="shared" si="71"/>
        <v>2,515 (14.84)</v>
      </c>
    </row>
    <row r="228" spans="1:17" ht="16.5" x14ac:dyDescent="0.3">
      <c r="A228" s="2"/>
      <c r="B228" s="18"/>
      <c r="C228" s="6">
        <v>19.170000000000002</v>
      </c>
      <c r="D228" s="6">
        <v>26.39</v>
      </c>
      <c r="E228" s="6">
        <v>27.52</v>
      </c>
      <c r="F228" s="6">
        <v>26.91</v>
      </c>
      <c r="G228" s="6"/>
    </row>
    <row r="229" spans="1:17" ht="16.5" x14ac:dyDescent="0.3">
      <c r="A229" s="2"/>
      <c r="B229" s="18"/>
      <c r="C229" s="6">
        <v>97.58</v>
      </c>
      <c r="D229" s="6">
        <v>94.7</v>
      </c>
      <c r="E229" s="6">
        <v>90.75</v>
      </c>
      <c r="F229" s="6">
        <v>85.16</v>
      </c>
      <c r="G229" s="6"/>
    </row>
    <row r="230" spans="1:17" ht="16.5" x14ac:dyDescent="0.3">
      <c r="A230" s="2"/>
      <c r="B230" s="18">
        <v>1</v>
      </c>
      <c r="C230" s="6">
        <v>255</v>
      </c>
      <c r="D230" s="6">
        <v>792</v>
      </c>
      <c r="E230" s="6">
        <v>1505</v>
      </c>
      <c r="F230" s="6">
        <v>2515</v>
      </c>
      <c r="G230" s="6">
        <v>5067</v>
      </c>
      <c r="I230" s="8">
        <f>C230</f>
        <v>255</v>
      </c>
      <c r="J230" s="8">
        <f t="shared" ref="J230:L230" si="72">D230</f>
        <v>792</v>
      </c>
      <c r="K230" s="8">
        <f t="shared" si="72"/>
        <v>1505</v>
      </c>
      <c r="L230" s="8">
        <f t="shared" si="72"/>
        <v>2515</v>
      </c>
    </row>
    <row r="231" spans="1:17" ht="16.5" x14ac:dyDescent="0.3">
      <c r="A231" s="2"/>
      <c r="B231" s="18"/>
      <c r="C231" s="6">
        <v>0.43</v>
      </c>
      <c r="D231" s="6">
        <v>1.35</v>
      </c>
      <c r="E231" s="6">
        <v>2.56</v>
      </c>
      <c r="F231" s="6">
        <v>4.29</v>
      </c>
      <c r="G231" s="6">
        <v>8.6300000000000008</v>
      </c>
      <c r="I231" s="8">
        <f>C233</f>
        <v>2.42</v>
      </c>
      <c r="J231" s="8">
        <f>D233</f>
        <v>5.3</v>
      </c>
      <c r="K231" s="8">
        <f>E233</f>
        <v>9.25</v>
      </c>
      <c r="L231" s="8">
        <f>F233</f>
        <v>14.84</v>
      </c>
    </row>
    <row r="232" spans="1:17" ht="16.5" x14ac:dyDescent="0.3">
      <c r="A232" s="2"/>
      <c r="B232" s="18"/>
      <c r="C232" s="6">
        <v>5.03</v>
      </c>
      <c r="D232" s="6">
        <v>15.63</v>
      </c>
      <c r="E232" s="6">
        <v>29.7</v>
      </c>
      <c r="F232" s="6">
        <v>49.63</v>
      </c>
      <c r="G232" s="6"/>
    </row>
    <row r="233" spans="1:17" ht="16.5" x14ac:dyDescent="0.3">
      <c r="A233" s="2"/>
      <c r="B233" s="18"/>
      <c r="C233" s="6">
        <v>2.42</v>
      </c>
      <c r="D233" s="6">
        <v>5.3</v>
      </c>
      <c r="E233" s="6">
        <v>9.25</v>
      </c>
      <c r="F233" s="6">
        <v>14.84</v>
      </c>
      <c r="G233" s="6"/>
    </row>
    <row r="234" spans="1:17" ht="15.75" customHeight="1" x14ac:dyDescent="0.3">
      <c r="A234" s="2"/>
      <c r="B234" s="18" t="s">
        <v>22</v>
      </c>
      <c r="C234" s="6">
        <v>10536</v>
      </c>
      <c r="D234" s="6">
        <v>14941</v>
      </c>
      <c r="E234" s="6">
        <v>16263</v>
      </c>
      <c r="F234" s="6">
        <v>16946</v>
      </c>
      <c r="G234" s="6">
        <v>58686</v>
      </c>
    </row>
    <row r="235" spans="1:17" ht="16.5" x14ac:dyDescent="0.3">
      <c r="A235" s="2"/>
      <c r="B235" s="18"/>
      <c r="C235" s="6">
        <v>17.95</v>
      </c>
      <c r="D235" s="6">
        <v>25.46</v>
      </c>
      <c r="E235" s="6">
        <v>27.71</v>
      </c>
      <c r="F235" s="6">
        <v>28.88</v>
      </c>
      <c r="G235" s="6">
        <v>100</v>
      </c>
    </row>
    <row r="236" spans="1:17" ht="16.5" x14ac:dyDescent="0.3">
      <c r="A236" s="2"/>
      <c r="B236" s="26"/>
      <c r="C236" s="26"/>
      <c r="D236" s="26"/>
      <c r="E236" s="26"/>
      <c r="F236" s="26"/>
      <c r="G236" s="26"/>
    </row>
    <row r="237" spans="1:17" ht="17.25" thickBot="1" x14ac:dyDescent="0.35">
      <c r="A237"/>
      <c r="B237"/>
      <c r="C237"/>
      <c r="D237"/>
      <c r="E237"/>
      <c r="F237"/>
      <c r="G237"/>
    </row>
    <row r="238" spans="1:17" ht="16.5" customHeight="1" x14ac:dyDescent="0.3">
      <c r="A238" s="5" t="s">
        <v>2</v>
      </c>
      <c r="B238" s="17" t="s">
        <v>102</v>
      </c>
      <c r="C238" s="19"/>
      <c r="D238" s="19"/>
      <c r="E238" s="19"/>
      <c r="F238" s="19"/>
      <c r="G238" s="19"/>
    </row>
    <row r="239" spans="1:17" ht="16.5" customHeight="1" x14ac:dyDescent="0.3">
      <c r="A239" s="4" t="s">
        <v>3</v>
      </c>
      <c r="B239" s="18" t="s">
        <v>14</v>
      </c>
      <c r="C239" s="20" t="s">
        <v>24</v>
      </c>
      <c r="D239" s="20"/>
      <c r="E239" s="20"/>
      <c r="F239" s="20"/>
      <c r="G239" s="20"/>
    </row>
    <row r="240" spans="1:17" ht="16.5" x14ac:dyDescent="0.3">
      <c r="A240" s="4" t="s">
        <v>19</v>
      </c>
      <c r="B240" s="18"/>
      <c r="C240" s="3">
        <v>1</v>
      </c>
      <c r="D240" s="3">
        <v>2</v>
      </c>
      <c r="E240" s="3">
        <v>3</v>
      </c>
      <c r="F240" s="3">
        <v>4</v>
      </c>
      <c r="G240" s="3" t="s">
        <v>22</v>
      </c>
    </row>
    <row r="241" spans="1:17" ht="33" x14ac:dyDescent="0.3">
      <c r="A241" s="4" t="s">
        <v>20</v>
      </c>
      <c r="B241" s="18">
        <v>0</v>
      </c>
      <c r="C241" s="6">
        <v>9819</v>
      </c>
      <c r="D241" s="6">
        <v>12737</v>
      </c>
      <c r="E241" s="6">
        <v>12340</v>
      </c>
      <c r="F241" s="6">
        <v>11250</v>
      </c>
      <c r="G241" s="6">
        <v>46146</v>
      </c>
      <c r="I241" s="8">
        <f>C241</f>
        <v>9819</v>
      </c>
      <c r="J241" s="8">
        <f t="shared" ref="J241:L241" si="73">D241</f>
        <v>12737</v>
      </c>
      <c r="K241" s="8">
        <f t="shared" si="73"/>
        <v>12340</v>
      </c>
      <c r="L241" s="8">
        <f t="shared" si="73"/>
        <v>11250</v>
      </c>
      <c r="N241" s="8" t="str">
        <f>TEXT(I241,"#,##0")&amp;" ("&amp;TEXT(I242,"0.00")&amp;")"</f>
        <v>9,819 (93.19)</v>
      </c>
      <c r="O241" s="8" t="str">
        <f t="shared" ref="O241:Q241" si="74">TEXT(J241,"#,##0")&amp;" ("&amp;TEXT(J242,"0.00")&amp;")"</f>
        <v>12,737 (85.25)</v>
      </c>
      <c r="P241" s="8" t="str">
        <f t="shared" si="74"/>
        <v>12,340 (75.88)</v>
      </c>
      <c r="Q241" s="8" t="str">
        <f t="shared" si="74"/>
        <v>11,250 (66.39)</v>
      </c>
    </row>
    <row r="242" spans="1:17" ht="16.5" x14ac:dyDescent="0.3">
      <c r="A242" s="2"/>
      <c r="B242" s="18"/>
      <c r="C242" s="6">
        <v>16.73</v>
      </c>
      <c r="D242" s="6">
        <v>21.7</v>
      </c>
      <c r="E242" s="6">
        <v>21.03</v>
      </c>
      <c r="F242" s="6">
        <v>19.170000000000002</v>
      </c>
      <c r="G242" s="6">
        <v>78.63</v>
      </c>
      <c r="I242" s="8">
        <f>C244</f>
        <v>93.19</v>
      </c>
      <c r="J242" s="8">
        <f>D244</f>
        <v>85.25</v>
      </c>
      <c r="K242" s="8">
        <f>E244</f>
        <v>75.88</v>
      </c>
      <c r="L242" s="8">
        <f>F244</f>
        <v>66.39</v>
      </c>
      <c r="N242" s="8" t="str">
        <f>TEXT(I245,"#,##0")&amp;" ("&amp;TEXT(I246,"0.00")&amp;")"</f>
        <v>717 (6.81)</v>
      </c>
      <c r="O242" s="8" t="str">
        <f t="shared" ref="O242:Q242" si="75">TEXT(J245,"#,##0")&amp;" ("&amp;TEXT(J246,"0.00")&amp;")"</f>
        <v>2,204 (14.75)</v>
      </c>
      <c r="P242" s="8" t="str">
        <f t="shared" si="75"/>
        <v>3,923 (24.12)</v>
      </c>
      <c r="Q242" s="8" t="str">
        <f t="shared" si="75"/>
        <v>5,696 (33.61)</v>
      </c>
    </row>
    <row r="243" spans="1:17" ht="16.5" x14ac:dyDescent="0.3">
      <c r="A243" s="2"/>
      <c r="B243" s="18"/>
      <c r="C243" s="6">
        <v>21.28</v>
      </c>
      <c r="D243" s="6">
        <v>27.6</v>
      </c>
      <c r="E243" s="6">
        <v>26.74</v>
      </c>
      <c r="F243" s="6">
        <v>24.38</v>
      </c>
      <c r="G243" s="6"/>
    </row>
    <row r="244" spans="1:17" ht="16.5" x14ac:dyDescent="0.3">
      <c r="A244" s="2"/>
      <c r="B244" s="18"/>
      <c r="C244" s="6">
        <v>93.19</v>
      </c>
      <c r="D244" s="6">
        <v>85.25</v>
      </c>
      <c r="E244" s="6">
        <v>75.88</v>
      </c>
      <c r="F244" s="6">
        <v>66.39</v>
      </c>
      <c r="G244" s="6"/>
    </row>
    <row r="245" spans="1:17" ht="16.5" x14ac:dyDescent="0.3">
      <c r="A245" s="2"/>
      <c r="B245" s="18">
        <v>1</v>
      </c>
      <c r="C245" s="6">
        <v>717</v>
      </c>
      <c r="D245" s="6">
        <v>2204</v>
      </c>
      <c r="E245" s="6">
        <v>3923</v>
      </c>
      <c r="F245" s="6">
        <v>5696</v>
      </c>
      <c r="G245" s="6">
        <v>12540</v>
      </c>
      <c r="I245" s="8">
        <f>C245</f>
        <v>717</v>
      </c>
      <c r="J245" s="8">
        <f t="shared" ref="J245:L245" si="76">D245</f>
        <v>2204</v>
      </c>
      <c r="K245" s="8">
        <f t="shared" si="76"/>
        <v>3923</v>
      </c>
      <c r="L245" s="8">
        <f t="shared" si="76"/>
        <v>5696</v>
      </c>
    </row>
    <row r="246" spans="1:17" ht="16.5" x14ac:dyDescent="0.3">
      <c r="A246" s="2"/>
      <c r="B246" s="18"/>
      <c r="C246" s="6">
        <v>1.22</v>
      </c>
      <c r="D246" s="6">
        <v>3.76</v>
      </c>
      <c r="E246" s="6">
        <v>6.68</v>
      </c>
      <c r="F246" s="6">
        <v>9.7100000000000009</v>
      </c>
      <c r="G246" s="6">
        <v>21.37</v>
      </c>
      <c r="I246" s="8">
        <f>C248</f>
        <v>6.81</v>
      </c>
      <c r="J246" s="8">
        <f>D248</f>
        <v>14.75</v>
      </c>
      <c r="K246" s="8">
        <f>E248</f>
        <v>24.12</v>
      </c>
      <c r="L246" s="8">
        <f>F248</f>
        <v>33.61</v>
      </c>
    </row>
    <row r="247" spans="1:17" ht="16.5" x14ac:dyDescent="0.3">
      <c r="A247" s="2"/>
      <c r="B247" s="18"/>
      <c r="C247" s="6">
        <v>5.72</v>
      </c>
      <c r="D247" s="6">
        <v>17.579999999999998</v>
      </c>
      <c r="E247" s="6">
        <v>31.28</v>
      </c>
      <c r="F247" s="6">
        <v>45.42</v>
      </c>
      <c r="G247" s="6"/>
    </row>
    <row r="248" spans="1:17" ht="16.5" x14ac:dyDescent="0.3">
      <c r="A248" s="2"/>
      <c r="B248" s="18"/>
      <c r="C248" s="6">
        <v>6.81</v>
      </c>
      <c r="D248" s="6">
        <v>14.75</v>
      </c>
      <c r="E248" s="6">
        <v>24.12</v>
      </c>
      <c r="F248" s="6">
        <v>33.61</v>
      </c>
      <c r="G248" s="6"/>
    </row>
    <row r="249" spans="1:17" ht="15.75" customHeight="1" x14ac:dyDescent="0.3">
      <c r="A249" s="2"/>
      <c r="B249" s="18" t="s">
        <v>22</v>
      </c>
      <c r="C249" s="6">
        <v>10536</v>
      </c>
      <c r="D249" s="6">
        <v>14941</v>
      </c>
      <c r="E249" s="6">
        <v>16263</v>
      </c>
      <c r="F249" s="6">
        <v>16946</v>
      </c>
      <c r="G249" s="6">
        <v>58686</v>
      </c>
    </row>
    <row r="250" spans="1:17" ht="16.5" x14ac:dyDescent="0.3">
      <c r="A250" s="2"/>
      <c r="B250" s="18"/>
      <c r="C250" s="6">
        <v>17.95</v>
      </c>
      <c r="D250" s="6">
        <v>25.46</v>
      </c>
      <c r="E250" s="6">
        <v>27.71</v>
      </c>
      <c r="F250" s="6">
        <v>28.88</v>
      </c>
      <c r="G250" s="6">
        <v>100</v>
      </c>
    </row>
    <row r="251" spans="1:17" ht="16.5" x14ac:dyDescent="0.3">
      <c r="A251" s="2"/>
      <c r="B251" s="26"/>
      <c r="C251" s="26"/>
      <c r="D251" s="26"/>
      <c r="E251" s="26"/>
      <c r="F251" s="26"/>
      <c r="G251" s="26"/>
    </row>
    <row r="252" spans="1:17" ht="17.25" thickBot="1" x14ac:dyDescent="0.35">
      <c r="A252"/>
      <c r="B252"/>
      <c r="C252"/>
      <c r="D252"/>
      <c r="E252"/>
      <c r="F252"/>
      <c r="G252"/>
    </row>
    <row r="253" spans="1:17" ht="16.5" customHeight="1" x14ac:dyDescent="0.3">
      <c r="A253" s="5" t="s">
        <v>2</v>
      </c>
      <c r="B253" s="17" t="s">
        <v>103</v>
      </c>
      <c r="C253" s="19"/>
      <c r="D253" s="19"/>
      <c r="E253" s="19"/>
      <c r="F253" s="19"/>
      <c r="G253" s="19"/>
    </row>
    <row r="254" spans="1:17" ht="16.5" customHeight="1" x14ac:dyDescent="0.3">
      <c r="A254" s="4" t="s">
        <v>3</v>
      </c>
      <c r="B254" s="18" t="s">
        <v>15</v>
      </c>
      <c r="C254" s="20" t="s">
        <v>24</v>
      </c>
      <c r="D254" s="20"/>
      <c r="E254" s="20"/>
      <c r="F254" s="20"/>
      <c r="G254" s="20"/>
    </row>
    <row r="255" spans="1:17" ht="16.5" x14ac:dyDescent="0.3">
      <c r="A255" s="4" t="s">
        <v>19</v>
      </c>
      <c r="B255" s="18"/>
      <c r="C255" s="3">
        <v>1</v>
      </c>
      <c r="D255" s="3">
        <v>2</v>
      </c>
      <c r="E255" s="3">
        <v>3</v>
      </c>
      <c r="F255" s="3">
        <v>4</v>
      </c>
      <c r="G255" s="3" t="s">
        <v>22</v>
      </c>
    </row>
    <row r="256" spans="1:17" ht="33" x14ac:dyDescent="0.3">
      <c r="A256" s="4" t="s">
        <v>20</v>
      </c>
      <c r="B256" s="18">
        <v>0</v>
      </c>
      <c r="C256" s="6">
        <v>9924</v>
      </c>
      <c r="D256" s="6">
        <v>13067</v>
      </c>
      <c r="E256" s="6">
        <v>13297</v>
      </c>
      <c r="F256" s="6">
        <v>12970</v>
      </c>
      <c r="G256" s="6">
        <v>49258</v>
      </c>
      <c r="I256" s="8">
        <f>C256</f>
        <v>9924</v>
      </c>
      <c r="J256" s="8">
        <f t="shared" ref="J256:L256" si="77">D256</f>
        <v>13067</v>
      </c>
      <c r="K256" s="8">
        <f t="shared" si="77"/>
        <v>13297</v>
      </c>
      <c r="L256" s="8">
        <f t="shared" si="77"/>
        <v>12970</v>
      </c>
      <c r="N256" s="8" t="str">
        <f>TEXT(I256,"#,##0")&amp;" ("&amp;TEXT(I257,"0.00")&amp;")"</f>
        <v>9,924 (94.19)</v>
      </c>
      <c r="O256" s="8" t="str">
        <f t="shared" ref="O256:Q256" si="78">TEXT(J256,"#,##0")&amp;" ("&amp;TEXT(J257,"0.00")&amp;")"</f>
        <v>13,067 (87.46)</v>
      </c>
      <c r="P256" s="8" t="str">
        <f t="shared" si="78"/>
        <v>13,297 (81.76)</v>
      </c>
      <c r="Q256" s="8" t="str">
        <f t="shared" si="78"/>
        <v>12,970 (76.54)</v>
      </c>
    </row>
    <row r="257" spans="1:17" ht="16.5" x14ac:dyDescent="0.3">
      <c r="A257" s="2"/>
      <c r="B257" s="18"/>
      <c r="C257" s="6">
        <v>16.91</v>
      </c>
      <c r="D257" s="6">
        <v>22.27</v>
      </c>
      <c r="E257" s="6">
        <v>22.66</v>
      </c>
      <c r="F257" s="6">
        <v>22.1</v>
      </c>
      <c r="G257" s="6">
        <v>83.93</v>
      </c>
      <c r="I257" s="8">
        <f>C259</f>
        <v>94.19</v>
      </c>
      <c r="J257" s="8">
        <f>D259</f>
        <v>87.46</v>
      </c>
      <c r="K257" s="8">
        <f>E259</f>
        <v>81.760000000000005</v>
      </c>
      <c r="L257" s="8">
        <f>F259</f>
        <v>76.540000000000006</v>
      </c>
      <c r="N257" s="8" t="str">
        <f>TEXT(I260,"#,##0")&amp;" ("&amp;TEXT(I261,"0.00")&amp;")"</f>
        <v>612 (5.81)</v>
      </c>
      <c r="O257" s="8" t="str">
        <f t="shared" ref="O257:Q257" si="79">TEXT(J260,"#,##0")&amp;" ("&amp;TEXT(J261,"0.00")&amp;")"</f>
        <v>1,874 (12.54)</v>
      </c>
      <c r="P257" s="8" t="str">
        <f t="shared" si="79"/>
        <v>2,966 (18.24)</v>
      </c>
      <c r="Q257" s="8" t="str">
        <f t="shared" si="79"/>
        <v>3,976 (23.46)</v>
      </c>
    </row>
    <row r="258" spans="1:17" ht="16.5" x14ac:dyDescent="0.3">
      <c r="A258" s="2"/>
      <c r="B258" s="18"/>
      <c r="C258" s="6">
        <v>20.149999999999999</v>
      </c>
      <c r="D258" s="6">
        <v>26.53</v>
      </c>
      <c r="E258" s="6">
        <v>26.99</v>
      </c>
      <c r="F258" s="6">
        <v>26.33</v>
      </c>
      <c r="G258" s="6"/>
    </row>
    <row r="259" spans="1:17" ht="16.5" x14ac:dyDescent="0.3">
      <c r="A259" s="2"/>
      <c r="B259" s="18"/>
      <c r="C259" s="6">
        <v>94.19</v>
      </c>
      <c r="D259" s="6">
        <v>87.46</v>
      </c>
      <c r="E259" s="6">
        <v>81.760000000000005</v>
      </c>
      <c r="F259" s="6">
        <v>76.540000000000006</v>
      </c>
      <c r="G259" s="6"/>
    </row>
    <row r="260" spans="1:17" ht="16.5" x14ac:dyDescent="0.3">
      <c r="A260" s="2"/>
      <c r="B260" s="18">
        <v>1</v>
      </c>
      <c r="C260" s="6">
        <v>612</v>
      </c>
      <c r="D260" s="6">
        <v>1874</v>
      </c>
      <c r="E260" s="6">
        <v>2966</v>
      </c>
      <c r="F260" s="6">
        <v>3976</v>
      </c>
      <c r="G260" s="6">
        <v>9428</v>
      </c>
      <c r="I260" s="8">
        <f>C260</f>
        <v>612</v>
      </c>
      <c r="J260" s="8">
        <f t="shared" ref="J260:L260" si="80">D260</f>
        <v>1874</v>
      </c>
      <c r="K260" s="8">
        <f t="shared" si="80"/>
        <v>2966</v>
      </c>
      <c r="L260" s="8">
        <f t="shared" si="80"/>
        <v>3976</v>
      </c>
    </row>
    <row r="261" spans="1:17" ht="16.5" x14ac:dyDescent="0.3">
      <c r="A261" s="2"/>
      <c r="B261" s="18"/>
      <c r="C261" s="6">
        <v>1.04</v>
      </c>
      <c r="D261" s="6">
        <v>3.19</v>
      </c>
      <c r="E261" s="6">
        <v>5.05</v>
      </c>
      <c r="F261" s="6">
        <v>6.78</v>
      </c>
      <c r="G261" s="6">
        <v>16.07</v>
      </c>
      <c r="I261" s="8">
        <f>C263</f>
        <v>5.81</v>
      </c>
      <c r="J261" s="8">
        <f>D263</f>
        <v>12.54</v>
      </c>
      <c r="K261" s="8">
        <f>E263</f>
        <v>18.239999999999998</v>
      </c>
      <c r="L261" s="8">
        <f>F263</f>
        <v>23.46</v>
      </c>
    </row>
    <row r="262" spans="1:17" ht="16.5" x14ac:dyDescent="0.3">
      <c r="A262" s="2"/>
      <c r="B262" s="18"/>
      <c r="C262" s="6">
        <v>6.49</v>
      </c>
      <c r="D262" s="6">
        <v>19.88</v>
      </c>
      <c r="E262" s="6">
        <v>31.46</v>
      </c>
      <c r="F262" s="6">
        <v>42.17</v>
      </c>
      <c r="G262" s="6"/>
    </row>
    <row r="263" spans="1:17" ht="16.5" x14ac:dyDescent="0.3">
      <c r="A263" s="2"/>
      <c r="B263" s="18"/>
      <c r="C263" s="6">
        <v>5.81</v>
      </c>
      <c r="D263" s="6">
        <v>12.54</v>
      </c>
      <c r="E263" s="6">
        <v>18.239999999999998</v>
      </c>
      <c r="F263" s="6">
        <v>23.46</v>
      </c>
      <c r="G263" s="6"/>
    </row>
    <row r="264" spans="1:17" ht="15.75" customHeight="1" x14ac:dyDescent="0.3">
      <c r="A264" s="2"/>
      <c r="B264" s="18" t="s">
        <v>22</v>
      </c>
      <c r="C264" s="6">
        <v>10536</v>
      </c>
      <c r="D264" s="6">
        <v>14941</v>
      </c>
      <c r="E264" s="6">
        <v>16263</v>
      </c>
      <c r="F264" s="6">
        <v>16946</v>
      </c>
      <c r="G264" s="6">
        <v>58686</v>
      </c>
    </row>
    <row r="265" spans="1:17" ht="16.5" x14ac:dyDescent="0.3">
      <c r="A265" s="2"/>
      <c r="B265" s="18"/>
      <c r="C265" s="6">
        <v>17.95</v>
      </c>
      <c r="D265" s="6">
        <v>25.46</v>
      </c>
      <c r="E265" s="6">
        <v>27.71</v>
      </c>
      <c r="F265" s="6">
        <v>28.88</v>
      </c>
      <c r="G265" s="6">
        <v>100</v>
      </c>
    </row>
    <row r="266" spans="1:17" ht="16.5" x14ac:dyDescent="0.3">
      <c r="A266" s="2"/>
      <c r="B266" s="26"/>
      <c r="C266" s="26"/>
      <c r="D266" s="26"/>
      <c r="E266" s="26"/>
      <c r="F266" s="26"/>
      <c r="G266" s="26"/>
    </row>
    <row r="267" spans="1:17" ht="17.25" thickBot="1" x14ac:dyDescent="0.35">
      <c r="A267"/>
      <c r="B267"/>
      <c r="C267"/>
      <c r="D267"/>
      <c r="E267"/>
      <c r="F267"/>
      <c r="G267"/>
    </row>
    <row r="268" spans="1:17" ht="16.5" customHeight="1" x14ac:dyDescent="0.3">
      <c r="A268" s="5" t="s">
        <v>2</v>
      </c>
      <c r="B268" s="17" t="s">
        <v>104</v>
      </c>
      <c r="C268" s="19"/>
      <c r="D268" s="19"/>
      <c r="E268" s="19"/>
      <c r="F268" s="19"/>
      <c r="G268" s="19"/>
    </row>
    <row r="269" spans="1:17" ht="16.5" customHeight="1" x14ac:dyDescent="0.3">
      <c r="A269" s="4" t="s">
        <v>3</v>
      </c>
      <c r="B269" s="18" t="s">
        <v>16</v>
      </c>
      <c r="C269" s="20" t="s">
        <v>24</v>
      </c>
      <c r="D269" s="20"/>
      <c r="E269" s="20"/>
      <c r="F269" s="20"/>
      <c r="G269" s="20"/>
    </row>
    <row r="270" spans="1:17" ht="16.5" x14ac:dyDescent="0.3">
      <c r="A270" s="4" t="s">
        <v>19</v>
      </c>
      <c r="B270" s="18"/>
      <c r="C270" s="3">
        <v>1</v>
      </c>
      <c r="D270" s="3">
        <v>2</v>
      </c>
      <c r="E270" s="3">
        <v>3</v>
      </c>
      <c r="F270" s="3">
        <v>4</v>
      </c>
      <c r="G270" s="3" t="s">
        <v>22</v>
      </c>
    </row>
    <row r="271" spans="1:17" ht="33" x14ac:dyDescent="0.3">
      <c r="A271" s="4" t="s">
        <v>20</v>
      </c>
      <c r="B271" s="18">
        <v>0</v>
      </c>
      <c r="C271" s="6">
        <v>10451</v>
      </c>
      <c r="D271" s="6">
        <v>14716</v>
      </c>
      <c r="E271" s="6">
        <v>15917</v>
      </c>
      <c r="F271" s="6">
        <v>16558</v>
      </c>
      <c r="G271" s="6">
        <v>57642</v>
      </c>
      <c r="I271" s="8">
        <f>C271</f>
        <v>10451</v>
      </c>
      <c r="J271" s="8">
        <f t="shared" ref="J271:L271" si="81">D271</f>
        <v>14716</v>
      </c>
      <c r="K271" s="8">
        <f t="shared" si="81"/>
        <v>15917</v>
      </c>
      <c r="L271" s="8">
        <f t="shared" si="81"/>
        <v>16558</v>
      </c>
      <c r="N271" s="8" t="str">
        <f>TEXT(I271,"#,##0")&amp;" ("&amp;TEXT(I272,"0.00")&amp;")"</f>
        <v>10,451 (99.19)</v>
      </c>
      <c r="O271" s="8" t="str">
        <f t="shared" ref="O271:Q271" si="82">TEXT(J271,"#,##0")&amp;" ("&amp;TEXT(J272,"0.00")&amp;")"</f>
        <v>14,716 (98.49)</v>
      </c>
      <c r="P271" s="8" t="str">
        <f t="shared" si="82"/>
        <v>15,917 (97.87)</v>
      </c>
      <c r="Q271" s="8" t="str">
        <f t="shared" si="82"/>
        <v>16,558 (97.71)</v>
      </c>
    </row>
    <row r="272" spans="1:17" ht="16.5" x14ac:dyDescent="0.3">
      <c r="A272" s="2"/>
      <c r="B272" s="18"/>
      <c r="C272" s="6">
        <v>17.809999999999999</v>
      </c>
      <c r="D272" s="6">
        <v>25.08</v>
      </c>
      <c r="E272" s="6">
        <v>27.12</v>
      </c>
      <c r="F272" s="6">
        <v>28.21</v>
      </c>
      <c r="G272" s="6">
        <v>98.22</v>
      </c>
      <c r="I272" s="8">
        <f>C274</f>
        <v>99.19</v>
      </c>
      <c r="J272" s="8">
        <f>D274</f>
        <v>98.49</v>
      </c>
      <c r="K272" s="8">
        <f>E274</f>
        <v>97.87</v>
      </c>
      <c r="L272" s="8">
        <f>F274</f>
        <v>97.71</v>
      </c>
      <c r="N272" s="8" t="str">
        <f>TEXT(I275,"#,##0")&amp;" ("&amp;TEXT(I276,"0.00")&amp;")"</f>
        <v>85 (0.81)</v>
      </c>
      <c r="O272" s="8" t="str">
        <f t="shared" ref="O272:Q272" si="83">TEXT(J275,"#,##0")&amp;" ("&amp;TEXT(J276,"0.00")&amp;")"</f>
        <v>225 (1.51)</v>
      </c>
      <c r="P272" s="8" t="str">
        <f t="shared" si="83"/>
        <v>346 (2.13)</v>
      </c>
      <c r="Q272" s="8" t="str">
        <f t="shared" si="83"/>
        <v>388 (2.29)</v>
      </c>
    </row>
    <row r="273" spans="1:17" ht="16.5" x14ac:dyDescent="0.3">
      <c r="A273" s="2"/>
      <c r="B273" s="18"/>
      <c r="C273" s="6">
        <v>18.13</v>
      </c>
      <c r="D273" s="6">
        <v>25.53</v>
      </c>
      <c r="E273" s="6">
        <v>27.61</v>
      </c>
      <c r="F273" s="6">
        <v>28.73</v>
      </c>
      <c r="G273" s="6"/>
    </row>
    <row r="274" spans="1:17" ht="16.5" x14ac:dyDescent="0.3">
      <c r="A274" s="2"/>
      <c r="B274" s="18"/>
      <c r="C274" s="6">
        <v>99.19</v>
      </c>
      <c r="D274" s="6">
        <v>98.49</v>
      </c>
      <c r="E274" s="6">
        <v>97.87</v>
      </c>
      <c r="F274" s="6">
        <v>97.71</v>
      </c>
      <c r="G274" s="6"/>
    </row>
    <row r="275" spans="1:17" ht="16.5" x14ac:dyDescent="0.3">
      <c r="A275" s="2"/>
      <c r="B275" s="18">
        <v>1</v>
      </c>
      <c r="C275" s="6">
        <v>85</v>
      </c>
      <c r="D275" s="6">
        <v>225</v>
      </c>
      <c r="E275" s="6">
        <v>346</v>
      </c>
      <c r="F275" s="6">
        <v>388</v>
      </c>
      <c r="G275" s="6">
        <v>1044</v>
      </c>
      <c r="I275" s="8">
        <f>C275</f>
        <v>85</v>
      </c>
      <c r="J275" s="8">
        <f t="shared" ref="J275:L275" si="84">D275</f>
        <v>225</v>
      </c>
      <c r="K275" s="8">
        <f t="shared" si="84"/>
        <v>346</v>
      </c>
      <c r="L275" s="8">
        <f t="shared" si="84"/>
        <v>388</v>
      </c>
    </row>
    <row r="276" spans="1:17" ht="16.5" x14ac:dyDescent="0.3">
      <c r="A276" s="2"/>
      <c r="B276" s="18"/>
      <c r="C276" s="6">
        <v>0.14000000000000001</v>
      </c>
      <c r="D276" s="6">
        <v>0.38</v>
      </c>
      <c r="E276" s="6">
        <v>0.59</v>
      </c>
      <c r="F276" s="6">
        <v>0.66</v>
      </c>
      <c r="G276" s="6">
        <v>1.78</v>
      </c>
      <c r="I276" s="8">
        <f>C278</f>
        <v>0.81</v>
      </c>
      <c r="J276" s="8">
        <f>D278</f>
        <v>1.51</v>
      </c>
      <c r="K276" s="8">
        <f>E278</f>
        <v>2.13</v>
      </c>
      <c r="L276" s="8">
        <f>F278</f>
        <v>2.29</v>
      </c>
    </row>
    <row r="277" spans="1:17" ht="16.5" x14ac:dyDescent="0.3">
      <c r="A277" s="2"/>
      <c r="B277" s="18"/>
      <c r="C277" s="6">
        <v>8.14</v>
      </c>
      <c r="D277" s="6">
        <v>21.55</v>
      </c>
      <c r="E277" s="6">
        <v>33.14</v>
      </c>
      <c r="F277" s="6">
        <v>37.159999999999997</v>
      </c>
      <c r="G277" s="6"/>
    </row>
    <row r="278" spans="1:17" ht="16.5" x14ac:dyDescent="0.3">
      <c r="A278" s="2"/>
      <c r="B278" s="18"/>
      <c r="C278" s="6">
        <v>0.81</v>
      </c>
      <c r="D278" s="6">
        <v>1.51</v>
      </c>
      <c r="E278" s="6">
        <v>2.13</v>
      </c>
      <c r="F278" s="6">
        <v>2.29</v>
      </c>
      <c r="G278" s="6"/>
    </row>
    <row r="279" spans="1:17" ht="15.75" customHeight="1" x14ac:dyDescent="0.3">
      <c r="A279" s="2"/>
      <c r="B279" s="18" t="s">
        <v>22</v>
      </c>
      <c r="C279" s="6">
        <v>10536</v>
      </c>
      <c r="D279" s="6">
        <v>14941</v>
      </c>
      <c r="E279" s="6">
        <v>16263</v>
      </c>
      <c r="F279" s="6">
        <v>16946</v>
      </c>
      <c r="G279" s="6">
        <v>58686</v>
      </c>
    </row>
    <row r="280" spans="1:17" ht="16.5" x14ac:dyDescent="0.3">
      <c r="A280" s="2"/>
      <c r="B280" s="18"/>
      <c r="C280" s="6">
        <v>17.95</v>
      </c>
      <c r="D280" s="6">
        <v>25.46</v>
      </c>
      <c r="E280" s="6">
        <v>27.71</v>
      </c>
      <c r="F280" s="6">
        <v>28.88</v>
      </c>
      <c r="G280" s="6">
        <v>100</v>
      </c>
    </row>
    <row r="281" spans="1:17" ht="16.5" x14ac:dyDescent="0.3">
      <c r="A281" s="2"/>
      <c r="B281" s="26"/>
      <c r="C281" s="26"/>
      <c r="D281" s="26"/>
      <c r="E281" s="26"/>
      <c r="F281" s="26"/>
      <c r="G281" s="26"/>
    </row>
    <row r="282" spans="1:17" ht="17.25" thickBot="1" x14ac:dyDescent="0.35">
      <c r="A282"/>
      <c r="B282"/>
      <c r="C282"/>
      <c r="D282"/>
      <c r="E282"/>
      <c r="F282"/>
      <c r="G282"/>
    </row>
    <row r="283" spans="1:17" ht="16.5" customHeight="1" x14ac:dyDescent="0.3">
      <c r="A283" s="5" t="s">
        <v>2</v>
      </c>
      <c r="B283" s="17" t="s">
        <v>105</v>
      </c>
      <c r="C283" s="19"/>
      <c r="D283" s="19"/>
      <c r="E283" s="19"/>
      <c r="F283" s="19"/>
      <c r="G283" s="19"/>
    </row>
    <row r="284" spans="1:17" ht="16.5" customHeight="1" x14ac:dyDescent="0.3">
      <c r="A284" s="4" t="s">
        <v>3</v>
      </c>
      <c r="B284" s="18" t="s">
        <v>17</v>
      </c>
      <c r="C284" s="20" t="s">
        <v>24</v>
      </c>
      <c r="D284" s="20"/>
      <c r="E284" s="20"/>
      <c r="F284" s="20"/>
      <c r="G284" s="20"/>
    </row>
    <row r="285" spans="1:17" ht="16.5" x14ac:dyDescent="0.3">
      <c r="A285" s="4" t="s">
        <v>19</v>
      </c>
      <c r="B285" s="18"/>
      <c r="C285" s="3">
        <v>1</v>
      </c>
      <c r="D285" s="3">
        <v>2</v>
      </c>
      <c r="E285" s="3">
        <v>3</v>
      </c>
      <c r="F285" s="3">
        <v>4</v>
      </c>
      <c r="G285" s="3" t="s">
        <v>22</v>
      </c>
    </row>
    <row r="286" spans="1:17" ht="33" x14ac:dyDescent="0.3">
      <c r="A286" s="4" t="s">
        <v>20</v>
      </c>
      <c r="B286" s="18">
        <v>0</v>
      </c>
      <c r="C286" s="6">
        <v>10498</v>
      </c>
      <c r="D286" s="6">
        <v>14834</v>
      </c>
      <c r="E286" s="6">
        <v>16082</v>
      </c>
      <c r="F286" s="6">
        <v>16742</v>
      </c>
      <c r="G286" s="6">
        <v>58156</v>
      </c>
      <c r="I286" s="8">
        <f>C286</f>
        <v>10498</v>
      </c>
      <c r="J286" s="8">
        <f t="shared" ref="J286:L286" si="85">D286</f>
        <v>14834</v>
      </c>
      <c r="K286" s="8">
        <f t="shared" si="85"/>
        <v>16082</v>
      </c>
      <c r="L286" s="8">
        <f t="shared" si="85"/>
        <v>16742</v>
      </c>
      <c r="N286" s="8" t="str">
        <f>TEXT(I286,"#,##0")&amp;" ("&amp;TEXT(I287,"0.00")&amp;")"</f>
        <v>10,498 (99.64)</v>
      </c>
      <c r="O286" s="8" t="str">
        <f t="shared" ref="O286:Q286" si="86">TEXT(J286,"#,##0")&amp;" ("&amp;TEXT(J287,"0.00")&amp;")"</f>
        <v>14,834 (99.28)</v>
      </c>
      <c r="P286" s="8" t="str">
        <f t="shared" si="86"/>
        <v>16,082 (98.89)</v>
      </c>
      <c r="Q286" s="8" t="str">
        <f t="shared" si="86"/>
        <v>16,742 (98.80)</v>
      </c>
    </row>
    <row r="287" spans="1:17" ht="16.5" x14ac:dyDescent="0.3">
      <c r="A287" s="2"/>
      <c r="B287" s="18"/>
      <c r="C287" s="6">
        <v>17.89</v>
      </c>
      <c r="D287" s="6">
        <v>25.28</v>
      </c>
      <c r="E287" s="6">
        <v>27.4</v>
      </c>
      <c r="F287" s="6">
        <v>28.53</v>
      </c>
      <c r="G287" s="6">
        <v>99.1</v>
      </c>
      <c r="I287" s="8">
        <f>C289</f>
        <v>99.64</v>
      </c>
      <c r="J287" s="8">
        <f>D289</f>
        <v>99.28</v>
      </c>
      <c r="K287" s="8">
        <f>E289</f>
        <v>98.89</v>
      </c>
      <c r="L287" s="8">
        <f>F289</f>
        <v>98.8</v>
      </c>
      <c r="N287" s="8" t="str">
        <f>TEXT(I290,"#,##0")&amp;" ("&amp;TEXT(I291,"0.00")&amp;")"</f>
        <v>38 (0.36)</v>
      </c>
      <c r="O287" s="8" t="str">
        <f t="shared" ref="O287:Q287" si="87">TEXT(J290,"#,##0")&amp;" ("&amp;TEXT(J291,"0.00")&amp;")"</f>
        <v>107 (0.72)</v>
      </c>
      <c r="P287" s="8" t="str">
        <f t="shared" si="87"/>
        <v>181 (1.11)</v>
      </c>
      <c r="Q287" s="8" t="str">
        <f t="shared" si="87"/>
        <v>204 (1.20)</v>
      </c>
    </row>
    <row r="288" spans="1:17" ht="16.5" x14ac:dyDescent="0.3">
      <c r="A288" s="2"/>
      <c r="B288" s="18"/>
      <c r="C288" s="6">
        <v>18.05</v>
      </c>
      <c r="D288" s="6">
        <v>25.51</v>
      </c>
      <c r="E288" s="6">
        <v>27.65</v>
      </c>
      <c r="F288" s="6">
        <v>28.79</v>
      </c>
      <c r="G288" s="6"/>
    </row>
    <row r="289" spans="1:17" ht="16.5" x14ac:dyDescent="0.3">
      <c r="A289" s="2"/>
      <c r="B289" s="18"/>
      <c r="C289" s="6">
        <v>99.64</v>
      </c>
      <c r="D289" s="6">
        <v>99.28</v>
      </c>
      <c r="E289" s="6">
        <v>98.89</v>
      </c>
      <c r="F289" s="6">
        <v>98.8</v>
      </c>
      <c r="G289" s="6"/>
    </row>
    <row r="290" spans="1:17" ht="16.5" x14ac:dyDescent="0.3">
      <c r="A290" s="2"/>
      <c r="B290" s="18">
        <v>1</v>
      </c>
      <c r="C290" s="6">
        <v>38</v>
      </c>
      <c r="D290" s="6">
        <v>107</v>
      </c>
      <c r="E290" s="6">
        <v>181</v>
      </c>
      <c r="F290" s="6">
        <v>204</v>
      </c>
      <c r="G290" s="6">
        <v>530</v>
      </c>
      <c r="I290" s="8">
        <f>C290</f>
        <v>38</v>
      </c>
      <c r="J290" s="8">
        <f t="shared" ref="J290:L290" si="88">D290</f>
        <v>107</v>
      </c>
      <c r="K290" s="8">
        <f t="shared" si="88"/>
        <v>181</v>
      </c>
      <c r="L290" s="8">
        <f t="shared" si="88"/>
        <v>204</v>
      </c>
    </row>
    <row r="291" spans="1:17" ht="16.5" x14ac:dyDescent="0.3">
      <c r="A291" s="2"/>
      <c r="B291" s="18"/>
      <c r="C291" s="6">
        <v>0.06</v>
      </c>
      <c r="D291" s="6">
        <v>0.18</v>
      </c>
      <c r="E291" s="6">
        <v>0.31</v>
      </c>
      <c r="F291" s="6">
        <v>0.35</v>
      </c>
      <c r="G291" s="6">
        <v>0.9</v>
      </c>
      <c r="I291" s="8">
        <f>C293</f>
        <v>0.36</v>
      </c>
      <c r="J291" s="8">
        <f>D293</f>
        <v>0.72</v>
      </c>
      <c r="K291" s="8">
        <f>E293</f>
        <v>1.1100000000000001</v>
      </c>
      <c r="L291" s="8">
        <f>F293</f>
        <v>1.2</v>
      </c>
    </row>
    <row r="292" spans="1:17" ht="16.5" x14ac:dyDescent="0.3">
      <c r="A292" s="2"/>
      <c r="B292" s="18"/>
      <c r="C292" s="6">
        <v>7.17</v>
      </c>
      <c r="D292" s="6">
        <v>20.190000000000001</v>
      </c>
      <c r="E292" s="6">
        <v>34.15</v>
      </c>
      <c r="F292" s="6">
        <v>38.49</v>
      </c>
      <c r="G292" s="6"/>
    </row>
    <row r="293" spans="1:17" ht="16.5" x14ac:dyDescent="0.3">
      <c r="A293" s="2"/>
      <c r="B293" s="18"/>
      <c r="C293" s="6">
        <v>0.36</v>
      </c>
      <c r="D293" s="6">
        <v>0.72</v>
      </c>
      <c r="E293" s="6">
        <v>1.1100000000000001</v>
      </c>
      <c r="F293" s="6">
        <v>1.2</v>
      </c>
      <c r="G293" s="6"/>
    </row>
    <row r="294" spans="1:17" ht="15.75" customHeight="1" x14ac:dyDescent="0.3">
      <c r="A294" s="2"/>
      <c r="B294" s="18" t="s">
        <v>22</v>
      </c>
      <c r="C294" s="6">
        <v>10536</v>
      </c>
      <c r="D294" s="6">
        <v>14941</v>
      </c>
      <c r="E294" s="6">
        <v>16263</v>
      </c>
      <c r="F294" s="6">
        <v>16946</v>
      </c>
      <c r="G294" s="6">
        <v>58686</v>
      </c>
    </row>
    <row r="295" spans="1:17" ht="16.5" x14ac:dyDescent="0.3">
      <c r="A295" s="2"/>
      <c r="B295" s="18"/>
      <c r="C295" s="6">
        <v>17.95</v>
      </c>
      <c r="D295" s="6">
        <v>25.46</v>
      </c>
      <c r="E295" s="6">
        <v>27.71</v>
      </c>
      <c r="F295" s="6">
        <v>28.88</v>
      </c>
      <c r="G295" s="6">
        <v>100</v>
      </c>
    </row>
    <row r="296" spans="1:17" ht="16.5" x14ac:dyDescent="0.3">
      <c r="A296" s="2"/>
      <c r="B296" s="26"/>
      <c r="C296" s="26"/>
      <c r="D296" s="26"/>
      <c r="E296" s="26"/>
      <c r="F296" s="26"/>
      <c r="G296" s="26"/>
    </row>
    <row r="297" spans="1:17" ht="17.25" thickBot="1" x14ac:dyDescent="0.35">
      <c r="A297"/>
      <c r="B297"/>
      <c r="C297"/>
      <c r="D297"/>
      <c r="E297"/>
      <c r="F297"/>
      <c r="G297"/>
    </row>
    <row r="298" spans="1:17" ht="16.5" customHeight="1" x14ac:dyDescent="0.3">
      <c r="A298" s="5" t="s">
        <v>2</v>
      </c>
      <c r="B298" s="17" t="s">
        <v>106</v>
      </c>
      <c r="C298" s="19"/>
      <c r="D298" s="19"/>
      <c r="E298" s="19"/>
      <c r="F298" s="19"/>
      <c r="G298" s="19"/>
    </row>
    <row r="299" spans="1:17" ht="16.5" customHeight="1" x14ac:dyDescent="0.3">
      <c r="A299" s="4" t="s">
        <v>3</v>
      </c>
      <c r="B299" s="18" t="s">
        <v>18</v>
      </c>
      <c r="C299" s="20" t="s">
        <v>24</v>
      </c>
      <c r="D299" s="20"/>
      <c r="E299" s="20"/>
      <c r="F299" s="20"/>
      <c r="G299" s="20"/>
    </row>
    <row r="300" spans="1:17" ht="16.5" x14ac:dyDescent="0.3">
      <c r="A300" s="4" t="s">
        <v>19</v>
      </c>
      <c r="B300" s="18"/>
      <c r="C300" s="3">
        <v>1</v>
      </c>
      <c r="D300" s="3">
        <v>2</v>
      </c>
      <c r="E300" s="3">
        <v>3</v>
      </c>
      <c r="F300" s="3">
        <v>4</v>
      </c>
      <c r="G300" s="3" t="s">
        <v>22</v>
      </c>
    </row>
    <row r="301" spans="1:17" ht="33" x14ac:dyDescent="0.3">
      <c r="A301" s="4" t="s">
        <v>20</v>
      </c>
      <c r="B301" s="18">
        <v>0</v>
      </c>
      <c r="C301" s="6">
        <v>10479</v>
      </c>
      <c r="D301" s="6">
        <v>14734</v>
      </c>
      <c r="E301" s="6">
        <v>15935</v>
      </c>
      <c r="F301" s="6">
        <v>16567</v>
      </c>
      <c r="G301" s="6">
        <v>57715</v>
      </c>
      <c r="I301" s="8">
        <f>C301</f>
        <v>10479</v>
      </c>
      <c r="J301" s="8">
        <f t="shared" ref="J301:L301" si="89">D301</f>
        <v>14734</v>
      </c>
      <c r="K301" s="8">
        <f t="shared" si="89"/>
        <v>15935</v>
      </c>
      <c r="L301" s="8">
        <f t="shared" si="89"/>
        <v>16567</v>
      </c>
      <c r="N301" s="8" t="str">
        <f>TEXT(I301,"#,##0")&amp;" ("&amp;TEXT(I302,"0.00")&amp;")"</f>
        <v>10,479 (99.46)</v>
      </c>
      <c r="O301" s="8" t="str">
        <f t="shared" ref="O301:Q301" si="90">TEXT(J301,"#,##0")&amp;" ("&amp;TEXT(J302,"0.00")&amp;")"</f>
        <v>14,734 (98.61)</v>
      </c>
      <c r="P301" s="8" t="str">
        <f t="shared" si="90"/>
        <v>15,935 (97.98)</v>
      </c>
      <c r="Q301" s="8" t="str">
        <f t="shared" si="90"/>
        <v>16,567 (97.76)</v>
      </c>
    </row>
    <row r="302" spans="1:17" ht="16.5" x14ac:dyDescent="0.3">
      <c r="A302" s="2"/>
      <c r="B302" s="18"/>
      <c r="C302" s="6">
        <v>17.86</v>
      </c>
      <c r="D302" s="6">
        <v>25.11</v>
      </c>
      <c r="E302" s="6">
        <v>27.15</v>
      </c>
      <c r="F302" s="6">
        <v>28.23</v>
      </c>
      <c r="G302" s="6">
        <v>98.35</v>
      </c>
      <c r="I302" s="8">
        <f>C304</f>
        <v>99.46</v>
      </c>
      <c r="J302" s="8">
        <f>D304</f>
        <v>98.61</v>
      </c>
      <c r="K302" s="8">
        <f>E304</f>
        <v>97.98</v>
      </c>
      <c r="L302" s="8">
        <f>F304</f>
        <v>97.76</v>
      </c>
      <c r="N302" s="8" t="str">
        <f>TEXT(I305,"#,##0")&amp;" ("&amp;TEXT(I306,"0.00")&amp;")"</f>
        <v>57 (0.54)</v>
      </c>
      <c r="O302" s="8" t="str">
        <f t="shared" ref="O302:Q302" si="91">TEXT(J305,"#,##0")&amp;" ("&amp;TEXT(J306,"0.00")&amp;")"</f>
        <v>207 (1.39)</v>
      </c>
      <c r="P302" s="8" t="str">
        <f t="shared" si="91"/>
        <v>328 (2.02)</v>
      </c>
      <c r="Q302" s="8" t="str">
        <f t="shared" si="91"/>
        <v>379 (2.24)</v>
      </c>
    </row>
    <row r="303" spans="1:17" ht="16.5" x14ac:dyDescent="0.3">
      <c r="A303" s="2"/>
      <c r="B303" s="18"/>
      <c r="C303" s="6">
        <v>18.16</v>
      </c>
      <c r="D303" s="6">
        <v>25.53</v>
      </c>
      <c r="E303" s="6">
        <v>27.61</v>
      </c>
      <c r="F303" s="6">
        <v>28.7</v>
      </c>
      <c r="G303" s="6"/>
    </row>
    <row r="304" spans="1:17" ht="16.5" x14ac:dyDescent="0.3">
      <c r="A304" s="2"/>
      <c r="B304" s="18"/>
      <c r="C304" s="6">
        <v>99.46</v>
      </c>
      <c r="D304" s="6">
        <v>98.61</v>
      </c>
      <c r="E304" s="6">
        <v>97.98</v>
      </c>
      <c r="F304" s="6">
        <v>97.76</v>
      </c>
      <c r="G304" s="6"/>
    </row>
    <row r="305" spans="1:12" ht="16.5" x14ac:dyDescent="0.3">
      <c r="A305" s="2"/>
      <c r="B305" s="18">
        <v>1</v>
      </c>
      <c r="C305" s="6">
        <v>57</v>
      </c>
      <c r="D305" s="6">
        <v>207</v>
      </c>
      <c r="E305" s="6">
        <v>328</v>
      </c>
      <c r="F305" s="6">
        <v>379</v>
      </c>
      <c r="G305" s="6">
        <v>971</v>
      </c>
      <c r="I305" s="8">
        <f>C305</f>
        <v>57</v>
      </c>
      <c r="J305" s="8">
        <f t="shared" ref="J305:L305" si="92">D305</f>
        <v>207</v>
      </c>
      <c r="K305" s="8">
        <f t="shared" si="92"/>
        <v>328</v>
      </c>
      <c r="L305" s="8">
        <f t="shared" si="92"/>
        <v>379</v>
      </c>
    </row>
    <row r="306" spans="1:12" ht="16.5" x14ac:dyDescent="0.3">
      <c r="A306" s="2"/>
      <c r="B306" s="18"/>
      <c r="C306" s="6">
        <v>0.1</v>
      </c>
      <c r="D306" s="6">
        <v>0.35</v>
      </c>
      <c r="E306" s="6">
        <v>0.56000000000000005</v>
      </c>
      <c r="F306" s="6">
        <v>0.65</v>
      </c>
      <c r="G306" s="6">
        <v>1.65</v>
      </c>
      <c r="I306" s="8">
        <f>C308</f>
        <v>0.54</v>
      </c>
      <c r="J306" s="8">
        <f>D308</f>
        <v>1.39</v>
      </c>
      <c r="K306" s="8">
        <f>E308</f>
        <v>2.02</v>
      </c>
      <c r="L306" s="8">
        <f>F308</f>
        <v>2.2400000000000002</v>
      </c>
    </row>
    <row r="307" spans="1:12" ht="16.5" x14ac:dyDescent="0.3">
      <c r="A307" s="2"/>
      <c r="B307" s="18"/>
      <c r="C307" s="6">
        <v>5.87</v>
      </c>
      <c r="D307" s="6">
        <v>21.32</v>
      </c>
      <c r="E307" s="6">
        <v>33.78</v>
      </c>
      <c r="F307" s="6">
        <v>39.03</v>
      </c>
      <c r="G307" s="6"/>
    </row>
    <row r="308" spans="1:12" ht="16.5" x14ac:dyDescent="0.3">
      <c r="A308" s="2"/>
      <c r="B308" s="18"/>
      <c r="C308" s="6">
        <v>0.54</v>
      </c>
      <c r="D308" s="6">
        <v>1.39</v>
      </c>
      <c r="E308" s="6">
        <v>2.02</v>
      </c>
      <c r="F308" s="6">
        <v>2.2400000000000002</v>
      </c>
      <c r="G308" s="6"/>
    </row>
    <row r="309" spans="1:12" ht="15.75" customHeight="1" x14ac:dyDescent="0.3">
      <c r="A309" s="2"/>
      <c r="B309" s="18" t="s">
        <v>22</v>
      </c>
      <c r="C309" s="6">
        <v>10536</v>
      </c>
      <c r="D309" s="6">
        <v>14941</v>
      </c>
      <c r="E309" s="6">
        <v>16263</v>
      </c>
      <c r="F309" s="6">
        <v>16946</v>
      </c>
      <c r="G309" s="6">
        <v>58686</v>
      </c>
    </row>
    <row r="310" spans="1:12" ht="16.5" x14ac:dyDescent="0.3">
      <c r="A310" s="2"/>
      <c r="B310" s="18"/>
      <c r="C310" s="6">
        <v>17.95</v>
      </c>
      <c r="D310" s="6">
        <v>25.46</v>
      </c>
      <c r="E310" s="6">
        <v>27.71</v>
      </c>
      <c r="F310" s="6">
        <v>28.88</v>
      </c>
      <c r="G310" s="6">
        <v>100</v>
      </c>
    </row>
    <row r="311" spans="1:12" ht="16.5" x14ac:dyDescent="0.3">
      <c r="A311" s="2"/>
      <c r="B311" s="26"/>
      <c r="C311" s="26"/>
      <c r="D311" s="26"/>
      <c r="E311" s="26"/>
      <c r="F311" s="26"/>
      <c r="G311" s="26"/>
    </row>
  </sheetData>
  <autoFilter ref="B1:B311" xr:uid="{96A188CC-4326-4D8E-8C54-2BA0DE393546}"/>
  <mergeCells count="136">
    <mergeCell ref="B18:B19"/>
    <mergeCell ref="B20:G20"/>
    <mergeCell ref="B22:G22"/>
    <mergeCell ref="B23:B24"/>
    <mergeCell ref="C23:G23"/>
    <mergeCell ref="B25:B28"/>
    <mergeCell ref="B3:G3"/>
    <mergeCell ref="B4:B5"/>
    <mergeCell ref="C4:G4"/>
    <mergeCell ref="B6:B9"/>
    <mergeCell ref="B10:B13"/>
    <mergeCell ref="B14:B17"/>
    <mergeCell ref="B40:B43"/>
    <mergeCell ref="B44:B47"/>
    <mergeCell ref="B48:B49"/>
    <mergeCell ref="B50:G50"/>
    <mergeCell ref="B52:G52"/>
    <mergeCell ref="B53:B54"/>
    <mergeCell ref="C53:G53"/>
    <mergeCell ref="B29:B32"/>
    <mergeCell ref="B33:B34"/>
    <mergeCell ref="B35:G35"/>
    <mergeCell ref="B37:G37"/>
    <mergeCell ref="B38:B39"/>
    <mergeCell ref="C38:G38"/>
    <mergeCell ref="B75:G75"/>
    <mergeCell ref="B76:B77"/>
    <mergeCell ref="C76:G76"/>
    <mergeCell ref="B78:B81"/>
    <mergeCell ref="B82:B85"/>
    <mergeCell ref="B86:B89"/>
    <mergeCell ref="B55:B58"/>
    <mergeCell ref="B59:B62"/>
    <mergeCell ref="B63:B66"/>
    <mergeCell ref="B67:B70"/>
    <mergeCell ref="B71:B72"/>
    <mergeCell ref="B73:G73"/>
    <mergeCell ref="B101:B104"/>
    <mergeCell ref="B105:B108"/>
    <mergeCell ref="B109:B112"/>
    <mergeCell ref="B113:B116"/>
    <mergeCell ref="B117:B118"/>
    <mergeCell ref="B119:G119"/>
    <mergeCell ref="B90:B93"/>
    <mergeCell ref="B94:B95"/>
    <mergeCell ref="B96:G96"/>
    <mergeCell ref="B98:G98"/>
    <mergeCell ref="B99:B100"/>
    <mergeCell ref="C99:G99"/>
    <mergeCell ref="B134:G134"/>
    <mergeCell ref="B136:G136"/>
    <mergeCell ref="B137:B138"/>
    <mergeCell ref="C137:G137"/>
    <mergeCell ref="B139:B142"/>
    <mergeCell ref="B143:B146"/>
    <mergeCell ref="B121:G121"/>
    <mergeCell ref="B122:B123"/>
    <mergeCell ref="C122:G122"/>
    <mergeCell ref="B124:B127"/>
    <mergeCell ref="B128:B131"/>
    <mergeCell ref="B132:B133"/>
    <mergeCell ref="B158:B161"/>
    <mergeCell ref="B162:B165"/>
    <mergeCell ref="B166:B169"/>
    <mergeCell ref="B170:B171"/>
    <mergeCell ref="B172:G172"/>
    <mergeCell ref="B174:G174"/>
    <mergeCell ref="B147:B150"/>
    <mergeCell ref="B151:B152"/>
    <mergeCell ref="B153:G153"/>
    <mergeCell ref="B155:G155"/>
    <mergeCell ref="B156:B157"/>
    <mergeCell ref="C156:G156"/>
    <mergeCell ref="B191:G191"/>
    <mergeCell ref="B193:G193"/>
    <mergeCell ref="B194:B195"/>
    <mergeCell ref="C194:G194"/>
    <mergeCell ref="B196:B199"/>
    <mergeCell ref="B200:B203"/>
    <mergeCell ref="B175:B176"/>
    <mergeCell ref="C175:G175"/>
    <mergeCell ref="B177:B180"/>
    <mergeCell ref="B181:B184"/>
    <mergeCell ref="B185:B188"/>
    <mergeCell ref="B189:B190"/>
    <mergeCell ref="B215:B218"/>
    <mergeCell ref="B219:B220"/>
    <mergeCell ref="B221:G221"/>
    <mergeCell ref="B223:G223"/>
    <mergeCell ref="B224:B225"/>
    <mergeCell ref="C224:G224"/>
    <mergeCell ref="B204:B205"/>
    <mergeCell ref="B206:G206"/>
    <mergeCell ref="B208:G208"/>
    <mergeCell ref="B209:B210"/>
    <mergeCell ref="C209:G209"/>
    <mergeCell ref="B211:B214"/>
    <mergeCell ref="B241:B244"/>
    <mergeCell ref="B245:B248"/>
    <mergeCell ref="B249:B250"/>
    <mergeCell ref="B251:G251"/>
    <mergeCell ref="B253:G253"/>
    <mergeCell ref="B254:B255"/>
    <mergeCell ref="C254:G254"/>
    <mergeCell ref="B226:B229"/>
    <mergeCell ref="B230:B233"/>
    <mergeCell ref="B234:B235"/>
    <mergeCell ref="B236:G236"/>
    <mergeCell ref="B238:G238"/>
    <mergeCell ref="B239:B240"/>
    <mergeCell ref="C239:G239"/>
    <mergeCell ref="B271:B274"/>
    <mergeCell ref="B275:B278"/>
    <mergeCell ref="B279:B280"/>
    <mergeCell ref="B281:G281"/>
    <mergeCell ref="B283:G283"/>
    <mergeCell ref="B284:B285"/>
    <mergeCell ref="C284:G284"/>
    <mergeCell ref="B256:B259"/>
    <mergeCell ref="B260:B263"/>
    <mergeCell ref="B264:B265"/>
    <mergeCell ref="B266:G266"/>
    <mergeCell ref="B268:G268"/>
    <mergeCell ref="B269:B270"/>
    <mergeCell ref="C269:G269"/>
    <mergeCell ref="B301:B304"/>
    <mergeCell ref="B305:B308"/>
    <mergeCell ref="B309:B310"/>
    <mergeCell ref="B311:G311"/>
    <mergeCell ref="B286:B289"/>
    <mergeCell ref="B290:B293"/>
    <mergeCell ref="B294:B295"/>
    <mergeCell ref="B296:G296"/>
    <mergeCell ref="B298:G298"/>
    <mergeCell ref="B299:B300"/>
    <mergeCell ref="C299:G29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B155-5281-486D-969C-332FF2B4C03E}">
  <dimension ref="A1:Q311"/>
  <sheetViews>
    <sheetView workbookViewId="0">
      <selection activeCell="N301" sqref="N301:Q302"/>
    </sheetView>
  </sheetViews>
  <sheetFormatPr defaultRowHeight="15.75" x14ac:dyDescent="0.3"/>
  <cols>
    <col min="1" max="13" width="9" style="8"/>
    <col min="14" max="17" width="12.5" style="8" bestFit="1" customWidth="1"/>
    <col min="18" max="16384" width="9" style="8"/>
  </cols>
  <sheetData>
    <row r="1" spans="1:17" ht="16.5" x14ac:dyDescent="0.3">
      <c r="A1" s="1" t="s">
        <v>0</v>
      </c>
      <c r="B1"/>
      <c r="C1"/>
      <c r="D1"/>
      <c r="E1"/>
      <c r="F1"/>
      <c r="G1"/>
    </row>
    <row r="2" spans="1:17" ht="17.25" thickBot="1" x14ac:dyDescent="0.35">
      <c r="A2"/>
      <c r="B2"/>
      <c r="C2"/>
      <c r="D2"/>
      <c r="E2"/>
      <c r="F2"/>
      <c r="G2"/>
    </row>
    <row r="3" spans="1:17" ht="16.5" customHeight="1" x14ac:dyDescent="0.3">
      <c r="A3" s="5" t="s">
        <v>2</v>
      </c>
      <c r="B3" s="17" t="s">
        <v>107</v>
      </c>
      <c r="C3" s="19"/>
      <c r="D3" s="19"/>
      <c r="E3" s="19"/>
      <c r="F3" s="19"/>
      <c r="G3" s="19"/>
    </row>
    <row r="4" spans="1:17" ht="16.5" customHeight="1" x14ac:dyDescent="0.3">
      <c r="A4" s="4" t="s">
        <v>3</v>
      </c>
      <c r="B4" s="18" t="s">
        <v>1</v>
      </c>
      <c r="C4" s="20" t="s">
        <v>108</v>
      </c>
      <c r="D4" s="20"/>
      <c r="E4" s="20"/>
      <c r="F4" s="20"/>
      <c r="G4" s="20"/>
    </row>
    <row r="5" spans="1:17" ht="16.5" x14ac:dyDescent="0.3">
      <c r="A5" s="4" t="s">
        <v>19</v>
      </c>
      <c r="B5" s="18"/>
      <c r="C5" s="3">
        <v>1</v>
      </c>
      <c r="D5" s="3">
        <v>2</v>
      </c>
      <c r="E5" s="3">
        <v>3</v>
      </c>
      <c r="F5" s="3">
        <v>4</v>
      </c>
      <c r="G5" s="3" t="s">
        <v>22</v>
      </c>
    </row>
    <row r="6" spans="1:17" ht="33" x14ac:dyDescent="0.3">
      <c r="A6" s="4" t="s">
        <v>20</v>
      </c>
      <c r="B6" s="18">
        <v>1</v>
      </c>
      <c r="C6" s="6">
        <v>6506</v>
      </c>
      <c r="D6" s="6">
        <v>6120</v>
      </c>
      <c r="E6" s="6">
        <v>4830</v>
      </c>
      <c r="F6" s="6">
        <v>3245</v>
      </c>
      <c r="G6" s="6">
        <v>20701</v>
      </c>
      <c r="I6" s="8">
        <f>C6</f>
        <v>6506</v>
      </c>
      <c r="J6" s="8">
        <f t="shared" ref="J6:L6" si="0">D6</f>
        <v>6120</v>
      </c>
      <c r="K6" s="8">
        <f t="shared" si="0"/>
        <v>4830</v>
      </c>
      <c r="L6" s="8">
        <f t="shared" si="0"/>
        <v>3245</v>
      </c>
      <c r="N6" s="8" t="str">
        <f>TEXT(I6,"#,##0")&amp;" ("&amp;TEXT(I7,"0.00")&amp;")"</f>
        <v>6,506 (60.42)</v>
      </c>
      <c r="O6" s="8" t="str">
        <f t="shared" ref="O6:Q6" si="1">TEXT(J6,"#,##0")&amp;" ("&amp;TEXT(J7,"0.00")&amp;")"</f>
        <v>6,120 (41.18)</v>
      </c>
      <c r="P6" s="8" t="str">
        <f t="shared" si="1"/>
        <v>4,830 (29.04)</v>
      </c>
      <c r="Q6" s="8" t="str">
        <f t="shared" si="1"/>
        <v>3,245 (19.76)</v>
      </c>
    </row>
    <row r="7" spans="1:17" ht="16.5" x14ac:dyDescent="0.3">
      <c r="A7" s="2"/>
      <c r="B7" s="18"/>
      <c r="C7" s="6">
        <v>11.09</v>
      </c>
      <c r="D7" s="6">
        <v>10.43</v>
      </c>
      <c r="E7" s="6">
        <v>8.23</v>
      </c>
      <c r="F7" s="6">
        <v>5.53</v>
      </c>
      <c r="G7" s="6">
        <v>35.270000000000003</v>
      </c>
      <c r="I7" s="8">
        <f>C9</f>
        <v>60.42</v>
      </c>
      <c r="J7" s="8">
        <f>D9</f>
        <v>41.18</v>
      </c>
      <c r="K7" s="8">
        <f>E9</f>
        <v>29.04</v>
      </c>
      <c r="L7" s="8">
        <f>F9</f>
        <v>19.760000000000002</v>
      </c>
      <c r="N7" s="8" t="str">
        <f>TEXT(I10,"#,##0")&amp;" ("&amp;TEXT(I11,"0.00")&amp;")"</f>
        <v>3,263 (30.30)</v>
      </c>
      <c r="O7" s="8" t="str">
        <f t="shared" ref="O7:Q7" si="2">TEXT(J10,"#,##0")&amp;" ("&amp;TEXT(J11,"0.00")&amp;")"</f>
        <v>5,674 (38.18)</v>
      </c>
      <c r="P7" s="8" t="str">
        <f t="shared" si="2"/>
        <v>6,307 (37.92)</v>
      </c>
      <c r="Q7" s="8" t="str">
        <f t="shared" si="2"/>
        <v>5,957 (36.27)</v>
      </c>
    </row>
    <row r="8" spans="1:17" ht="16.5" x14ac:dyDescent="0.3">
      <c r="A8" s="2"/>
      <c r="B8" s="18"/>
      <c r="C8" s="6">
        <v>31.43</v>
      </c>
      <c r="D8" s="6">
        <v>29.56</v>
      </c>
      <c r="E8" s="6">
        <v>23.33</v>
      </c>
      <c r="F8" s="6">
        <v>15.68</v>
      </c>
      <c r="G8" s="6"/>
      <c r="N8" s="8" t="str">
        <f>TEXT(I14,"#,##0")&amp;" ("&amp;TEXT(I15,"0.00")&amp;")"</f>
        <v>999 (9.28)</v>
      </c>
      <c r="O8" s="8" t="str">
        <f t="shared" ref="O8:Q8" si="3">TEXT(J14,"#,##0")&amp;" ("&amp;TEXT(J15,"0.00")&amp;")"</f>
        <v>3,066 (20.63)</v>
      </c>
      <c r="P8" s="8" t="str">
        <f t="shared" si="3"/>
        <v>5,497 (33.05)</v>
      </c>
      <c r="Q8" s="8" t="str">
        <f t="shared" si="3"/>
        <v>7,222 (43.97)</v>
      </c>
    </row>
    <row r="9" spans="1:17" ht="16.5" x14ac:dyDescent="0.3">
      <c r="A9" s="2"/>
      <c r="B9" s="18"/>
      <c r="C9" s="6">
        <v>60.42</v>
      </c>
      <c r="D9" s="6">
        <v>41.18</v>
      </c>
      <c r="E9" s="6">
        <v>29.04</v>
      </c>
      <c r="F9" s="6">
        <v>19.760000000000002</v>
      </c>
      <c r="G9" s="6"/>
    </row>
    <row r="10" spans="1:17" ht="16.5" x14ac:dyDescent="0.3">
      <c r="A10" s="2"/>
      <c r="B10" s="18">
        <v>2</v>
      </c>
      <c r="C10" s="6">
        <v>3263</v>
      </c>
      <c r="D10" s="6">
        <v>5674</v>
      </c>
      <c r="E10" s="6">
        <v>6307</v>
      </c>
      <c r="F10" s="6">
        <v>5957</v>
      </c>
      <c r="G10" s="6">
        <v>21201</v>
      </c>
      <c r="I10" s="8">
        <f>C10</f>
        <v>3263</v>
      </c>
      <c r="J10" s="8">
        <f t="shared" ref="J10:L10" si="4">D10</f>
        <v>5674</v>
      </c>
      <c r="K10" s="8">
        <f t="shared" si="4"/>
        <v>6307</v>
      </c>
      <c r="L10" s="8">
        <f t="shared" si="4"/>
        <v>5957</v>
      </c>
    </row>
    <row r="11" spans="1:17" ht="16.5" x14ac:dyDescent="0.3">
      <c r="A11" s="2"/>
      <c r="B11" s="18"/>
      <c r="C11" s="6">
        <v>5.56</v>
      </c>
      <c r="D11" s="6">
        <v>9.67</v>
      </c>
      <c r="E11" s="6">
        <v>10.75</v>
      </c>
      <c r="F11" s="6">
        <v>10.15</v>
      </c>
      <c r="G11" s="6">
        <v>36.130000000000003</v>
      </c>
      <c r="I11" s="8">
        <f>C13</f>
        <v>30.3</v>
      </c>
      <c r="J11" s="8">
        <f>D13</f>
        <v>38.18</v>
      </c>
      <c r="K11" s="8">
        <f>E13</f>
        <v>37.92</v>
      </c>
      <c r="L11" s="8">
        <f>F13</f>
        <v>36.270000000000003</v>
      </c>
    </row>
    <row r="12" spans="1:17" ht="16.5" x14ac:dyDescent="0.3">
      <c r="A12" s="2"/>
      <c r="B12" s="18"/>
      <c r="C12" s="6">
        <v>15.39</v>
      </c>
      <c r="D12" s="6">
        <v>26.76</v>
      </c>
      <c r="E12" s="6">
        <v>29.75</v>
      </c>
      <c r="F12" s="6">
        <v>28.1</v>
      </c>
      <c r="G12" s="6"/>
    </row>
    <row r="13" spans="1:17" ht="16.5" x14ac:dyDescent="0.3">
      <c r="A13" s="2"/>
      <c r="B13" s="18"/>
      <c r="C13" s="6">
        <v>30.3</v>
      </c>
      <c r="D13" s="6">
        <v>38.18</v>
      </c>
      <c r="E13" s="6">
        <v>37.92</v>
      </c>
      <c r="F13" s="6">
        <v>36.270000000000003</v>
      </c>
      <c r="G13" s="6"/>
    </row>
    <row r="14" spans="1:17" ht="16.5" x14ac:dyDescent="0.3">
      <c r="A14" s="2"/>
      <c r="B14" s="18">
        <v>3</v>
      </c>
      <c r="C14" s="6">
        <v>999</v>
      </c>
      <c r="D14" s="6">
        <v>3066</v>
      </c>
      <c r="E14" s="6">
        <v>5497</v>
      </c>
      <c r="F14" s="6">
        <v>7222</v>
      </c>
      <c r="G14" s="6">
        <v>16784</v>
      </c>
      <c r="I14" s="8">
        <f>C14</f>
        <v>999</v>
      </c>
      <c r="J14" s="8">
        <f t="shared" ref="J14:L14" si="5">D14</f>
        <v>3066</v>
      </c>
      <c r="K14" s="8">
        <f t="shared" si="5"/>
        <v>5497</v>
      </c>
      <c r="L14" s="8">
        <f t="shared" si="5"/>
        <v>7222</v>
      </c>
      <c r="N14" s="13"/>
    </row>
    <row r="15" spans="1:17" ht="16.5" x14ac:dyDescent="0.3">
      <c r="A15" s="2"/>
      <c r="B15" s="18"/>
      <c r="C15" s="6">
        <v>1.7</v>
      </c>
      <c r="D15" s="6">
        <v>5.22</v>
      </c>
      <c r="E15" s="6">
        <v>9.3699999999999992</v>
      </c>
      <c r="F15" s="6">
        <v>12.31</v>
      </c>
      <c r="G15" s="6">
        <v>28.6</v>
      </c>
      <c r="I15" s="8">
        <f>C17</f>
        <v>9.2799999999999994</v>
      </c>
      <c r="J15" s="8">
        <f>D17</f>
        <v>20.63</v>
      </c>
      <c r="K15" s="8">
        <f>E17</f>
        <v>33.049999999999997</v>
      </c>
      <c r="L15" s="8">
        <f>F17</f>
        <v>43.97</v>
      </c>
    </row>
    <row r="16" spans="1:17" ht="16.5" x14ac:dyDescent="0.3">
      <c r="A16" s="2"/>
      <c r="B16" s="18"/>
      <c r="C16" s="6">
        <v>5.95</v>
      </c>
      <c r="D16" s="6">
        <v>18.27</v>
      </c>
      <c r="E16" s="6">
        <v>32.75</v>
      </c>
      <c r="F16" s="6">
        <v>43.03</v>
      </c>
      <c r="G16" s="6"/>
    </row>
    <row r="17" spans="1:17" ht="16.5" x14ac:dyDescent="0.3">
      <c r="A17" s="2"/>
      <c r="B17" s="18"/>
      <c r="C17" s="6">
        <v>9.2799999999999994</v>
      </c>
      <c r="D17" s="6">
        <v>20.63</v>
      </c>
      <c r="E17" s="6">
        <v>33.049999999999997</v>
      </c>
      <c r="F17" s="6">
        <v>43.97</v>
      </c>
      <c r="G17" s="6"/>
    </row>
    <row r="18" spans="1:17" ht="15.75" customHeight="1" x14ac:dyDescent="0.3">
      <c r="A18" s="2"/>
      <c r="B18" s="18" t="s">
        <v>22</v>
      </c>
      <c r="C18" s="6">
        <v>10768</v>
      </c>
      <c r="D18" s="6">
        <v>14860</v>
      </c>
      <c r="E18" s="6">
        <v>16634</v>
      </c>
      <c r="F18" s="6">
        <v>16424</v>
      </c>
      <c r="G18" s="6">
        <v>58686</v>
      </c>
    </row>
    <row r="19" spans="1:17" ht="16.5" x14ac:dyDescent="0.3">
      <c r="A19" s="2"/>
      <c r="B19" s="18"/>
      <c r="C19" s="6">
        <v>18.350000000000001</v>
      </c>
      <c r="D19" s="6">
        <v>25.32</v>
      </c>
      <c r="E19" s="6">
        <v>28.34</v>
      </c>
      <c r="F19" s="6">
        <v>27.99</v>
      </c>
      <c r="G19" s="6">
        <v>100</v>
      </c>
    </row>
    <row r="20" spans="1:17" ht="16.5" x14ac:dyDescent="0.3">
      <c r="A20" s="2"/>
      <c r="B20" s="26"/>
      <c r="C20" s="26"/>
      <c r="D20" s="26"/>
      <c r="E20" s="26"/>
      <c r="F20" s="26"/>
      <c r="G20" s="26"/>
    </row>
    <row r="21" spans="1:17" ht="17.25" thickBot="1" x14ac:dyDescent="0.35">
      <c r="A21"/>
      <c r="B21"/>
      <c r="C21"/>
      <c r="D21"/>
      <c r="E21"/>
      <c r="F21"/>
      <c r="G21"/>
    </row>
    <row r="22" spans="1:17" ht="16.5" customHeight="1" x14ac:dyDescent="0.3">
      <c r="A22" s="5" t="s">
        <v>2</v>
      </c>
      <c r="B22" s="17" t="s">
        <v>109</v>
      </c>
      <c r="C22" s="19"/>
      <c r="D22" s="19"/>
      <c r="E22" s="19"/>
      <c r="F22" s="19"/>
      <c r="G22" s="19"/>
    </row>
    <row r="23" spans="1:17" ht="16.5" customHeight="1" x14ac:dyDescent="0.3">
      <c r="A23" s="4" t="s">
        <v>3</v>
      </c>
      <c r="B23" s="18" t="s">
        <v>4</v>
      </c>
      <c r="C23" s="20" t="s">
        <v>108</v>
      </c>
      <c r="D23" s="20"/>
      <c r="E23" s="20"/>
      <c r="F23" s="20"/>
      <c r="G23" s="20"/>
    </row>
    <row r="24" spans="1:17" ht="16.5" x14ac:dyDescent="0.3">
      <c r="A24" s="4" t="s">
        <v>19</v>
      </c>
      <c r="B24" s="18"/>
      <c r="C24" s="3">
        <v>1</v>
      </c>
      <c r="D24" s="3">
        <v>2</v>
      </c>
      <c r="E24" s="3">
        <v>3</v>
      </c>
      <c r="F24" s="3">
        <v>4</v>
      </c>
      <c r="G24" s="3" t="s">
        <v>22</v>
      </c>
    </row>
    <row r="25" spans="1:17" ht="33" x14ac:dyDescent="0.3">
      <c r="A25" s="4" t="s">
        <v>20</v>
      </c>
      <c r="B25" s="18">
        <v>1</v>
      </c>
      <c r="C25" s="6">
        <v>2303</v>
      </c>
      <c r="D25" s="6">
        <v>5704</v>
      </c>
      <c r="E25" s="6">
        <v>8837</v>
      </c>
      <c r="F25" s="6">
        <v>10552</v>
      </c>
      <c r="G25" s="6">
        <v>27396</v>
      </c>
      <c r="I25" s="8">
        <f>C25</f>
        <v>2303</v>
      </c>
      <c r="J25" s="8">
        <f t="shared" ref="J25:L25" si="6">D25</f>
        <v>5704</v>
      </c>
      <c r="K25" s="8">
        <f t="shared" si="6"/>
        <v>8837</v>
      </c>
      <c r="L25" s="8">
        <f t="shared" si="6"/>
        <v>10552</v>
      </c>
      <c r="N25" s="8" t="str">
        <f>TEXT(I25,"#,##0")&amp;" ("&amp;TEXT(I26,"0.00")&amp;")"</f>
        <v>2,303 (21.39)</v>
      </c>
      <c r="O25" s="8" t="str">
        <f t="shared" ref="O25:Q25" si="7">TEXT(J25,"#,##0")&amp;" ("&amp;TEXT(J26,"0.00")&amp;")"</f>
        <v>5,704 (38.38)</v>
      </c>
      <c r="P25" s="8" t="str">
        <f t="shared" si="7"/>
        <v>8,837 (53.13)</v>
      </c>
      <c r="Q25" s="8" t="str">
        <f t="shared" si="7"/>
        <v>10,552 (64.25)</v>
      </c>
    </row>
    <row r="26" spans="1:17" ht="16.5" x14ac:dyDescent="0.3">
      <c r="A26" s="2"/>
      <c r="B26" s="18"/>
      <c r="C26" s="6">
        <v>3.92</v>
      </c>
      <c r="D26" s="6">
        <v>9.7200000000000006</v>
      </c>
      <c r="E26" s="6">
        <v>15.06</v>
      </c>
      <c r="F26" s="6">
        <v>17.98</v>
      </c>
      <c r="G26" s="6">
        <v>46.68</v>
      </c>
      <c r="I26" s="8">
        <f>C28</f>
        <v>21.39</v>
      </c>
      <c r="J26" s="8">
        <f>D28</f>
        <v>38.380000000000003</v>
      </c>
      <c r="K26" s="8">
        <f>E28</f>
        <v>53.13</v>
      </c>
      <c r="L26" s="8">
        <f>F28</f>
        <v>64.25</v>
      </c>
      <c r="N26" s="8" t="str">
        <f>TEXT(I29,"#,##0")&amp;" ("&amp;TEXT(I30,"0.00")&amp;")"</f>
        <v>8,465 (78.61)</v>
      </c>
      <c r="O26" s="8" t="str">
        <f t="shared" ref="O26:Q26" si="8">TEXT(J29,"#,##0")&amp;" ("&amp;TEXT(J30,"0.00")&amp;")"</f>
        <v>9,156 (61.62)</v>
      </c>
      <c r="P26" s="8" t="str">
        <f t="shared" si="8"/>
        <v>7,797 (46.87)</v>
      </c>
      <c r="Q26" s="8" t="str">
        <f t="shared" si="8"/>
        <v>5,872 (35.75)</v>
      </c>
    </row>
    <row r="27" spans="1:17" ht="16.5" x14ac:dyDescent="0.3">
      <c r="A27" s="2"/>
      <c r="B27" s="18"/>
      <c r="C27" s="6">
        <v>8.41</v>
      </c>
      <c r="D27" s="6">
        <v>20.82</v>
      </c>
      <c r="E27" s="6">
        <v>32.26</v>
      </c>
      <c r="F27" s="6">
        <v>38.520000000000003</v>
      </c>
      <c r="G27" s="6"/>
    </row>
    <row r="28" spans="1:17" ht="16.5" x14ac:dyDescent="0.3">
      <c r="A28" s="2"/>
      <c r="B28" s="18"/>
      <c r="C28" s="6">
        <v>21.39</v>
      </c>
      <c r="D28" s="6">
        <v>38.380000000000003</v>
      </c>
      <c r="E28" s="6">
        <v>53.13</v>
      </c>
      <c r="F28" s="6">
        <v>64.25</v>
      </c>
      <c r="G28" s="6"/>
    </row>
    <row r="29" spans="1:17" ht="16.5" x14ac:dyDescent="0.3">
      <c r="A29" s="2"/>
      <c r="B29" s="18">
        <v>2</v>
      </c>
      <c r="C29" s="6">
        <v>8465</v>
      </c>
      <c r="D29" s="6">
        <v>9156</v>
      </c>
      <c r="E29" s="6">
        <v>7797</v>
      </c>
      <c r="F29" s="6">
        <v>5872</v>
      </c>
      <c r="G29" s="6">
        <v>31290</v>
      </c>
      <c r="I29" s="8">
        <f>C29</f>
        <v>8465</v>
      </c>
      <c r="J29" s="8">
        <f t="shared" ref="J29:L29" si="9">D29</f>
        <v>9156</v>
      </c>
      <c r="K29" s="8">
        <f t="shared" si="9"/>
        <v>7797</v>
      </c>
      <c r="L29" s="8">
        <f t="shared" si="9"/>
        <v>5872</v>
      </c>
    </row>
    <row r="30" spans="1:17" ht="16.5" x14ac:dyDescent="0.3">
      <c r="A30" s="2"/>
      <c r="B30" s="18"/>
      <c r="C30" s="6">
        <v>14.42</v>
      </c>
      <c r="D30" s="6">
        <v>15.6</v>
      </c>
      <c r="E30" s="6">
        <v>13.29</v>
      </c>
      <c r="F30" s="6">
        <v>10.01</v>
      </c>
      <c r="G30" s="6">
        <v>53.32</v>
      </c>
      <c r="I30" s="8">
        <f>C32</f>
        <v>78.61</v>
      </c>
      <c r="J30" s="8">
        <f>D32</f>
        <v>61.62</v>
      </c>
      <c r="K30" s="8">
        <f>E32</f>
        <v>46.87</v>
      </c>
      <c r="L30" s="8">
        <f>F32</f>
        <v>35.75</v>
      </c>
    </row>
    <row r="31" spans="1:17" ht="16.5" x14ac:dyDescent="0.3">
      <c r="A31" s="2"/>
      <c r="B31" s="18"/>
      <c r="C31" s="6">
        <v>27.05</v>
      </c>
      <c r="D31" s="6">
        <v>29.26</v>
      </c>
      <c r="E31" s="6">
        <v>24.92</v>
      </c>
      <c r="F31" s="6">
        <v>18.77</v>
      </c>
      <c r="G31" s="6"/>
    </row>
    <row r="32" spans="1:17" ht="16.5" x14ac:dyDescent="0.3">
      <c r="A32" s="2"/>
      <c r="B32" s="18"/>
      <c r="C32" s="6">
        <v>78.61</v>
      </c>
      <c r="D32" s="6">
        <v>61.62</v>
      </c>
      <c r="E32" s="6">
        <v>46.87</v>
      </c>
      <c r="F32" s="6">
        <v>35.75</v>
      </c>
      <c r="G32" s="6"/>
    </row>
    <row r="33" spans="1:17" ht="15.75" customHeight="1" x14ac:dyDescent="0.3">
      <c r="A33" s="2"/>
      <c r="B33" s="18" t="s">
        <v>22</v>
      </c>
      <c r="C33" s="6">
        <v>10768</v>
      </c>
      <c r="D33" s="6">
        <v>14860</v>
      </c>
      <c r="E33" s="6">
        <v>16634</v>
      </c>
      <c r="F33" s="6">
        <v>16424</v>
      </c>
      <c r="G33" s="6">
        <v>58686</v>
      </c>
    </row>
    <row r="34" spans="1:17" ht="16.5" x14ac:dyDescent="0.3">
      <c r="A34" s="2"/>
      <c r="B34" s="18"/>
      <c r="C34" s="6">
        <v>18.350000000000001</v>
      </c>
      <c r="D34" s="6">
        <v>25.32</v>
      </c>
      <c r="E34" s="6">
        <v>28.34</v>
      </c>
      <c r="F34" s="6">
        <v>27.99</v>
      </c>
      <c r="G34" s="6">
        <v>100</v>
      </c>
    </row>
    <row r="35" spans="1:17" ht="16.5" x14ac:dyDescent="0.3">
      <c r="A35" s="2"/>
      <c r="B35" s="26"/>
      <c r="C35" s="26"/>
      <c r="D35" s="26"/>
      <c r="E35" s="26"/>
      <c r="F35" s="26"/>
      <c r="G35" s="26"/>
    </row>
    <row r="36" spans="1:17" ht="17.25" thickBot="1" x14ac:dyDescent="0.35">
      <c r="A36"/>
      <c r="B36"/>
      <c r="C36"/>
      <c r="D36"/>
      <c r="E36"/>
      <c r="F36"/>
      <c r="G36"/>
    </row>
    <row r="37" spans="1:17" ht="16.5" customHeight="1" x14ac:dyDescent="0.3">
      <c r="A37" s="5" t="s">
        <v>2</v>
      </c>
      <c r="B37" s="17" t="s">
        <v>110</v>
      </c>
      <c r="C37" s="19"/>
      <c r="D37" s="19"/>
      <c r="E37" s="19"/>
      <c r="F37" s="19"/>
      <c r="G37" s="19"/>
    </row>
    <row r="38" spans="1:17" ht="16.5" customHeight="1" x14ac:dyDescent="0.3">
      <c r="A38" s="4" t="s">
        <v>3</v>
      </c>
      <c r="B38" s="18" t="s">
        <v>5</v>
      </c>
      <c r="C38" s="20" t="s">
        <v>108</v>
      </c>
      <c r="D38" s="20"/>
      <c r="E38" s="20"/>
      <c r="F38" s="20"/>
      <c r="G38" s="20"/>
    </row>
    <row r="39" spans="1:17" ht="16.5" x14ac:dyDescent="0.3">
      <c r="A39" s="4" t="s">
        <v>19</v>
      </c>
      <c r="B39" s="18"/>
      <c r="C39" s="3">
        <v>1</v>
      </c>
      <c r="D39" s="3">
        <v>2</v>
      </c>
      <c r="E39" s="3">
        <v>3</v>
      </c>
      <c r="F39" s="3">
        <v>4</v>
      </c>
      <c r="G39" s="3" t="s">
        <v>22</v>
      </c>
    </row>
    <row r="40" spans="1:17" ht="33" x14ac:dyDescent="0.3">
      <c r="A40" s="4" t="s">
        <v>20</v>
      </c>
      <c r="B40" s="18">
        <v>1</v>
      </c>
      <c r="C40" s="6">
        <v>9201</v>
      </c>
      <c r="D40" s="6">
        <v>12226</v>
      </c>
      <c r="E40" s="6">
        <v>13213</v>
      </c>
      <c r="F40" s="6">
        <v>12461</v>
      </c>
      <c r="G40" s="6">
        <v>47101</v>
      </c>
      <c r="I40" s="8">
        <f>C40</f>
        <v>9201</v>
      </c>
      <c r="J40" s="8">
        <f t="shared" ref="J40:L40" si="10">D40</f>
        <v>12226</v>
      </c>
      <c r="K40" s="8">
        <f t="shared" si="10"/>
        <v>13213</v>
      </c>
      <c r="L40" s="8">
        <f t="shared" si="10"/>
        <v>12461</v>
      </c>
      <c r="N40" s="8" t="str">
        <f>TEXT(I40,"#,##0")&amp;" ("&amp;TEXT(I41,"0.00")&amp;")"</f>
        <v>9,201 (85.45)</v>
      </c>
      <c r="O40" s="8" t="str">
        <f t="shared" ref="O40:Q40" si="11">TEXT(J40,"#,##0")&amp;" ("&amp;TEXT(J41,"0.00")&amp;")"</f>
        <v>12,226 (82.27)</v>
      </c>
      <c r="P40" s="8" t="str">
        <f t="shared" si="11"/>
        <v>13,213 (79.43)</v>
      </c>
      <c r="Q40" s="8" t="str">
        <f t="shared" si="11"/>
        <v>12,461 (75.87)</v>
      </c>
    </row>
    <row r="41" spans="1:17" ht="16.5" x14ac:dyDescent="0.3">
      <c r="A41" s="2"/>
      <c r="B41" s="18"/>
      <c r="C41" s="6">
        <v>15.68</v>
      </c>
      <c r="D41" s="6">
        <v>20.83</v>
      </c>
      <c r="E41" s="6">
        <v>22.51</v>
      </c>
      <c r="F41" s="6">
        <v>21.23</v>
      </c>
      <c r="G41" s="6">
        <v>80.260000000000005</v>
      </c>
      <c r="I41" s="8">
        <f>C43</f>
        <v>85.45</v>
      </c>
      <c r="J41" s="8">
        <f>D43</f>
        <v>82.27</v>
      </c>
      <c r="K41" s="8">
        <f>E43</f>
        <v>79.430000000000007</v>
      </c>
      <c r="L41" s="8">
        <f>F43</f>
        <v>75.87</v>
      </c>
      <c r="N41" s="8" t="str">
        <f>TEXT(I44,"#,##0")&amp;" ("&amp;TEXT(I45,"0.00")&amp;")"</f>
        <v>1,567 (14.55)</v>
      </c>
      <c r="O41" s="8" t="str">
        <f t="shared" ref="O41:Q41" si="12">TEXT(J44,"#,##0")&amp;" ("&amp;TEXT(J45,"0.00")&amp;")"</f>
        <v>2,634 (17.73)</v>
      </c>
      <c r="P41" s="8" t="str">
        <f t="shared" si="12"/>
        <v>3,421 (20.57)</v>
      </c>
      <c r="Q41" s="8" t="str">
        <f t="shared" si="12"/>
        <v>3,963 (24.13)</v>
      </c>
    </row>
    <row r="42" spans="1:17" ht="16.5" x14ac:dyDescent="0.3">
      <c r="A42" s="2"/>
      <c r="B42" s="18"/>
      <c r="C42" s="6">
        <v>19.53</v>
      </c>
      <c r="D42" s="6">
        <v>25.96</v>
      </c>
      <c r="E42" s="6">
        <v>28.05</v>
      </c>
      <c r="F42" s="6">
        <v>26.46</v>
      </c>
      <c r="G42" s="6"/>
    </row>
    <row r="43" spans="1:17" ht="16.5" x14ac:dyDescent="0.3">
      <c r="A43" s="2"/>
      <c r="B43" s="18"/>
      <c r="C43" s="6">
        <v>85.45</v>
      </c>
      <c r="D43" s="6">
        <v>82.27</v>
      </c>
      <c r="E43" s="6">
        <v>79.430000000000007</v>
      </c>
      <c r="F43" s="6">
        <v>75.87</v>
      </c>
      <c r="G43" s="6"/>
    </row>
    <row r="44" spans="1:17" ht="16.5" x14ac:dyDescent="0.3">
      <c r="A44" s="2"/>
      <c r="B44" s="18">
        <v>2</v>
      </c>
      <c r="C44" s="6">
        <v>1567</v>
      </c>
      <c r="D44" s="6">
        <v>2634</v>
      </c>
      <c r="E44" s="6">
        <v>3421</v>
      </c>
      <c r="F44" s="6">
        <v>3963</v>
      </c>
      <c r="G44" s="6">
        <v>11585</v>
      </c>
      <c r="I44" s="8">
        <f>C44</f>
        <v>1567</v>
      </c>
      <c r="J44" s="8">
        <f t="shared" ref="J44:L44" si="13">D44</f>
        <v>2634</v>
      </c>
      <c r="K44" s="8">
        <f t="shared" si="13"/>
        <v>3421</v>
      </c>
      <c r="L44" s="8">
        <f t="shared" si="13"/>
        <v>3963</v>
      </c>
    </row>
    <row r="45" spans="1:17" ht="16.5" x14ac:dyDescent="0.3">
      <c r="A45" s="2"/>
      <c r="B45" s="18"/>
      <c r="C45" s="6">
        <v>2.67</v>
      </c>
      <c r="D45" s="6">
        <v>4.49</v>
      </c>
      <c r="E45" s="6">
        <v>5.83</v>
      </c>
      <c r="F45" s="6">
        <v>6.75</v>
      </c>
      <c r="G45" s="6">
        <v>19.739999999999998</v>
      </c>
      <c r="I45" s="8">
        <f>C47</f>
        <v>14.55</v>
      </c>
      <c r="J45" s="8">
        <f>D47</f>
        <v>17.73</v>
      </c>
      <c r="K45" s="8">
        <f>E47</f>
        <v>20.57</v>
      </c>
      <c r="L45" s="8">
        <f>F47</f>
        <v>24.13</v>
      </c>
    </row>
    <row r="46" spans="1:17" ht="16.5" x14ac:dyDescent="0.3">
      <c r="A46" s="2"/>
      <c r="B46" s="18"/>
      <c r="C46" s="6">
        <v>13.53</v>
      </c>
      <c r="D46" s="6">
        <v>22.74</v>
      </c>
      <c r="E46" s="6">
        <v>29.53</v>
      </c>
      <c r="F46" s="6">
        <v>34.21</v>
      </c>
      <c r="G46" s="6"/>
    </row>
    <row r="47" spans="1:17" ht="16.5" x14ac:dyDescent="0.3">
      <c r="A47" s="2"/>
      <c r="B47" s="18"/>
      <c r="C47" s="6">
        <v>14.55</v>
      </c>
      <c r="D47" s="6">
        <v>17.73</v>
      </c>
      <c r="E47" s="6">
        <v>20.57</v>
      </c>
      <c r="F47" s="6">
        <v>24.13</v>
      </c>
      <c r="G47" s="6"/>
    </row>
    <row r="48" spans="1:17" ht="15.75" customHeight="1" x14ac:dyDescent="0.3">
      <c r="A48" s="2"/>
      <c r="B48" s="18" t="s">
        <v>22</v>
      </c>
      <c r="C48" s="6">
        <v>10768</v>
      </c>
      <c r="D48" s="6">
        <v>14860</v>
      </c>
      <c r="E48" s="6">
        <v>16634</v>
      </c>
      <c r="F48" s="6">
        <v>16424</v>
      </c>
      <c r="G48" s="6">
        <v>58686</v>
      </c>
    </row>
    <row r="49" spans="1:17" ht="16.5" x14ac:dyDescent="0.3">
      <c r="A49" s="2"/>
      <c r="B49" s="18"/>
      <c r="C49" s="6">
        <v>18.350000000000001</v>
      </c>
      <c r="D49" s="6">
        <v>25.32</v>
      </c>
      <c r="E49" s="6">
        <v>28.34</v>
      </c>
      <c r="F49" s="6">
        <v>27.99</v>
      </c>
      <c r="G49" s="6">
        <v>100</v>
      </c>
    </row>
    <row r="50" spans="1:17" ht="16.5" x14ac:dyDescent="0.3">
      <c r="A50" s="2"/>
      <c r="B50" s="26"/>
      <c r="C50" s="26"/>
      <c r="D50" s="26"/>
      <c r="E50" s="26"/>
      <c r="F50" s="26"/>
      <c r="G50" s="26"/>
    </row>
    <row r="51" spans="1:17" ht="17.25" thickBot="1" x14ac:dyDescent="0.35">
      <c r="A51"/>
      <c r="B51"/>
      <c r="C51"/>
      <c r="D51"/>
      <c r="E51"/>
      <c r="F51"/>
      <c r="G51"/>
    </row>
    <row r="52" spans="1:17" ht="16.5" customHeight="1" x14ac:dyDescent="0.3">
      <c r="A52" s="5" t="s">
        <v>2</v>
      </c>
      <c r="B52" s="17" t="s">
        <v>111</v>
      </c>
      <c r="C52" s="19"/>
      <c r="D52" s="19"/>
      <c r="E52" s="19"/>
      <c r="F52" s="19"/>
      <c r="G52" s="19"/>
    </row>
    <row r="53" spans="1:17" ht="16.5" customHeight="1" x14ac:dyDescent="0.3">
      <c r="A53" s="4" t="s">
        <v>3</v>
      </c>
      <c r="B53" s="18" t="s">
        <v>6</v>
      </c>
      <c r="C53" s="20" t="s">
        <v>108</v>
      </c>
      <c r="D53" s="20"/>
      <c r="E53" s="20"/>
      <c r="F53" s="20"/>
      <c r="G53" s="20"/>
    </row>
    <row r="54" spans="1:17" ht="16.5" x14ac:dyDescent="0.3">
      <c r="A54" s="4" t="s">
        <v>19</v>
      </c>
      <c r="B54" s="18"/>
      <c r="C54" s="3">
        <v>1</v>
      </c>
      <c r="D54" s="3">
        <v>2</v>
      </c>
      <c r="E54" s="3">
        <v>3</v>
      </c>
      <c r="F54" s="3">
        <v>4</v>
      </c>
      <c r="G54" s="3" t="s">
        <v>22</v>
      </c>
    </row>
    <row r="55" spans="1:17" ht="33" x14ac:dyDescent="0.3">
      <c r="A55" s="4" t="s">
        <v>20</v>
      </c>
      <c r="B55" s="18">
        <v>1</v>
      </c>
      <c r="C55" s="6">
        <v>454</v>
      </c>
      <c r="D55" s="6">
        <v>1311</v>
      </c>
      <c r="E55" s="6">
        <v>2336</v>
      </c>
      <c r="F55" s="6">
        <v>3077</v>
      </c>
      <c r="G55" s="6">
        <v>7178</v>
      </c>
      <c r="I55" s="8">
        <f>C55</f>
        <v>454</v>
      </c>
      <c r="J55" s="8">
        <f t="shared" ref="J55:L55" si="14">D55</f>
        <v>1311</v>
      </c>
      <c r="K55" s="8">
        <f t="shared" si="14"/>
        <v>2336</v>
      </c>
      <c r="L55" s="8">
        <f t="shared" si="14"/>
        <v>3077</v>
      </c>
      <c r="N55" s="8" t="str">
        <f>TEXT(I55,"#,##0")&amp;" ("&amp;TEXT(I56,"0.00")&amp;")"</f>
        <v>454 (4.22)</v>
      </c>
      <c r="O55" s="8" t="str">
        <f t="shared" ref="O55:Q55" si="15">TEXT(J55,"#,##0")&amp;" ("&amp;TEXT(J56,"0.00")&amp;")"</f>
        <v>1,311 (8.82)</v>
      </c>
      <c r="P55" s="8" t="str">
        <f t="shared" si="15"/>
        <v>2,336 (14.04)</v>
      </c>
      <c r="Q55" s="8" t="str">
        <f t="shared" si="15"/>
        <v>3,077 (18.73)</v>
      </c>
    </row>
    <row r="56" spans="1:17" ht="16.5" x14ac:dyDescent="0.3">
      <c r="A56" s="2"/>
      <c r="B56" s="18"/>
      <c r="C56" s="6">
        <v>0.77</v>
      </c>
      <c r="D56" s="6">
        <v>2.23</v>
      </c>
      <c r="E56" s="6">
        <v>3.98</v>
      </c>
      <c r="F56" s="6">
        <v>5.24</v>
      </c>
      <c r="G56" s="6">
        <v>12.23</v>
      </c>
      <c r="I56" s="8">
        <f>C58</f>
        <v>4.22</v>
      </c>
      <c r="J56" s="8">
        <f>D58</f>
        <v>8.82</v>
      </c>
      <c r="K56" s="8">
        <f>E58</f>
        <v>14.04</v>
      </c>
      <c r="L56" s="8">
        <f>F58</f>
        <v>18.73</v>
      </c>
      <c r="N56" s="8" t="str">
        <f>TEXT(I59,"#,##0")&amp;" ("&amp;TEXT(I60,"0.00")&amp;")"</f>
        <v>685 (6.36)</v>
      </c>
      <c r="O56" s="8" t="str">
        <f t="shared" ref="O56:Q56" si="16">TEXT(J59,"#,##0")&amp;" ("&amp;TEXT(J60,"0.00")&amp;")"</f>
        <v>1,602 (10.78)</v>
      </c>
      <c r="P56" s="8" t="str">
        <f t="shared" si="16"/>
        <v>2,365 (14.22)</v>
      </c>
      <c r="Q56" s="8" t="str">
        <f t="shared" si="16"/>
        <v>2,866 (17.45)</v>
      </c>
    </row>
    <row r="57" spans="1:17" ht="16.5" x14ac:dyDescent="0.3">
      <c r="A57" s="2"/>
      <c r="B57" s="18"/>
      <c r="C57" s="6">
        <v>6.32</v>
      </c>
      <c r="D57" s="6">
        <v>18.260000000000002</v>
      </c>
      <c r="E57" s="6">
        <v>32.54</v>
      </c>
      <c r="F57" s="6">
        <v>42.87</v>
      </c>
      <c r="G57" s="6"/>
      <c r="N57" s="8" t="str">
        <f>TEXT(I63,"#,##0")&amp;" ("&amp;TEXT(I64,"0.00")&amp;")"</f>
        <v>2,990 (27.77)</v>
      </c>
      <c r="O57" s="8" t="str">
        <f t="shared" ref="O57:Q57" si="17">TEXT(J63,"#,##0")&amp;" ("&amp;TEXT(J64,"0.00")&amp;")"</f>
        <v>4,332 (29.15)</v>
      </c>
      <c r="P57" s="8" t="str">
        <f t="shared" si="17"/>
        <v>4,850 (29.16)</v>
      </c>
      <c r="Q57" s="8" t="str">
        <f t="shared" si="17"/>
        <v>4,788 (29.15)</v>
      </c>
    </row>
    <row r="58" spans="1:17" ht="16.5" x14ac:dyDescent="0.3">
      <c r="A58" s="2"/>
      <c r="B58" s="18"/>
      <c r="C58" s="6">
        <v>4.22</v>
      </c>
      <c r="D58" s="6">
        <v>8.82</v>
      </c>
      <c r="E58" s="6">
        <v>14.04</v>
      </c>
      <c r="F58" s="6">
        <v>18.73</v>
      </c>
      <c r="G58" s="6"/>
      <c r="N58" s="8" t="str">
        <f>TEXT(I67,"#,##0")&amp;" ("&amp;TEXT(I68,"0.00")&amp;")"</f>
        <v>6,639 (61.65)</v>
      </c>
      <c r="O58" s="8" t="str">
        <f t="shared" ref="O58:Q58" si="18">TEXT(J67,"#,##0")&amp;" ("&amp;TEXT(J68,"0.00")&amp;")"</f>
        <v>7,615 (51.24)</v>
      </c>
      <c r="P58" s="8" t="str">
        <f t="shared" si="18"/>
        <v>7,083 (42.58)</v>
      </c>
      <c r="Q58" s="8" t="str">
        <f t="shared" si="18"/>
        <v>5,693 (34.66)</v>
      </c>
    </row>
    <row r="59" spans="1:17" ht="16.5" x14ac:dyDescent="0.3">
      <c r="A59" s="2"/>
      <c r="B59" s="18">
        <v>2</v>
      </c>
      <c r="C59" s="6">
        <v>685</v>
      </c>
      <c r="D59" s="6">
        <v>1602</v>
      </c>
      <c r="E59" s="6">
        <v>2365</v>
      </c>
      <c r="F59" s="6">
        <v>2866</v>
      </c>
      <c r="G59" s="6">
        <v>7518</v>
      </c>
      <c r="I59" s="8">
        <f>C59</f>
        <v>685</v>
      </c>
      <c r="J59" s="8">
        <f t="shared" ref="J59:L59" si="19">D59</f>
        <v>1602</v>
      </c>
      <c r="K59" s="8">
        <f t="shared" si="19"/>
        <v>2365</v>
      </c>
      <c r="L59" s="8">
        <f t="shared" si="19"/>
        <v>2866</v>
      </c>
    </row>
    <row r="60" spans="1:17" ht="16.5" x14ac:dyDescent="0.3">
      <c r="A60" s="2"/>
      <c r="B60" s="18"/>
      <c r="C60" s="6">
        <v>1.17</v>
      </c>
      <c r="D60" s="6">
        <v>2.73</v>
      </c>
      <c r="E60" s="6">
        <v>4.03</v>
      </c>
      <c r="F60" s="6">
        <v>4.88</v>
      </c>
      <c r="G60" s="6">
        <v>12.81</v>
      </c>
      <c r="I60" s="8">
        <f>C62</f>
        <v>6.36</v>
      </c>
      <c r="J60" s="8">
        <f>D62</f>
        <v>10.78</v>
      </c>
      <c r="K60" s="8">
        <f>E62</f>
        <v>14.22</v>
      </c>
      <c r="L60" s="8">
        <f>F62</f>
        <v>17.45</v>
      </c>
    </row>
    <row r="61" spans="1:17" ht="16.5" x14ac:dyDescent="0.3">
      <c r="A61" s="2"/>
      <c r="B61" s="18"/>
      <c r="C61" s="6">
        <v>9.11</v>
      </c>
      <c r="D61" s="6">
        <v>21.31</v>
      </c>
      <c r="E61" s="6">
        <v>31.46</v>
      </c>
      <c r="F61" s="6">
        <v>38.119999999999997</v>
      </c>
      <c r="G61" s="6"/>
    </row>
    <row r="62" spans="1:17" ht="16.5" x14ac:dyDescent="0.3">
      <c r="A62" s="2"/>
      <c r="B62" s="18"/>
      <c r="C62" s="6">
        <v>6.36</v>
      </c>
      <c r="D62" s="6">
        <v>10.78</v>
      </c>
      <c r="E62" s="6">
        <v>14.22</v>
      </c>
      <c r="F62" s="6">
        <v>17.45</v>
      </c>
      <c r="G62" s="6"/>
    </row>
    <row r="63" spans="1:17" ht="16.5" x14ac:dyDescent="0.3">
      <c r="A63" s="2"/>
      <c r="B63" s="18">
        <v>3</v>
      </c>
      <c r="C63" s="6">
        <v>2990</v>
      </c>
      <c r="D63" s="6">
        <v>4332</v>
      </c>
      <c r="E63" s="6">
        <v>4850</v>
      </c>
      <c r="F63" s="6">
        <v>4788</v>
      </c>
      <c r="G63" s="6">
        <v>16960</v>
      </c>
      <c r="I63" s="8">
        <f>C63</f>
        <v>2990</v>
      </c>
      <c r="J63" s="8">
        <f t="shared" ref="J63:L63" si="20">D63</f>
        <v>4332</v>
      </c>
      <c r="K63" s="8">
        <f t="shared" si="20"/>
        <v>4850</v>
      </c>
      <c r="L63" s="8">
        <f t="shared" si="20"/>
        <v>4788</v>
      </c>
    </row>
    <row r="64" spans="1:17" ht="16.5" x14ac:dyDescent="0.3">
      <c r="A64" s="2"/>
      <c r="B64" s="18"/>
      <c r="C64" s="6">
        <v>5.09</v>
      </c>
      <c r="D64" s="6">
        <v>7.38</v>
      </c>
      <c r="E64" s="6">
        <v>8.26</v>
      </c>
      <c r="F64" s="6">
        <v>8.16</v>
      </c>
      <c r="G64" s="6">
        <v>28.9</v>
      </c>
      <c r="I64" s="8">
        <f>C66</f>
        <v>27.77</v>
      </c>
      <c r="J64" s="8">
        <f>D66</f>
        <v>29.15</v>
      </c>
      <c r="K64" s="8">
        <f>E66</f>
        <v>29.16</v>
      </c>
      <c r="L64" s="8">
        <f>F66</f>
        <v>29.15</v>
      </c>
    </row>
    <row r="65" spans="1:17" ht="16.5" x14ac:dyDescent="0.3">
      <c r="A65" s="2"/>
      <c r="B65" s="18"/>
      <c r="C65" s="6">
        <v>17.63</v>
      </c>
      <c r="D65" s="6">
        <v>25.54</v>
      </c>
      <c r="E65" s="6">
        <v>28.6</v>
      </c>
      <c r="F65" s="6">
        <v>28.23</v>
      </c>
      <c r="G65" s="6"/>
    </row>
    <row r="66" spans="1:17" ht="16.5" x14ac:dyDescent="0.3">
      <c r="A66" s="2"/>
      <c r="B66" s="18"/>
      <c r="C66" s="6">
        <v>27.77</v>
      </c>
      <c r="D66" s="6">
        <v>29.15</v>
      </c>
      <c r="E66" s="6">
        <v>29.16</v>
      </c>
      <c r="F66" s="6">
        <v>29.15</v>
      </c>
      <c r="G66" s="6"/>
    </row>
    <row r="67" spans="1:17" ht="16.5" x14ac:dyDescent="0.3">
      <c r="A67" s="2"/>
      <c r="B67" s="18">
        <v>4</v>
      </c>
      <c r="C67" s="6">
        <v>6639</v>
      </c>
      <c r="D67" s="6">
        <v>7615</v>
      </c>
      <c r="E67" s="6">
        <v>7083</v>
      </c>
      <c r="F67" s="6">
        <v>5693</v>
      </c>
      <c r="G67" s="6">
        <v>27030</v>
      </c>
      <c r="I67" s="8">
        <f>C67</f>
        <v>6639</v>
      </c>
      <c r="J67" s="8">
        <f t="shared" ref="J67:L67" si="21">D67</f>
        <v>7615</v>
      </c>
      <c r="K67" s="8">
        <f t="shared" si="21"/>
        <v>7083</v>
      </c>
      <c r="L67" s="8">
        <f t="shared" si="21"/>
        <v>5693</v>
      </c>
    </row>
    <row r="68" spans="1:17" ht="16.5" x14ac:dyDescent="0.3">
      <c r="A68" s="2"/>
      <c r="B68" s="18"/>
      <c r="C68" s="6">
        <v>11.31</v>
      </c>
      <c r="D68" s="6">
        <v>12.98</v>
      </c>
      <c r="E68" s="6">
        <v>12.07</v>
      </c>
      <c r="F68" s="6">
        <v>9.6999999999999993</v>
      </c>
      <c r="G68" s="6">
        <v>46.06</v>
      </c>
      <c r="I68" s="8">
        <f>C70</f>
        <v>61.65</v>
      </c>
      <c r="J68" s="8">
        <f>D70</f>
        <v>51.24</v>
      </c>
      <c r="K68" s="8">
        <f>E70</f>
        <v>42.58</v>
      </c>
      <c r="L68" s="8">
        <f>F70</f>
        <v>34.659999999999997</v>
      </c>
    </row>
    <row r="69" spans="1:17" ht="16.5" x14ac:dyDescent="0.3">
      <c r="A69" s="2"/>
      <c r="B69" s="18"/>
      <c r="C69" s="6">
        <v>24.56</v>
      </c>
      <c r="D69" s="6">
        <v>28.17</v>
      </c>
      <c r="E69" s="6">
        <v>26.2</v>
      </c>
      <c r="F69" s="6">
        <v>21.06</v>
      </c>
      <c r="G69" s="6"/>
    </row>
    <row r="70" spans="1:17" ht="16.5" x14ac:dyDescent="0.3">
      <c r="A70" s="2"/>
      <c r="B70" s="18"/>
      <c r="C70" s="6">
        <v>61.65</v>
      </c>
      <c r="D70" s="6">
        <v>51.24</v>
      </c>
      <c r="E70" s="6">
        <v>42.58</v>
      </c>
      <c r="F70" s="6">
        <v>34.659999999999997</v>
      </c>
      <c r="G70" s="6"/>
    </row>
    <row r="71" spans="1:17" ht="15.75" customHeight="1" x14ac:dyDescent="0.3">
      <c r="A71" s="2"/>
      <c r="B71" s="18" t="s">
        <v>22</v>
      </c>
      <c r="C71" s="6">
        <v>10768</v>
      </c>
      <c r="D71" s="6">
        <v>14860</v>
      </c>
      <c r="E71" s="6">
        <v>16634</v>
      </c>
      <c r="F71" s="6">
        <v>16424</v>
      </c>
      <c r="G71" s="6">
        <v>58686</v>
      </c>
    </row>
    <row r="72" spans="1:17" ht="16.5" x14ac:dyDescent="0.3">
      <c r="A72" s="2"/>
      <c r="B72" s="18"/>
      <c r="C72" s="6">
        <v>18.350000000000001</v>
      </c>
      <c r="D72" s="6">
        <v>25.32</v>
      </c>
      <c r="E72" s="6">
        <v>28.34</v>
      </c>
      <c r="F72" s="6">
        <v>27.99</v>
      </c>
      <c r="G72" s="6">
        <v>100</v>
      </c>
    </row>
    <row r="73" spans="1:17" ht="16.5" x14ac:dyDescent="0.3">
      <c r="A73" s="2"/>
      <c r="B73" s="26"/>
      <c r="C73" s="26"/>
      <c r="D73" s="26"/>
      <c r="E73" s="26"/>
      <c r="F73" s="26"/>
      <c r="G73" s="26"/>
    </row>
    <row r="74" spans="1:17" ht="17.25" thickBot="1" x14ac:dyDescent="0.35">
      <c r="A74"/>
      <c r="B74"/>
      <c r="C74"/>
      <c r="D74"/>
      <c r="E74"/>
      <c r="F74"/>
      <c r="G74"/>
    </row>
    <row r="75" spans="1:17" ht="16.5" customHeight="1" x14ac:dyDescent="0.3">
      <c r="A75" s="5" t="s">
        <v>2</v>
      </c>
      <c r="B75" s="17" t="s">
        <v>112</v>
      </c>
      <c r="C75" s="19"/>
      <c r="D75" s="19"/>
      <c r="E75" s="19"/>
      <c r="F75" s="19"/>
      <c r="G75" s="19"/>
    </row>
    <row r="76" spans="1:17" ht="16.5" customHeight="1" x14ac:dyDescent="0.3">
      <c r="A76" s="4" t="s">
        <v>3</v>
      </c>
      <c r="B76" s="18" t="s">
        <v>7</v>
      </c>
      <c r="C76" s="20" t="s">
        <v>108</v>
      </c>
      <c r="D76" s="20"/>
      <c r="E76" s="20"/>
      <c r="F76" s="20"/>
      <c r="G76" s="20"/>
    </row>
    <row r="77" spans="1:17" ht="16.5" x14ac:dyDescent="0.3">
      <c r="A77" s="4" t="s">
        <v>19</v>
      </c>
      <c r="B77" s="18"/>
      <c r="C77" s="3">
        <v>1</v>
      </c>
      <c r="D77" s="3">
        <v>2</v>
      </c>
      <c r="E77" s="3">
        <v>3</v>
      </c>
      <c r="F77" s="3">
        <v>4</v>
      </c>
      <c r="G77" s="3" t="s">
        <v>22</v>
      </c>
    </row>
    <row r="78" spans="1:17" ht="33" x14ac:dyDescent="0.3">
      <c r="A78" s="4" t="s">
        <v>20</v>
      </c>
      <c r="B78" s="18">
        <v>1</v>
      </c>
      <c r="C78" s="6">
        <v>769</v>
      </c>
      <c r="D78" s="6">
        <v>1633</v>
      </c>
      <c r="E78" s="6">
        <v>2525</v>
      </c>
      <c r="F78" s="6">
        <v>3377</v>
      </c>
      <c r="G78" s="6">
        <v>8304</v>
      </c>
      <c r="I78" s="8">
        <f>C78</f>
        <v>769</v>
      </c>
      <c r="J78" s="8">
        <f t="shared" ref="J78:L78" si="22">D78</f>
        <v>1633</v>
      </c>
      <c r="K78" s="8">
        <f t="shared" si="22"/>
        <v>2525</v>
      </c>
      <c r="L78" s="8">
        <f t="shared" si="22"/>
        <v>3377</v>
      </c>
      <c r="N78" s="8" t="str">
        <f>TEXT(I78,"#,##0")&amp;" ("&amp;TEXT(I79,"0.00")&amp;")"</f>
        <v>769 (7.14)</v>
      </c>
      <c r="O78" s="8" t="str">
        <f t="shared" ref="O78:Q78" si="23">TEXT(J78,"#,##0")&amp;" ("&amp;TEXT(J79,"0.00")&amp;")"</f>
        <v>1,633 (10.99)</v>
      </c>
      <c r="P78" s="8" t="str">
        <f t="shared" si="23"/>
        <v>2,525 (15.18)</v>
      </c>
      <c r="Q78" s="8" t="str">
        <f t="shared" si="23"/>
        <v>3,377 (20.56)</v>
      </c>
    </row>
    <row r="79" spans="1:17" ht="16.5" x14ac:dyDescent="0.3">
      <c r="A79" s="2"/>
      <c r="B79" s="18"/>
      <c r="C79" s="6">
        <v>1.31</v>
      </c>
      <c r="D79" s="6">
        <v>2.78</v>
      </c>
      <c r="E79" s="6">
        <v>4.3</v>
      </c>
      <c r="F79" s="6">
        <v>5.75</v>
      </c>
      <c r="G79" s="6">
        <v>14.15</v>
      </c>
      <c r="I79" s="8">
        <f>C81</f>
        <v>7.14</v>
      </c>
      <c r="J79" s="8">
        <f>D81</f>
        <v>10.99</v>
      </c>
      <c r="K79" s="8">
        <f>E81</f>
        <v>15.18</v>
      </c>
      <c r="L79" s="8">
        <f>F81</f>
        <v>20.56</v>
      </c>
      <c r="N79" s="8" t="str">
        <f>TEXT(I82,"#,##0")&amp;" ("&amp;TEXT(I83,"0.00")&amp;")"</f>
        <v>2,496 (23.18)</v>
      </c>
      <c r="O79" s="8" t="str">
        <f t="shared" ref="O79:Q79" si="24">TEXT(J82,"#,##0")&amp;" ("&amp;TEXT(J83,"0.00")&amp;")"</f>
        <v>3,607 (24.27)</v>
      </c>
      <c r="P79" s="8" t="str">
        <f t="shared" si="24"/>
        <v>4,140 (24.89)</v>
      </c>
      <c r="Q79" s="8" t="str">
        <f t="shared" si="24"/>
        <v>4,494 (27.36)</v>
      </c>
    </row>
    <row r="80" spans="1:17" ht="16.5" x14ac:dyDescent="0.3">
      <c r="A80" s="2"/>
      <c r="B80" s="18"/>
      <c r="C80" s="6">
        <v>9.26</v>
      </c>
      <c r="D80" s="6">
        <v>19.670000000000002</v>
      </c>
      <c r="E80" s="6">
        <v>30.41</v>
      </c>
      <c r="F80" s="6">
        <v>40.67</v>
      </c>
      <c r="G80" s="6"/>
      <c r="N80" s="8" t="str">
        <f>TEXT(I86,"#,##0")&amp;" ("&amp;TEXT(I87,"0.00")&amp;")"</f>
        <v>3,510 (32.60)</v>
      </c>
      <c r="O80" s="8" t="str">
        <f t="shared" ref="O80:Q80" si="25">TEXT(J86,"#,##0")&amp;" ("&amp;TEXT(J87,"0.00")&amp;")"</f>
        <v>4,651 (31.30)</v>
      </c>
      <c r="P80" s="8" t="str">
        <f t="shared" si="25"/>
        <v>4,903 (29.48)</v>
      </c>
      <c r="Q80" s="8" t="str">
        <f t="shared" si="25"/>
        <v>4,286 (26.10)</v>
      </c>
    </row>
    <row r="81" spans="1:17" ht="16.5" x14ac:dyDescent="0.3">
      <c r="A81" s="2"/>
      <c r="B81" s="18"/>
      <c r="C81" s="6">
        <v>7.14</v>
      </c>
      <c r="D81" s="6">
        <v>10.99</v>
      </c>
      <c r="E81" s="6">
        <v>15.18</v>
      </c>
      <c r="F81" s="6">
        <v>20.56</v>
      </c>
      <c r="G81" s="6"/>
      <c r="N81" s="8" t="str">
        <f>TEXT(I90,"#,##0")&amp;" ("&amp;TEXT(I91,"0.00")&amp;")"</f>
        <v>3,993 (37.08)</v>
      </c>
      <c r="O81" s="8" t="str">
        <f t="shared" ref="O81:Q81" si="26">TEXT(J90,"#,##0")&amp;" ("&amp;TEXT(J91,"0.00")&amp;")"</f>
        <v>4,969 (33.44)</v>
      </c>
      <c r="P81" s="8" t="str">
        <f t="shared" si="26"/>
        <v>5,066 (30.46)</v>
      </c>
      <c r="Q81" s="8" t="str">
        <f t="shared" si="26"/>
        <v>4,267 (25.98)</v>
      </c>
    </row>
    <row r="82" spans="1:17" ht="16.5" x14ac:dyDescent="0.3">
      <c r="A82" s="2"/>
      <c r="B82" s="18">
        <v>2</v>
      </c>
      <c r="C82" s="6">
        <v>2496</v>
      </c>
      <c r="D82" s="6">
        <v>3607</v>
      </c>
      <c r="E82" s="6">
        <v>4140</v>
      </c>
      <c r="F82" s="6">
        <v>4494</v>
      </c>
      <c r="G82" s="6">
        <v>14737</v>
      </c>
      <c r="I82" s="8">
        <f>C82</f>
        <v>2496</v>
      </c>
      <c r="J82" s="8">
        <f t="shared" ref="J82:L82" si="27">D82</f>
        <v>3607</v>
      </c>
      <c r="K82" s="8">
        <f t="shared" si="27"/>
        <v>4140</v>
      </c>
      <c r="L82" s="8">
        <f t="shared" si="27"/>
        <v>4494</v>
      </c>
    </row>
    <row r="83" spans="1:17" ht="16.5" x14ac:dyDescent="0.3">
      <c r="A83" s="2"/>
      <c r="B83" s="18"/>
      <c r="C83" s="6">
        <v>4.25</v>
      </c>
      <c r="D83" s="6">
        <v>6.15</v>
      </c>
      <c r="E83" s="6">
        <v>7.05</v>
      </c>
      <c r="F83" s="6">
        <v>7.66</v>
      </c>
      <c r="G83" s="6">
        <v>25.11</v>
      </c>
      <c r="I83" s="8">
        <f>C85</f>
        <v>23.18</v>
      </c>
      <c r="J83" s="8">
        <f>D85</f>
        <v>24.27</v>
      </c>
      <c r="K83" s="8">
        <f>E85</f>
        <v>24.89</v>
      </c>
      <c r="L83" s="8">
        <f>F85</f>
        <v>27.36</v>
      </c>
    </row>
    <row r="84" spans="1:17" ht="16.5" x14ac:dyDescent="0.3">
      <c r="A84" s="2"/>
      <c r="B84" s="18"/>
      <c r="C84" s="6">
        <v>16.940000000000001</v>
      </c>
      <c r="D84" s="6">
        <v>24.48</v>
      </c>
      <c r="E84" s="6">
        <v>28.09</v>
      </c>
      <c r="F84" s="6">
        <v>30.49</v>
      </c>
      <c r="G84" s="6"/>
    </row>
    <row r="85" spans="1:17" ht="16.5" x14ac:dyDescent="0.3">
      <c r="A85" s="2"/>
      <c r="B85" s="18"/>
      <c r="C85" s="6">
        <v>23.18</v>
      </c>
      <c r="D85" s="6">
        <v>24.27</v>
      </c>
      <c r="E85" s="6">
        <v>24.89</v>
      </c>
      <c r="F85" s="6">
        <v>27.36</v>
      </c>
      <c r="G85" s="6"/>
    </row>
    <row r="86" spans="1:17" ht="16.5" x14ac:dyDescent="0.3">
      <c r="A86" s="2"/>
      <c r="B86" s="18">
        <v>3</v>
      </c>
      <c r="C86" s="6">
        <v>3510</v>
      </c>
      <c r="D86" s="6">
        <v>4651</v>
      </c>
      <c r="E86" s="6">
        <v>4903</v>
      </c>
      <c r="F86" s="6">
        <v>4286</v>
      </c>
      <c r="G86" s="6">
        <v>17350</v>
      </c>
      <c r="I86" s="8">
        <f>C86</f>
        <v>3510</v>
      </c>
      <c r="J86" s="8">
        <f t="shared" ref="J86:L86" si="28">D86</f>
        <v>4651</v>
      </c>
      <c r="K86" s="8">
        <f t="shared" si="28"/>
        <v>4903</v>
      </c>
      <c r="L86" s="8">
        <f t="shared" si="28"/>
        <v>4286</v>
      </c>
    </row>
    <row r="87" spans="1:17" ht="16.5" x14ac:dyDescent="0.3">
      <c r="A87" s="2"/>
      <c r="B87" s="18"/>
      <c r="C87" s="6">
        <v>5.98</v>
      </c>
      <c r="D87" s="6">
        <v>7.93</v>
      </c>
      <c r="E87" s="6">
        <v>8.35</v>
      </c>
      <c r="F87" s="6">
        <v>7.3</v>
      </c>
      <c r="G87" s="6">
        <v>29.56</v>
      </c>
      <c r="I87" s="8">
        <f>C89</f>
        <v>32.6</v>
      </c>
      <c r="J87" s="8">
        <f>D89</f>
        <v>31.3</v>
      </c>
      <c r="K87" s="8">
        <f>E89</f>
        <v>29.48</v>
      </c>
      <c r="L87" s="8">
        <f>F89</f>
        <v>26.1</v>
      </c>
    </row>
    <row r="88" spans="1:17" ht="16.5" x14ac:dyDescent="0.3">
      <c r="A88" s="2"/>
      <c r="B88" s="18"/>
      <c r="C88" s="6">
        <v>20.23</v>
      </c>
      <c r="D88" s="6">
        <v>26.81</v>
      </c>
      <c r="E88" s="6">
        <v>28.26</v>
      </c>
      <c r="F88" s="6">
        <v>24.7</v>
      </c>
      <c r="G88" s="6"/>
    </row>
    <row r="89" spans="1:17" ht="16.5" x14ac:dyDescent="0.3">
      <c r="A89" s="2"/>
      <c r="B89" s="18"/>
      <c r="C89" s="6">
        <v>32.6</v>
      </c>
      <c r="D89" s="6">
        <v>31.3</v>
      </c>
      <c r="E89" s="6">
        <v>29.48</v>
      </c>
      <c r="F89" s="6">
        <v>26.1</v>
      </c>
      <c r="G89" s="6"/>
    </row>
    <row r="90" spans="1:17" ht="16.5" x14ac:dyDescent="0.3">
      <c r="A90" s="2"/>
      <c r="B90" s="18">
        <v>4</v>
      </c>
      <c r="C90" s="6">
        <v>3993</v>
      </c>
      <c r="D90" s="6">
        <v>4969</v>
      </c>
      <c r="E90" s="6">
        <v>5066</v>
      </c>
      <c r="F90" s="6">
        <v>4267</v>
      </c>
      <c r="G90" s="6">
        <v>18295</v>
      </c>
      <c r="I90" s="8">
        <f>C90</f>
        <v>3993</v>
      </c>
      <c r="J90" s="8">
        <f t="shared" ref="J90:L90" si="29">D90</f>
        <v>4969</v>
      </c>
      <c r="K90" s="8">
        <f t="shared" si="29"/>
        <v>5066</v>
      </c>
      <c r="L90" s="8">
        <f t="shared" si="29"/>
        <v>4267</v>
      </c>
    </row>
    <row r="91" spans="1:17" ht="16.5" x14ac:dyDescent="0.3">
      <c r="A91" s="2"/>
      <c r="B91" s="18"/>
      <c r="C91" s="6">
        <v>6.8</v>
      </c>
      <c r="D91" s="6">
        <v>8.4700000000000006</v>
      </c>
      <c r="E91" s="6">
        <v>8.6300000000000008</v>
      </c>
      <c r="F91" s="6">
        <v>7.27</v>
      </c>
      <c r="G91" s="6">
        <v>31.17</v>
      </c>
      <c r="I91" s="8">
        <f>C93</f>
        <v>37.08</v>
      </c>
      <c r="J91" s="8">
        <f>D93</f>
        <v>33.44</v>
      </c>
      <c r="K91" s="8">
        <f>E93</f>
        <v>30.46</v>
      </c>
      <c r="L91" s="8">
        <f>F93</f>
        <v>25.98</v>
      </c>
    </row>
    <row r="92" spans="1:17" ht="16.5" x14ac:dyDescent="0.3">
      <c r="A92" s="2"/>
      <c r="B92" s="18"/>
      <c r="C92" s="6">
        <v>21.83</v>
      </c>
      <c r="D92" s="6">
        <v>27.16</v>
      </c>
      <c r="E92" s="6">
        <v>27.69</v>
      </c>
      <c r="F92" s="6">
        <v>23.32</v>
      </c>
      <c r="G92" s="6"/>
    </row>
    <row r="93" spans="1:17" ht="16.5" x14ac:dyDescent="0.3">
      <c r="A93" s="2"/>
      <c r="B93" s="18"/>
      <c r="C93" s="6">
        <v>37.08</v>
      </c>
      <c r="D93" s="6">
        <v>33.44</v>
      </c>
      <c r="E93" s="6">
        <v>30.46</v>
      </c>
      <c r="F93" s="6">
        <v>25.98</v>
      </c>
      <c r="G93" s="6"/>
    </row>
    <row r="94" spans="1:17" ht="15.75" customHeight="1" x14ac:dyDescent="0.3">
      <c r="A94" s="2"/>
      <c r="B94" s="18" t="s">
        <v>22</v>
      </c>
      <c r="C94" s="6">
        <v>10768</v>
      </c>
      <c r="D94" s="6">
        <v>14860</v>
      </c>
      <c r="E94" s="6">
        <v>16634</v>
      </c>
      <c r="F94" s="6">
        <v>16424</v>
      </c>
      <c r="G94" s="6">
        <v>58686</v>
      </c>
    </row>
    <row r="95" spans="1:17" ht="16.5" x14ac:dyDescent="0.3">
      <c r="A95" s="2"/>
      <c r="B95" s="18"/>
      <c r="C95" s="6">
        <v>18.350000000000001</v>
      </c>
      <c r="D95" s="6">
        <v>25.32</v>
      </c>
      <c r="E95" s="6">
        <v>28.34</v>
      </c>
      <c r="F95" s="6">
        <v>27.99</v>
      </c>
      <c r="G95" s="6">
        <v>100</v>
      </c>
    </row>
    <row r="96" spans="1:17" ht="16.5" x14ac:dyDescent="0.3">
      <c r="A96" s="2"/>
      <c r="B96" s="26"/>
      <c r="C96" s="26"/>
      <c r="D96" s="26"/>
      <c r="E96" s="26"/>
      <c r="F96" s="26"/>
      <c r="G96" s="26"/>
    </row>
    <row r="97" spans="1:17" ht="17.25" thickBot="1" x14ac:dyDescent="0.35">
      <c r="A97"/>
      <c r="B97"/>
      <c r="C97"/>
      <c r="D97"/>
      <c r="E97"/>
      <c r="F97"/>
      <c r="G97"/>
    </row>
    <row r="98" spans="1:17" ht="16.5" customHeight="1" x14ac:dyDescent="0.3">
      <c r="A98" s="5" t="s">
        <v>2</v>
      </c>
      <c r="B98" s="17" t="s">
        <v>113</v>
      </c>
      <c r="C98" s="19"/>
      <c r="D98" s="19"/>
      <c r="E98" s="19"/>
      <c r="F98" s="19"/>
      <c r="G98" s="19"/>
    </row>
    <row r="99" spans="1:17" ht="16.5" customHeight="1" x14ac:dyDescent="0.3">
      <c r="A99" s="4" t="s">
        <v>3</v>
      </c>
      <c r="B99" s="18" t="s">
        <v>8</v>
      </c>
      <c r="C99" s="20" t="s">
        <v>108</v>
      </c>
      <c r="D99" s="20"/>
      <c r="E99" s="20"/>
      <c r="F99" s="20"/>
      <c r="G99" s="20"/>
    </row>
    <row r="100" spans="1:17" ht="16.5" x14ac:dyDescent="0.3">
      <c r="A100" s="4" t="s">
        <v>19</v>
      </c>
      <c r="B100" s="18"/>
      <c r="C100" s="3">
        <v>1</v>
      </c>
      <c r="D100" s="3">
        <v>2</v>
      </c>
      <c r="E100" s="3">
        <v>3</v>
      </c>
      <c r="F100" s="3">
        <v>4</v>
      </c>
      <c r="G100" s="3" t="s">
        <v>22</v>
      </c>
    </row>
    <row r="101" spans="1:17" ht="33" x14ac:dyDescent="0.3">
      <c r="A101" s="4" t="s">
        <v>20</v>
      </c>
      <c r="B101" s="18">
        <v>1</v>
      </c>
      <c r="C101" s="6">
        <v>744</v>
      </c>
      <c r="D101" s="6">
        <v>618</v>
      </c>
      <c r="E101" s="6">
        <v>288</v>
      </c>
      <c r="F101" s="6">
        <v>125</v>
      </c>
      <c r="G101" s="6">
        <v>1775</v>
      </c>
      <c r="I101" s="8">
        <f>C101</f>
        <v>744</v>
      </c>
      <c r="J101" s="8">
        <f t="shared" ref="J101:L101" si="30">D101</f>
        <v>618</v>
      </c>
      <c r="K101" s="8">
        <f t="shared" si="30"/>
        <v>288</v>
      </c>
      <c r="L101" s="8">
        <f t="shared" si="30"/>
        <v>125</v>
      </c>
      <c r="N101" s="8" t="str">
        <f>TEXT(I101,"#,##0")&amp;" ("&amp;TEXT(I102,"0.00")&amp;")"</f>
        <v>744 (6.91)</v>
      </c>
      <c r="O101" s="8" t="str">
        <f t="shared" ref="O101:Q101" si="31">TEXT(J101,"#,##0")&amp;" ("&amp;TEXT(J102,"0.00")&amp;")"</f>
        <v>618 (4.16)</v>
      </c>
      <c r="P101" s="8" t="str">
        <f t="shared" si="31"/>
        <v>288 (1.73)</v>
      </c>
      <c r="Q101" s="8" t="str">
        <f t="shared" si="31"/>
        <v>125 (0.76)</v>
      </c>
    </row>
    <row r="102" spans="1:17" ht="16.5" x14ac:dyDescent="0.3">
      <c r="A102" s="2"/>
      <c r="B102" s="18"/>
      <c r="C102" s="6">
        <v>1.27</v>
      </c>
      <c r="D102" s="6">
        <v>1.05</v>
      </c>
      <c r="E102" s="6">
        <v>0.49</v>
      </c>
      <c r="F102" s="6">
        <v>0.21</v>
      </c>
      <c r="G102" s="6">
        <v>3.02</v>
      </c>
      <c r="I102" s="8">
        <f>C104</f>
        <v>6.91</v>
      </c>
      <c r="J102" s="8">
        <f>D104</f>
        <v>4.16</v>
      </c>
      <c r="K102" s="8">
        <f>E104</f>
        <v>1.73</v>
      </c>
      <c r="L102" s="8">
        <f>F104</f>
        <v>0.76</v>
      </c>
      <c r="N102" s="8" t="str">
        <f>TEXT(I105,"#,##0")&amp;" ("&amp;TEXT(I106,"0.00")&amp;")"</f>
        <v>6,455 (59.95)</v>
      </c>
      <c r="O102" s="8" t="str">
        <f t="shared" ref="O102:Q102" si="32">TEXT(J105,"#,##0")&amp;" ("&amp;TEXT(J106,"0.00")&amp;")"</f>
        <v>6,520 (43.88)</v>
      </c>
      <c r="P102" s="8" t="str">
        <f t="shared" si="32"/>
        <v>5,128 (30.83)</v>
      </c>
      <c r="Q102" s="8" t="str">
        <f t="shared" si="32"/>
        <v>3,770 (22.95)</v>
      </c>
    </row>
    <row r="103" spans="1:17" ht="16.5" x14ac:dyDescent="0.3">
      <c r="A103" s="2"/>
      <c r="B103" s="18"/>
      <c r="C103" s="6">
        <v>41.92</v>
      </c>
      <c r="D103" s="6">
        <v>34.82</v>
      </c>
      <c r="E103" s="6">
        <v>16.23</v>
      </c>
      <c r="F103" s="6">
        <v>7.04</v>
      </c>
      <c r="G103" s="6"/>
      <c r="N103" s="8" t="str">
        <f>TEXT(I109,"#,##0")&amp;" ("&amp;TEXT(I110,"0.00")&amp;")"</f>
        <v>2,072 (19.24)</v>
      </c>
      <c r="O103" s="8" t="str">
        <f t="shared" ref="O103:Q103" si="33">TEXT(J109,"#,##0")&amp;" ("&amp;TEXT(J110,"0.00")&amp;")"</f>
        <v>3,669 (24.69)</v>
      </c>
      <c r="P103" s="8" t="str">
        <f t="shared" si="33"/>
        <v>4,380 (26.33)</v>
      </c>
      <c r="Q103" s="8" t="str">
        <f t="shared" si="33"/>
        <v>4,242 (25.83)</v>
      </c>
    </row>
    <row r="104" spans="1:17" ht="16.5" x14ac:dyDescent="0.3">
      <c r="A104" s="2"/>
      <c r="B104" s="18"/>
      <c r="C104" s="6">
        <v>6.91</v>
      </c>
      <c r="D104" s="6">
        <v>4.16</v>
      </c>
      <c r="E104" s="6">
        <v>1.73</v>
      </c>
      <c r="F104" s="6">
        <v>0.76</v>
      </c>
      <c r="G104" s="6"/>
      <c r="N104" s="8" t="str">
        <f>TEXT(I113,"#,##0")&amp;" ("&amp;TEXT(I114,"0.00")&amp;")"</f>
        <v>1,497 (13.90)</v>
      </c>
      <c r="O104" s="8" t="str">
        <f t="shared" ref="O104:Q104" si="34">TEXT(J113,"#,##0")&amp;" ("&amp;TEXT(J114,"0.00")&amp;")"</f>
        <v>4,053 (27.27)</v>
      </c>
      <c r="P104" s="8" t="str">
        <f t="shared" si="34"/>
        <v>6,838 (41.11)</v>
      </c>
      <c r="Q104" s="8" t="str">
        <f t="shared" si="34"/>
        <v>8,287 (50.46)</v>
      </c>
    </row>
    <row r="105" spans="1:17" ht="16.5" x14ac:dyDescent="0.3">
      <c r="A105" s="2"/>
      <c r="B105" s="18">
        <v>2</v>
      </c>
      <c r="C105" s="6">
        <v>6455</v>
      </c>
      <c r="D105" s="6">
        <v>6520</v>
      </c>
      <c r="E105" s="6">
        <v>5128</v>
      </c>
      <c r="F105" s="6">
        <v>3770</v>
      </c>
      <c r="G105" s="6">
        <v>21873</v>
      </c>
      <c r="I105" s="8">
        <f>C105</f>
        <v>6455</v>
      </c>
      <c r="J105" s="8">
        <f t="shared" ref="J105:L105" si="35">D105</f>
        <v>6520</v>
      </c>
      <c r="K105" s="8">
        <f t="shared" si="35"/>
        <v>5128</v>
      </c>
      <c r="L105" s="8">
        <f t="shared" si="35"/>
        <v>3770</v>
      </c>
    </row>
    <row r="106" spans="1:17" ht="16.5" x14ac:dyDescent="0.3">
      <c r="A106" s="2"/>
      <c r="B106" s="18"/>
      <c r="C106" s="6">
        <v>11</v>
      </c>
      <c r="D106" s="6">
        <v>11.11</v>
      </c>
      <c r="E106" s="6">
        <v>8.74</v>
      </c>
      <c r="F106" s="6">
        <v>6.42</v>
      </c>
      <c r="G106" s="6">
        <v>37.270000000000003</v>
      </c>
      <c r="I106" s="8">
        <f>C108</f>
        <v>59.95</v>
      </c>
      <c r="J106" s="8">
        <f>D108</f>
        <v>43.88</v>
      </c>
      <c r="K106" s="8">
        <f>E108</f>
        <v>30.83</v>
      </c>
      <c r="L106" s="8">
        <f>F108</f>
        <v>22.95</v>
      </c>
    </row>
    <row r="107" spans="1:17" ht="16.5" x14ac:dyDescent="0.3">
      <c r="A107" s="2"/>
      <c r="B107" s="18"/>
      <c r="C107" s="6">
        <v>29.51</v>
      </c>
      <c r="D107" s="6">
        <v>29.81</v>
      </c>
      <c r="E107" s="6">
        <v>23.44</v>
      </c>
      <c r="F107" s="6">
        <v>17.239999999999998</v>
      </c>
      <c r="G107" s="6"/>
    </row>
    <row r="108" spans="1:17" ht="16.5" x14ac:dyDescent="0.3">
      <c r="A108" s="2"/>
      <c r="B108" s="18"/>
      <c r="C108" s="6">
        <v>59.95</v>
      </c>
      <c r="D108" s="6">
        <v>43.88</v>
      </c>
      <c r="E108" s="6">
        <v>30.83</v>
      </c>
      <c r="F108" s="6">
        <v>22.95</v>
      </c>
      <c r="G108" s="6"/>
    </row>
    <row r="109" spans="1:17" ht="16.5" x14ac:dyDescent="0.3">
      <c r="A109" s="2"/>
      <c r="B109" s="18">
        <v>3</v>
      </c>
      <c r="C109" s="6">
        <v>2072</v>
      </c>
      <c r="D109" s="6">
        <v>3669</v>
      </c>
      <c r="E109" s="6">
        <v>4380</v>
      </c>
      <c r="F109" s="6">
        <v>4242</v>
      </c>
      <c r="G109" s="6">
        <v>14363</v>
      </c>
      <c r="I109" s="8">
        <f>C109</f>
        <v>2072</v>
      </c>
      <c r="J109" s="8">
        <f t="shared" ref="J109:L109" si="36">D109</f>
        <v>3669</v>
      </c>
      <c r="K109" s="8">
        <f t="shared" si="36"/>
        <v>4380</v>
      </c>
      <c r="L109" s="8">
        <f t="shared" si="36"/>
        <v>4242</v>
      </c>
    </row>
    <row r="110" spans="1:17" ht="16.5" x14ac:dyDescent="0.3">
      <c r="A110" s="2"/>
      <c r="B110" s="18"/>
      <c r="C110" s="6">
        <v>3.53</v>
      </c>
      <c r="D110" s="6">
        <v>6.25</v>
      </c>
      <c r="E110" s="6">
        <v>7.46</v>
      </c>
      <c r="F110" s="6">
        <v>7.23</v>
      </c>
      <c r="G110" s="6">
        <v>24.47</v>
      </c>
      <c r="I110" s="8">
        <f>C112</f>
        <v>19.239999999999998</v>
      </c>
      <c r="J110" s="8">
        <f>D112</f>
        <v>24.69</v>
      </c>
      <c r="K110" s="8">
        <f>E112</f>
        <v>26.33</v>
      </c>
      <c r="L110" s="8">
        <f>F112</f>
        <v>25.83</v>
      </c>
    </row>
    <row r="111" spans="1:17" ht="16.5" x14ac:dyDescent="0.3">
      <c r="A111" s="2"/>
      <c r="B111" s="18"/>
      <c r="C111" s="6">
        <v>14.43</v>
      </c>
      <c r="D111" s="6">
        <v>25.54</v>
      </c>
      <c r="E111" s="6">
        <v>30.5</v>
      </c>
      <c r="F111" s="6">
        <v>29.53</v>
      </c>
      <c r="G111" s="6"/>
    </row>
    <row r="112" spans="1:17" ht="16.5" x14ac:dyDescent="0.3">
      <c r="A112" s="2"/>
      <c r="B112" s="18"/>
      <c r="C112" s="6">
        <v>19.239999999999998</v>
      </c>
      <c r="D112" s="6">
        <v>24.69</v>
      </c>
      <c r="E112" s="6">
        <v>26.33</v>
      </c>
      <c r="F112" s="6">
        <v>25.83</v>
      </c>
      <c r="G112" s="6"/>
    </row>
    <row r="113" spans="1:17" ht="16.5" x14ac:dyDescent="0.3">
      <c r="A113" s="2"/>
      <c r="B113" s="18">
        <v>4</v>
      </c>
      <c r="C113" s="6">
        <v>1497</v>
      </c>
      <c r="D113" s="6">
        <v>4053</v>
      </c>
      <c r="E113" s="6">
        <v>6838</v>
      </c>
      <c r="F113" s="6">
        <v>8287</v>
      </c>
      <c r="G113" s="6">
        <v>20675</v>
      </c>
      <c r="I113" s="8">
        <f>C113</f>
        <v>1497</v>
      </c>
      <c r="J113" s="8">
        <f t="shared" ref="J113:L113" si="37">D113</f>
        <v>4053</v>
      </c>
      <c r="K113" s="8">
        <f t="shared" si="37"/>
        <v>6838</v>
      </c>
      <c r="L113" s="8">
        <f t="shared" si="37"/>
        <v>8287</v>
      </c>
    </row>
    <row r="114" spans="1:17" ht="16.5" x14ac:dyDescent="0.3">
      <c r="A114" s="2"/>
      <c r="B114" s="18"/>
      <c r="C114" s="6">
        <v>2.5499999999999998</v>
      </c>
      <c r="D114" s="6">
        <v>6.91</v>
      </c>
      <c r="E114" s="6">
        <v>11.65</v>
      </c>
      <c r="F114" s="6">
        <v>14.12</v>
      </c>
      <c r="G114" s="6">
        <v>35.229999999999997</v>
      </c>
      <c r="I114" s="8">
        <f>C116</f>
        <v>13.9</v>
      </c>
      <c r="J114" s="8">
        <f>D116</f>
        <v>27.27</v>
      </c>
      <c r="K114" s="8">
        <f>E116</f>
        <v>41.11</v>
      </c>
      <c r="L114" s="8">
        <f>F116</f>
        <v>50.46</v>
      </c>
    </row>
    <row r="115" spans="1:17" ht="16.5" x14ac:dyDescent="0.3">
      <c r="A115" s="2"/>
      <c r="B115" s="18"/>
      <c r="C115" s="6">
        <v>7.24</v>
      </c>
      <c r="D115" s="6">
        <v>19.600000000000001</v>
      </c>
      <c r="E115" s="6">
        <v>33.07</v>
      </c>
      <c r="F115" s="6">
        <v>40.08</v>
      </c>
      <c r="G115" s="6"/>
    </row>
    <row r="116" spans="1:17" ht="16.5" x14ac:dyDescent="0.3">
      <c r="A116" s="2"/>
      <c r="B116" s="18"/>
      <c r="C116" s="6">
        <v>13.9</v>
      </c>
      <c r="D116" s="6">
        <v>27.27</v>
      </c>
      <c r="E116" s="6">
        <v>41.11</v>
      </c>
      <c r="F116" s="6">
        <v>50.46</v>
      </c>
      <c r="G116" s="6"/>
    </row>
    <row r="117" spans="1:17" ht="15.75" customHeight="1" x14ac:dyDescent="0.3">
      <c r="A117" s="2"/>
      <c r="B117" s="18" t="s">
        <v>22</v>
      </c>
      <c r="C117" s="6">
        <v>10768</v>
      </c>
      <c r="D117" s="6">
        <v>14860</v>
      </c>
      <c r="E117" s="6">
        <v>16634</v>
      </c>
      <c r="F117" s="6">
        <v>16424</v>
      </c>
      <c r="G117" s="6">
        <v>58686</v>
      </c>
    </row>
    <row r="118" spans="1:17" ht="16.5" x14ac:dyDescent="0.3">
      <c r="A118" s="2"/>
      <c r="B118" s="18"/>
      <c r="C118" s="6">
        <v>18.350000000000001</v>
      </c>
      <c r="D118" s="6">
        <v>25.32</v>
      </c>
      <c r="E118" s="6">
        <v>28.34</v>
      </c>
      <c r="F118" s="6">
        <v>27.99</v>
      </c>
      <c r="G118" s="6">
        <v>100</v>
      </c>
    </row>
    <row r="119" spans="1:17" ht="16.5" x14ac:dyDescent="0.3">
      <c r="A119" s="2"/>
      <c r="B119" s="26"/>
      <c r="C119" s="26"/>
      <c r="D119" s="26"/>
      <c r="E119" s="26"/>
      <c r="F119" s="26"/>
      <c r="G119" s="26"/>
    </row>
    <row r="120" spans="1:17" ht="17.25" thickBot="1" x14ac:dyDescent="0.35">
      <c r="A120"/>
      <c r="B120"/>
      <c r="C120"/>
      <c r="D120"/>
      <c r="E120"/>
      <c r="F120"/>
      <c r="G120"/>
    </row>
    <row r="121" spans="1:17" ht="16.5" customHeight="1" x14ac:dyDescent="0.3">
      <c r="A121" s="5" t="s">
        <v>2</v>
      </c>
      <c r="B121" s="17" t="s">
        <v>114</v>
      </c>
      <c r="C121" s="19"/>
      <c r="D121" s="19"/>
      <c r="E121" s="19"/>
      <c r="F121" s="19"/>
      <c r="G121" s="19"/>
    </row>
    <row r="122" spans="1:17" ht="16.5" customHeight="1" x14ac:dyDescent="0.3">
      <c r="A122" s="4" t="s">
        <v>3</v>
      </c>
      <c r="B122" s="18" t="s">
        <v>9</v>
      </c>
      <c r="C122" s="20" t="s">
        <v>108</v>
      </c>
      <c r="D122" s="20"/>
      <c r="E122" s="20"/>
      <c r="F122" s="20"/>
      <c r="G122" s="20"/>
    </row>
    <row r="123" spans="1:17" ht="16.5" x14ac:dyDescent="0.3">
      <c r="A123" s="4" t="s">
        <v>19</v>
      </c>
      <c r="B123" s="18"/>
      <c r="C123" s="3">
        <v>1</v>
      </c>
      <c r="D123" s="3">
        <v>2</v>
      </c>
      <c r="E123" s="3">
        <v>3</v>
      </c>
      <c r="F123" s="3">
        <v>4</v>
      </c>
      <c r="G123" s="3" t="s">
        <v>22</v>
      </c>
    </row>
    <row r="124" spans="1:17" ht="33" x14ac:dyDescent="0.3">
      <c r="A124" s="4" t="s">
        <v>20</v>
      </c>
      <c r="B124" s="18">
        <v>1</v>
      </c>
      <c r="C124" s="6">
        <v>9683</v>
      </c>
      <c r="D124" s="6">
        <v>13688</v>
      </c>
      <c r="E124" s="6">
        <v>15639</v>
      </c>
      <c r="F124" s="6">
        <v>15461</v>
      </c>
      <c r="G124" s="6">
        <v>54471</v>
      </c>
      <c r="I124" s="8">
        <f>C124</f>
        <v>9683</v>
      </c>
      <c r="J124" s="8">
        <f t="shared" ref="J124:L124" si="38">D124</f>
        <v>13688</v>
      </c>
      <c r="K124" s="8">
        <f t="shared" si="38"/>
        <v>15639</v>
      </c>
      <c r="L124" s="8">
        <f t="shared" si="38"/>
        <v>15461</v>
      </c>
      <c r="N124" s="8" t="str">
        <f>TEXT(I124,"#,##0")&amp;" ("&amp;TEXT(I125,"0.00")&amp;")"</f>
        <v>9,683 (89.92)</v>
      </c>
      <c r="O124" s="8" t="str">
        <f t="shared" ref="O124:Q124" si="39">TEXT(J124,"#,##0")&amp;" ("&amp;TEXT(J125,"0.00")&amp;")"</f>
        <v>13,688 (92.11)</v>
      </c>
      <c r="P124" s="8" t="str">
        <f t="shared" si="39"/>
        <v>15,639 (94.02)</v>
      </c>
      <c r="Q124" s="8" t="str">
        <f t="shared" si="39"/>
        <v>15,461 (94.14)</v>
      </c>
    </row>
    <row r="125" spans="1:17" ht="16.5" x14ac:dyDescent="0.3">
      <c r="A125" s="2"/>
      <c r="B125" s="18"/>
      <c r="C125" s="6">
        <v>16.5</v>
      </c>
      <c r="D125" s="6">
        <v>23.32</v>
      </c>
      <c r="E125" s="6">
        <v>26.65</v>
      </c>
      <c r="F125" s="6">
        <v>26.35</v>
      </c>
      <c r="G125" s="6">
        <v>92.82</v>
      </c>
      <c r="I125" s="8">
        <f>C127</f>
        <v>89.92</v>
      </c>
      <c r="J125" s="8">
        <f>D127</f>
        <v>92.11</v>
      </c>
      <c r="K125" s="8">
        <f>E127</f>
        <v>94.02</v>
      </c>
      <c r="L125" s="8">
        <f>F127</f>
        <v>94.14</v>
      </c>
      <c r="N125" s="8" t="str">
        <f>TEXT(I128,"#,##0")&amp;" ("&amp;TEXT(I129,"0.00")&amp;")"</f>
        <v>1,085 (10.08)</v>
      </c>
      <c r="O125" s="8" t="str">
        <f t="shared" ref="O125:Q125" si="40">TEXT(J128,"#,##0")&amp;" ("&amp;TEXT(J129,"0.00")&amp;")"</f>
        <v>1,172 (7.89)</v>
      </c>
      <c r="P125" s="8" t="str">
        <f t="shared" si="40"/>
        <v>995 (5.98)</v>
      </c>
      <c r="Q125" s="8" t="str">
        <f t="shared" si="40"/>
        <v>963 (5.86)</v>
      </c>
    </row>
    <row r="126" spans="1:17" ht="16.5" x14ac:dyDescent="0.3">
      <c r="A126" s="2"/>
      <c r="B126" s="18"/>
      <c r="C126" s="6">
        <v>17.78</v>
      </c>
      <c r="D126" s="6">
        <v>25.13</v>
      </c>
      <c r="E126" s="6">
        <v>28.71</v>
      </c>
      <c r="F126" s="6">
        <v>28.38</v>
      </c>
      <c r="G126" s="6"/>
    </row>
    <row r="127" spans="1:17" ht="16.5" x14ac:dyDescent="0.3">
      <c r="A127" s="2"/>
      <c r="B127" s="18"/>
      <c r="C127" s="6">
        <v>89.92</v>
      </c>
      <c r="D127" s="6">
        <v>92.11</v>
      </c>
      <c r="E127" s="6">
        <v>94.02</v>
      </c>
      <c r="F127" s="6">
        <v>94.14</v>
      </c>
      <c r="G127" s="6"/>
    </row>
    <row r="128" spans="1:17" ht="16.5" x14ac:dyDescent="0.3">
      <c r="A128" s="2"/>
      <c r="B128" s="18">
        <v>2</v>
      </c>
      <c r="C128" s="6">
        <v>1085</v>
      </c>
      <c r="D128" s="6">
        <v>1172</v>
      </c>
      <c r="E128" s="6">
        <v>995</v>
      </c>
      <c r="F128" s="6">
        <v>963</v>
      </c>
      <c r="G128" s="6">
        <v>4215</v>
      </c>
      <c r="I128" s="8">
        <f>C128</f>
        <v>1085</v>
      </c>
      <c r="J128" s="8">
        <f t="shared" ref="J128:L128" si="41">D128</f>
        <v>1172</v>
      </c>
      <c r="K128" s="8">
        <f t="shared" si="41"/>
        <v>995</v>
      </c>
      <c r="L128" s="8">
        <f t="shared" si="41"/>
        <v>963</v>
      </c>
    </row>
    <row r="129" spans="1:17" ht="16.5" x14ac:dyDescent="0.3">
      <c r="A129" s="2"/>
      <c r="B129" s="18"/>
      <c r="C129" s="6">
        <v>1.85</v>
      </c>
      <c r="D129" s="6">
        <v>2</v>
      </c>
      <c r="E129" s="6">
        <v>1.7</v>
      </c>
      <c r="F129" s="6">
        <v>1.64</v>
      </c>
      <c r="G129" s="6">
        <v>7.18</v>
      </c>
      <c r="I129" s="8">
        <f>C131</f>
        <v>10.08</v>
      </c>
      <c r="J129" s="8">
        <f>D131</f>
        <v>7.89</v>
      </c>
      <c r="K129" s="8">
        <f>E131</f>
        <v>5.98</v>
      </c>
      <c r="L129" s="8">
        <f>F131</f>
        <v>5.86</v>
      </c>
    </row>
    <row r="130" spans="1:17" ht="16.5" x14ac:dyDescent="0.3">
      <c r="A130" s="2"/>
      <c r="B130" s="18"/>
      <c r="C130" s="6">
        <v>25.74</v>
      </c>
      <c r="D130" s="6">
        <v>27.81</v>
      </c>
      <c r="E130" s="6">
        <v>23.61</v>
      </c>
      <c r="F130" s="6">
        <v>22.85</v>
      </c>
      <c r="G130" s="6"/>
    </row>
    <row r="131" spans="1:17" ht="16.5" x14ac:dyDescent="0.3">
      <c r="A131" s="2"/>
      <c r="B131" s="18"/>
      <c r="C131" s="6">
        <v>10.08</v>
      </c>
      <c r="D131" s="6">
        <v>7.89</v>
      </c>
      <c r="E131" s="6">
        <v>5.98</v>
      </c>
      <c r="F131" s="6">
        <v>5.86</v>
      </c>
      <c r="G131" s="6"/>
    </row>
    <row r="132" spans="1:17" ht="15.75" customHeight="1" x14ac:dyDescent="0.3">
      <c r="A132" s="2"/>
      <c r="B132" s="18" t="s">
        <v>22</v>
      </c>
      <c r="C132" s="6">
        <v>10768</v>
      </c>
      <c r="D132" s="6">
        <v>14860</v>
      </c>
      <c r="E132" s="6">
        <v>16634</v>
      </c>
      <c r="F132" s="6">
        <v>16424</v>
      </c>
      <c r="G132" s="6">
        <v>58686</v>
      </c>
    </row>
    <row r="133" spans="1:17" ht="16.5" x14ac:dyDescent="0.3">
      <c r="A133" s="2"/>
      <c r="B133" s="18"/>
      <c r="C133" s="6">
        <v>18.350000000000001</v>
      </c>
      <c r="D133" s="6">
        <v>25.32</v>
      </c>
      <c r="E133" s="6">
        <v>28.34</v>
      </c>
      <c r="F133" s="6">
        <v>27.99</v>
      </c>
      <c r="G133" s="6">
        <v>100</v>
      </c>
    </row>
    <row r="134" spans="1:17" ht="16.5" x14ac:dyDescent="0.3">
      <c r="A134" s="2"/>
      <c r="B134" s="26"/>
      <c r="C134" s="26"/>
      <c r="D134" s="26"/>
      <c r="E134" s="26"/>
      <c r="F134" s="26"/>
      <c r="G134" s="26"/>
    </row>
    <row r="135" spans="1:17" ht="17.25" thickBot="1" x14ac:dyDescent="0.35">
      <c r="A135"/>
      <c r="B135"/>
      <c r="C135"/>
      <c r="D135"/>
      <c r="E135"/>
      <c r="F135"/>
      <c r="G135"/>
    </row>
    <row r="136" spans="1:17" ht="16.5" customHeight="1" x14ac:dyDescent="0.3">
      <c r="A136" s="5" t="s">
        <v>2</v>
      </c>
      <c r="B136" s="17" t="s">
        <v>115</v>
      </c>
      <c r="C136" s="19"/>
      <c r="D136" s="19"/>
      <c r="E136" s="19"/>
      <c r="F136" s="19"/>
      <c r="G136" s="19"/>
    </row>
    <row r="137" spans="1:17" ht="16.5" customHeight="1" x14ac:dyDescent="0.3">
      <c r="A137" s="4" t="s">
        <v>3</v>
      </c>
      <c r="B137" s="18" t="s">
        <v>10</v>
      </c>
      <c r="C137" s="20" t="s">
        <v>108</v>
      </c>
      <c r="D137" s="20"/>
      <c r="E137" s="20"/>
      <c r="F137" s="20"/>
      <c r="G137" s="20"/>
    </row>
    <row r="138" spans="1:17" ht="16.5" x14ac:dyDescent="0.3">
      <c r="A138" s="4" t="s">
        <v>19</v>
      </c>
      <c r="B138" s="18"/>
      <c r="C138" s="3">
        <v>1</v>
      </c>
      <c r="D138" s="3">
        <v>2</v>
      </c>
      <c r="E138" s="3">
        <v>3</v>
      </c>
      <c r="F138" s="3">
        <v>4</v>
      </c>
      <c r="G138" s="3" t="s">
        <v>22</v>
      </c>
    </row>
    <row r="139" spans="1:17" ht="33" x14ac:dyDescent="0.3">
      <c r="A139" s="4" t="s">
        <v>20</v>
      </c>
      <c r="B139" s="18">
        <v>1</v>
      </c>
      <c r="C139" s="6">
        <v>4313</v>
      </c>
      <c r="D139" s="6">
        <v>5148</v>
      </c>
      <c r="E139" s="6">
        <v>5259</v>
      </c>
      <c r="F139" s="6">
        <v>4257</v>
      </c>
      <c r="G139" s="6">
        <v>18977</v>
      </c>
      <c r="I139" s="8">
        <f>C139</f>
        <v>4313</v>
      </c>
      <c r="J139" s="8">
        <f t="shared" ref="J139:L139" si="42">D139</f>
        <v>5148</v>
      </c>
      <c r="K139" s="8">
        <f t="shared" si="42"/>
        <v>5259</v>
      </c>
      <c r="L139" s="8">
        <f t="shared" si="42"/>
        <v>4257</v>
      </c>
      <c r="N139" s="8" t="str">
        <f>TEXT(I139,"#,##0")&amp;" ("&amp;TEXT(I140,"0.00")&amp;")"</f>
        <v>4,313 (40.05)</v>
      </c>
      <c r="O139" s="8" t="str">
        <f t="shared" ref="O139:Q139" si="43">TEXT(J139,"#,##0")&amp;" ("&amp;TEXT(J140,"0.00")&amp;")"</f>
        <v>5,148 (34.64)</v>
      </c>
      <c r="P139" s="8" t="str">
        <f t="shared" si="43"/>
        <v>5,259 (31.62)</v>
      </c>
      <c r="Q139" s="8" t="str">
        <f t="shared" si="43"/>
        <v>4,257 (25.92)</v>
      </c>
    </row>
    <row r="140" spans="1:17" ht="16.5" x14ac:dyDescent="0.3">
      <c r="A140" s="2"/>
      <c r="B140" s="18"/>
      <c r="C140" s="6">
        <v>7.35</v>
      </c>
      <c r="D140" s="6">
        <v>8.77</v>
      </c>
      <c r="E140" s="6">
        <v>8.9600000000000009</v>
      </c>
      <c r="F140" s="6">
        <v>7.25</v>
      </c>
      <c r="G140" s="6">
        <v>32.340000000000003</v>
      </c>
      <c r="I140" s="8">
        <f>C142</f>
        <v>40.049999999999997</v>
      </c>
      <c r="J140" s="8">
        <f>D142</f>
        <v>34.64</v>
      </c>
      <c r="K140" s="8">
        <f>E142</f>
        <v>31.62</v>
      </c>
      <c r="L140" s="8">
        <f>F142</f>
        <v>25.92</v>
      </c>
      <c r="N140" s="8" t="str">
        <f>TEXT(I143,"#,##0")&amp;" ("&amp;TEXT(I144,"0.00")&amp;")"</f>
        <v>5,124 (47.59)</v>
      </c>
      <c r="O140" s="8" t="str">
        <f t="shared" ref="O140:Q140" si="44">TEXT(J143,"#,##0")&amp;" ("&amp;TEXT(J144,"0.00")&amp;")"</f>
        <v>7,428 (49.99)</v>
      </c>
      <c r="P140" s="8" t="str">
        <f t="shared" si="44"/>
        <v>8,292 (49.85)</v>
      </c>
      <c r="Q140" s="8" t="str">
        <f t="shared" si="44"/>
        <v>8,156 (49.66)</v>
      </c>
    </row>
    <row r="141" spans="1:17" ht="16.5" x14ac:dyDescent="0.3">
      <c r="A141" s="2"/>
      <c r="B141" s="18"/>
      <c r="C141" s="6">
        <v>22.73</v>
      </c>
      <c r="D141" s="6">
        <v>27.13</v>
      </c>
      <c r="E141" s="6">
        <v>27.71</v>
      </c>
      <c r="F141" s="6">
        <v>22.43</v>
      </c>
      <c r="G141" s="6"/>
      <c r="N141" s="8" t="str">
        <f>TEXT(I147,"#,##0")&amp;" ("&amp;TEXT(I148,"0.00")&amp;")"</f>
        <v>1,331 (12.36)</v>
      </c>
      <c r="O141" s="8" t="str">
        <f t="shared" ref="O141:Q141" si="45">TEXT(J147,"#,##0")&amp;" ("&amp;TEXT(J148,"0.00")&amp;")"</f>
        <v>2,284 (15.37)</v>
      </c>
      <c r="P141" s="8" t="str">
        <f t="shared" si="45"/>
        <v>3,083 (18.53)</v>
      </c>
      <c r="Q141" s="8" t="str">
        <f t="shared" si="45"/>
        <v>4,011 (24.42)</v>
      </c>
    </row>
    <row r="142" spans="1:17" ht="16.5" x14ac:dyDescent="0.3">
      <c r="A142" s="2"/>
      <c r="B142" s="18"/>
      <c r="C142" s="6">
        <v>40.049999999999997</v>
      </c>
      <c r="D142" s="6">
        <v>34.64</v>
      </c>
      <c r="E142" s="6">
        <v>31.62</v>
      </c>
      <c r="F142" s="6">
        <v>25.92</v>
      </c>
      <c r="G142" s="6"/>
    </row>
    <row r="143" spans="1:17" ht="16.5" x14ac:dyDescent="0.3">
      <c r="A143" s="2"/>
      <c r="B143" s="18">
        <v>2</v>
      </c>
      <c r="C143" s="6">
        <v>5124</v>
      </c>
      <c r="D143" s="6">
        <v>7428</v>
      </c>
      <c r="E143" s="6">
        <v>8292</v>
      </c>
      <c r="F143" s="6">
        <v>8156</v>
      </c>
      <c r="G143" s="6">
        <v>29000</v>
      </c>
      <c r="I143" s="8">
        <f>C143</f>
        <v>5124</v>
      </c>
      <c r="J143" s="8">
        <f t="shared" ref="J143:L143" si="46">D143</f>
        <v>7428</v>
      </c>
      <c r="K143" s="8">
        <f t="shared" si="46"/>
        <v>8292</v>
      </c>
      <c r="L143" s="8">
        <f t="shared" si="46"/>
        <v>8156</v>
      </c>
    </row>
    <row r="144" spans="1:17" ht="16.5" x14ac:dyDescent="0.3">
      <c r="A144" s="2"/>
      <c r="B144" s="18"/>
      <c r="C144" s="6">
        <v>8.73</v>
      </c>
      <c r="D144" s="6">
        <v>12.66</v>
      </c>
      <c r="E144" s="6">
        <v>14.13</v>
      </c>
      <c r="F144" s="6">
        <v>13.9</v>
      </c>
      <c r="G144" s="6">
        <v>49.42</v>
      </c>
      <c r="I144" s="8">
        <f>C146</f>
        <v>47.59</v>
      </c>
      <c r="J144" s="8">
        <f>D146</f>
        <v>49.99</v>
      </c>
      <c r="K144" s="8">
        <f>E146</f>
        <v>49.85</v>
      </c>
      <c r="L144" s="8">
        <f>F146</f>
        <v>49.66</v>
      </c>
    </row>
    <row r="145" spans="1:17" ht="16.5" x14ac:dyDescent="0.3">
      <c r="A145" s="2"/>
      <c r="B145" s="18"/>
      <c r="C145" s="6">
        <v>17.670000000000002</v>
      </c>
      <c r="D145" s="6">
        <v>25.61</v>
      </c>
      <c r="E145" s="6">
        <v>28.59</v>
      </c>
      <c r="F145" s="6">
        <v>28.12</v>
      </c>
      <c r="G145" s="6"/>
    </row>
    <row r="146" spans="1:17" ht="16.5" x14ac:dyDescent="0.3">
      <c r="A146" s="2"/>
      <c r="B146" s="18"/>
      <c r="C146" s="6">
        <v>47.59</v>
      </c>
      <c r="D146" s="6">
        <v>49.99</v>
      </c>
      <c r="E146" s="6">
        <v>49.85</v>
      </c>
      <c r="F146" s="6">
        <v>49.66</v>
      </c>
      <c r="G146" s="6"/>
    </row>
    <row r="147" spans="1:17" ht="16.5" x14ac:dyDescent="0.3">
      <c r="A147" s="2"/>
      <c r="B147" s="18">
        <v>3</v>
      </c>
      <c r="C147" s="6">
        <v>1331</v>
      </c>
      <c r="D147" s="6">
        <v>2284</v>
      </c>
      <c r="E147" s="6">
        <v>3083</v>
      </c>
      <c r="F147" s="6">
        <v>4011</v>
      </c>
      <c r="G147" s="6">
        <v>10709</v>
      </c>
      <c r="I147" s="8">
        <f>C147</f>
        <v>1331</v>
      </c>
      <c r="J147" s="8">
        <f t="shared" ref="J147:L147" si="47">D147</f>
        <v>2284</v>
      </c>
      <c r="K147" s="8">
        <f t="shared" si="47"/>
        <v>3083</v>
      </c>
      <c r="L147" s="8">
        <f t="shared" si="47"/>
        <v>4011</v>
      </c>
    </row>
    <row r="148" spans="1:17" ht="16.5" x14ac:dyDescent="0.3">
      <c r="A148" s="2"/>
      <c r="B148" s="18"/>
      <c r="C148" s="6">
        <v>2.27</v>
      </c>
      <c r="D148" s="6">
        <v>3.89</v>
      </c>
      <c r="E148" s="6">
        <v>5.25</v>
      </c>
      <c r="F148" s="6">
        <v>6.83</v>
      </c>
      <c r="G148" s="6">
        <v>18.25</v>
      </c>
      <c r="I148" s="8">
        <f>C150</f>
        <v>12.36</v>
      </c>
      <c r="J148" s="8">
        <f>D150</f>
        <v>15.37</v>
      </c>
      <c r="K148" s="8">
        <f>E150</f>
        <v>18.53</v>
      </c>
      <c r="L148" s="8">
        <f>F150</f>
        <v>24.42</v>
      </c>
    </row>
    <row r="149" spans="1:17" ht="16.5" x14ac:dyDescent="0.3">
      <c r="A149" s="2"/>
      <c r="B149" s="18"/>
      <c r="C149" s="6">
        <v>12.43</v>
      </c>
      <c r="D149" s="6">
        <v>21.33</v>
      </c>
      <c r="E149" s="6">
        <v>28.79</v>
      </c>
      <c r="F149" s="6">
        <v>37.450000000000003</v>
      </c>
      <c r="G149" s="6"/>
    </row>
    <row r="150" spans="1:17" ht="16.5" x14ac:dyDescent="0.3">
      <c r="A150" s="2"/>
      <c r="B150" s="18"/>
      <c r="C150" s="6">
        <v>12.36</v>
      </c>
      <c r="D150" s="6">
        <v>15.37</v>
      </c>
      <c r="E150" s="6">
        <v>18.53</v>
      </c>
      <c r="F150" s="6">
        <v>24.42</v>
      </c>
      <c r="G150" s="6"/>
    </row>
    <row r="151" spans="1:17" ht="15.75" customHeight="1" x14ac:dyDescent="0.3">
      <c r="A151" s="2"/>
      <c r="B151" s="18" t="s">
        <v>22</v>
      </c>
      <c r="C151" s="6">
        <v>10768</v>
      </c>
      <c r="D151" s="6">
        <v>14860</v>
      </c>
      <c r="E151" s="6">
        <v>16634</v>
      </c>
      <c r="F151" s="6">
        <v>16424</v>
      </c>
      <c r="G151" s="6">
        <v>58686</v>
      </c>
    </row>
    <row r="152" spans="1:17" ht="16.5" x14ac:dyDescent="0.3">
      <c r="A152" s="2"/>
      <c r="B152" s="18"/>
      <c r="C152" s="6">
        <v>18.350000000000001</v>
      </c>
      <c r="D152" s="6">
        <v>25.32</v>
      </c>
      <c r="E152" s="6">
        <v>28.34</v>
      </c>
      <c r="F152" s="6">
        <v>27.99</v>
      </c>
      <c r="G152" s="6">
        <v>100</v>
      </c>
    </row>
    <row r="153" spans="1:17" ht="16.5" x14ac:dyDescent="0.3">
      <c r="A153" s="2"/>
      <c r="B153" s="26"/>
      <c r="C153" s="26"/>
      <c r="D153" s="26"/>
      <c r="E153" s="26"/>
      <c r="F153" s="26"/>
      <c r="G153" s="26"/>
    </row>
    <row r="154" spans="1:17" ht="17.25" thickBot="1" x14ac:dyDescent="0.35">
      <c r="A154"/>
      <c r="B154"/>
      <c r="C154"/>
      <c r="D154"/>
      <c r="E154"/>
      <c r="F154"/>
      <c r="G154"/>
    </row>
    <row r="155" spans="1:17" ht="16.5" customHeight="1" x14ac:dyDescent="0.3">
      <c r="A155" s="5" t="s">
        <v>2</v>
      </c>
      <c r="B155" s="17" t="s">
        <v>116</v>
      </c>
      <c r="C155" s="19"/>
      <c r="D155" s="19"/>
      <c r="E155" s="19"/>
      <c r="F155" s="19"/>
      <c r="G155" s="19"/>
    </row>
    <row r="156" spans="1:17" ht="16.5" customHeight="1" x14ac:dyDescent="0.3">
      <c r="A156" s="4" t="s">
        <v>3</v>
      </c>
      <c r="B156" s="18" t="s">
        <v>11</v>
      </c>
      <c r="C156" s="20" t="s">
        <v>108</v>
      </c>
      <c r="D156" s="20"/>
      <c r="E156" s="20"/>
      <c r="F156" s="20"/>
      <c r="G156" s="20"/>
    </row>
    <row r="157" spans="1:17" ht="16.5" x14ac:dyDescent="0.3">
      <c r="A157" s="4" t="s">
        <v>19</v>
      </c>
      <c r="B157" s="18"/>
      <c r="C157" s="3">
        <v>1</v>
      </c>
      <c r="D157" s="3">
        <v>2</v>
      </c>
      <c r="E157" s="3">
        <v>3</v>
      </c>
      <c r="F157" s="3">
        <v>4</v>
      </c>
      <c r="G157" s="3" t="s">
        <v>22</v>
      </c>
    </row>
    <row r="158" spans="1:17" ht="33" x14ac:dyDescent="0.3">
      <c r="A158" s="4" t="s">
        <v>20</v>
      </c>
      <c r="B158" s="18">
        <v>1</v>
      </c>
      <c r="C158" s="6">
        <v>2952</v>
      </c>
      <c r="D158" s="6">
        <v>3906</v>
      </c>
      <c r="E158" s="6">
        <v>4412</v>
      </c>
      <c r="F158" s="6">
        <v>4254</v>
      </c>
      <c r="G158" s="6">
        <v>15524</v>
      </c>
      <c r="I158" s="8">
        <f>C158</f>
        <v>2952</v>
      </c>
      <c r="J158" s="8">
        <f t="shared" ref="J158:L158" si="48">D158</f>
        <v>3906</v>
      </c>
      <c r="K158" s="8">
        <f t="shared" si="48"/>
        <v>4412</v>
      </c>
      <c r="L158" s="8">
        <f t="shared" si="48"/>
        <v>4254</v>
      </c>
      <c r="N158" s="8" t="str">
        <f>TEXT(I158,"#,##0")&amp;" ("&amp;TEXT(I159,"0.00")&amp;")"</f>
        <v>2,952 (27.41)</v>
      </c>
      <c r="O158" s="8" t="str">
        <f t="shared" ref="O158:Q158" si="49">TEXT(J158,"#,##0")&amp;" ("&amp;TEXT(J159,"0.00")&amp;")"</f>
        <v>3,906 (26.29)</v>
      </c>
      <c r="P158" s="8" t="str">
        <f t="shared" si="49"/>
        <v>4,412 (26.52)</v>
      </c>
      <c r="Q158" s="8" t="str">
        <f t="shared" si="49"/>
        <v>4,254 (25.90)</v>
      </c>
    </row>
    <row r="159" spans="1:17" ht="16.5" x14ac:dyDescent="0.3">
      <c r="A159" s="2"/>
      <c r="B159" s="18"/>
      <c r="C159" s="6">
        <v>5.03</v>
      </c>
      <c r="D159" s="6">
        <v>6.66</v>
      </c>
      <c r="E159" s="6">
        <v>7.52</v>
      </c>
      <c r="F159" s="6">
        <v>7.25</v>
      </c>
      <c r="G159" s="6">
        <v>26.45</v>
      </c>
      <c r="I159" s="8">
        <f>C161</f>
        <v>27.41</v>
      </c>
      <c r="J159" s="8">
        <f>D161</f>
        <v>26.29</v>
      </c>
      <c r="K159" s="8">
        <f>E161</f>
        <v>26.52</v>
      </c>
      <c r="L159" s="8">
        <f>F161</f>
        <v>25.9</v>
      </c>
      <c r="N159" s="8" t="str">
        <f>TEXT(I162,"#,##0")&amp;" ("&amp;TEXT(I163,"0.00")&amp;")"</f>
        <v>6,599 (61.28)</v>
      </c>
      <c r="O159" s="8" t="str">
        <f t="shared" ref="O159:Q159" si="50">TEXT(J162,"#,##0")&amp;" ("&amp;TEXT(J163,"0.00")&amp;")"</f>
        <v>8,954 (60.26)</v>
      </c>
      <c r="P159" s="8" t="str">
        <f t="shared" si="50"/>
        <v>9,708 (58.36)</v>
      </c>
      <c r="Q159" s="8" t="str">
        <f t="shared" si="50"/>
        <v>9,249 (56.31)</v>
      </c>
    </row>
    <row r="160" spans="1:17" ht="16.5" x14ac:dyDescent="0.3">
      <c r="A160" s="2"/>
      <c r="B160" s="18"/>
      <c r="C160" s="6">
        <v>19.02</v>
      </c>
      <c r="D160" s="6">
        <v>25.16</v>
      </c>
      <c r="E160" s="6">
        <v>28.42</v>
      </c>
      <c r="F160" s="6">
        <v>27.4</v>
      </c>
      <c r="G160" s="6"/>
      <c r="N160" s="8" t="str">
        <f>TEXT(I166,"#,##0")&amp;" ("&amp;TEXT(I167,"0.00")&amp;")"</f>
        <v>1,217 (11.30)</v>
      </c>
      <c r="O160" s="8" t="str">
        <f t="shared" ref="O160:Q160" si="51">TEXT(J166,"#,##0")&amp;" ("&amp;TEXT(J167,"0.00")&amp;")"</f>
        <v>2,000 (13.46)</v>
      </c>
      <c r="P160" s="8" t="str">
        <f t="shared" si="51"/>
        <v>2,514 (15.11)</v>
      </c>
      <c r="Q160" s="8" t="str">
        <f t="shared" si="51"/>
        <v>2,921 (17.78)</v>
      </c>
    </row>
    <row r="161" spans="1:12" ht="16.5" x14ac:dyDescent="0.3">
      <c r="A161" s="2"/>
      <c r="B161" s="18"/>
      <c r="C161" s="6">
        <v>27.41</v>
      </c>
      <c r="D161" s="6">
        <v>26.29</v>
      </c>
      <c r="E161" s="6">
        <v>26.52</v>
      </c>
      <c r="F161" s="6">
        <v>25.9</v>
      </c>
      <c r="G161" s="6"/>
    </row>
    <row r="162" spans="1:12" ht="16.5" x14ac:dyDescent="0.3">
      <c r="A162" s="2"/>
      <c r="B162" s="18">
        <v>2</v>
      </c>
      <c r="C162" s="6">
        <v>6599</v>
      </c>
      <c r="D162" s="6">
        <v>8954</v>
      </c>
      <c r="E162" s="6">
        <v>9708</v>
      </c>
      <c r="F162" s="6">
        <v>9249</v>
      </c>
      <c r="G162" s="6">
        <v>34510</v>
      </c>
      <c r="I162" s="8">
        <f>C162</f>
        <v>6599</v>
      </c>
      <c r="J162" s="8">
        <f t="shared" ref="J162:L162" si="52">D162</f>
        <v>8954</v>
      </c>
      <c r="K162" s="8">
        <f t="shared" si="52"/>
        <v>9708</v>
      </c>
      <c r="L162" s="8">
        <f t="shared" si="52"/>
        <v>9249</v>
      </c>
    </row>
    <row r="163" spans="1:12" ht="16.5" x14ac:dyDescent="0.3">
      <c r="A163" s="2"/>
      <c r="B163" s="18"/>
      <c r="C163" s="6">
        <v>11.24</v>
      </c>
      <c r="D163" s="6">
        <v>15.26</v>
      </c>
      <c r="E163" s="6">
        <v>16.54</v>
      </c>
      <c r="F163" s="6">
        <v>15.76</v>
      </c>
      <c r="G163" s="6">
        <v>58.8</v>
      </c>
      <c r="I163" s="8">
        <f>C165</f>
        <v>61.28</v>
      </c>
      <c r="J163" s="8">
        <f>D165</f>
        <v>60.26</v>
      </c>
      <c r="K163" s="8">
        <f>E165</f>
        <v>58.36</v>
      </c>
      <c r="L163" s="8">
        <f>F165</f>
        <v>56.31</v>
      </c>
    </row>
    <row r="164" spans="1:12" ht="16.5" x14ac:dyDescent="0.3">
      <c r="A164" s="2"/>
      <c r="B164" s="18"/>
      <c r="C164" s="6">
        <v>19.12</v>
      </c>
      <c r="D164" s="6">
        <v>25.95</v>
      </c>
      <c r="E164" s="6">
        <v>28.13</v>
      </c>
      <c r="F164" s="6">
        <v>26.8</v>
      </c>
      <c r="G164" s="6"/>
    </row>
    <row r="165" spans="1:12" ht="16.5" x14ac:dyDescent="0.3">
      <c r="A165" s="2"/>
      <c r="B165" s="18"/>
      <c r="C165" s="6">
        <v>61.28</v>
      </c>
      <c r="D165" s="6">
        <v>60.26</v>
      </c>
      <c r="E165" s="6">
        <v>58.36</v>
      </c>
      <c r="F165" s="6">
        <v>56.31</v>
      </c>
      <c r="G165" s="6"/>
    </row>
    <row r="166" spans="1:12" ht="16.5" x14ac:dyDescent="0.3">
      <c r="A166" s="2"/>
      <c r="B166" s="18">
        <v>3</v>
      </c>
      <c r="C166" s="6">
        <v>1217</v>
      </c>
      <c r="D166" s="6">
        <v>2000</v>
      </c>
      <c r="E166" s="6">
        <v>2514</v>
      </c>
      <c r="F166" s="6">
        <v>2921</v>
      </c>
      <c r="G166" s="6">
        <v>8652</v>
      </c>
      <c r="I166" s="8">
        <f>C166</f>
        <v>1217</v>
      </c>
      <c r="J166" s="8">
        <f t="shared" ref="J166:L166" si="53">D166</f>
        <v>2000</v>
      </c>
      <c r="K166" s="8">
        <f t="shared" si="53"/>
        <v>2514</v>
      </c>
      <c r="L166" s="8">
        <f t="shared" si="53"/>
        <v>2921</v>
      </c>
    </row>
    <row r="167" spans="1:12" ht="16.5" x14ac:dyDescent="0.3">
      <c r="A167" s="2"/>
      <c r="B167" s="18"/>
      <c r="C167" s="6">
        <v>2.0699999999999998</v>
      </c>
      <c r="D167" s="6">
        <v>3.41</v>
      </c>
      <c r="E167" s="6">
        <v>4.28</v>
      </c>
      <c r="F167" s="6">
        <v>4.9800000000000004</v>
      </c>
      <c r="G167" s="6">
        <v>14.74</v>
      </c>
      <c r="I167" s="8">
        <f>C169</f>
        <v>11.3</v>
      </c>
      <c r="J167" s="8">
        <f>D169</f>
        <v>13.46</v>
      </c>
      <c r="K167" s="8">
        <f>E169</f>
        <v>15.11</v>
      </c>
      <c r="L167" s="8">
        <f>F169</f>
        <v>17.78</v>
      </c>
    </row>
    <row r="168" spans="1:12" ht="16.5" x14ac:dyDescent="0.3">
      <c r="A168" s="2"/>
      <c r="B168" s="18"/>
      <c r="C168" s="6">
        <v>14.07</v>
      </c>
      <c r="D168" s="6">
        <v>23.12</v>
      </c>
      <c r="E168" s="6">
        <v>29.06</v>
      </c>
      <c r="F168" s="6">
        <v>33.76</v>
      </c>
      <c r="G168" s="6"/>
    </row>
    <row r="169" spans="1:12" ht="16.5" x14ac:dyDescent="0.3">
      <c r="A169" s="2"/>
      <c r="B169" s="18"/>
      <c r="C169" s="6">
        <v>11.3</v>
      </c>
      <c r="D169" s="6">
        <v>13.46</v>
      </c>
      <c r="E169" s="6">
        <v>15.11</v>
      </c>
      <c r="F169" s="6">
        <v>17.78</v>
      </c>
      <c r="G169" s="6"/>
    </row>
    <row r="170" spans="1:12" ht="15.75" customHeight="1" x14ac:dyDescent="0.3">
      <c r="A170" s="2"/>
      <c r="B170" s="18" t="s">
        <v>22</v>
      </c>
      <c r="C170" s="6">
        <v>10768</v>
      </c>
      <c r="D170" s="6">
        <v>14860</v>
      </c>
      <c r="E170" s="6">
        <v>16634</v>
      </c>
      <c r="F170" s="6">
        <v>16424</v>
      </c>
      <c r="G170" s="6">
        <v>58686</v>
      </c>
    </row>
    <row r="171" spans="1:12" ht="16.5" x14ac:dyDescent="0.3">
      <c r="A171" s="2"/>
      <c r="B171" s="18"/>
      <c r="C171" s="6">
        <v>18.350000000000001</v>
      </c>
      <c r="D171" s="6">
        <v>25.32</v>
      </c>
      <c r="E171" s="6">
        <v>28.34</v>
      </c>
      <c r="F171" s="6">
        <v>27.99</v>
      </c>
      <c r="G171" s="6">
        <v>100</v>
      </c>
    </row>
    <row r="172" spans="1:12" ht="16.5" x14ac:dyDescent="0.3">
      <c r="A172" s="2"/>
      <c r="B172" s="26"/>
      <c r="C172" s="26"/>
      <c r="D172" s="26"/>
      <c r="E172" s="26"/>
      <c r="F172" s="26"/>
      <c r="G172" s="26"/>
    </row>
    <row r="173" spans="1:12" ht="17.25" thickBot="1" x14ac:dyDescent="0.35">
      <c r="A173"/>
      <c r="B173"/>
      <c r="C173"/>
      <c r="D173"/>
      <c r="E173"/>
      <c r="F173"/>
      <c r="G173"/>
    </row>
    <row r="174" spans="1:12" ht="16.5" customHeight="1" x14ac:dyDescent="0.3">
      <c r="A174" s="5" t="s">
        <v>2</v>
      </c>
      <c r="B174" s="17" t="s">
        <v>117</v>
      </c>
      <c r="C174" s="19"/>
      <c r="D174" s="19"/>
      <c r="E174" s="19"/>
      <c r="F174" s="19"/>
      <c r="G174" s="19"/>
    </row>
    <row r="175" spans="1:12" ht="16.5" customHeight="1" x14ac:dyDescent="0.3">
      <c r="A175" s="4" t="s">
        <v>3</v>
      </c>
      <c r="B175" s="18" t="s">
        <v>12</v>
      </c>
      <c r="C175" s="20" t="s">
        <v>108</v>
      </c>
      <c r="D175" s="20"/>
      <c r="E175" s="20"/>
      <c r="F175" s="20"/>
      <c r="G175" s="20"/>
    </row>
    <row r="176" spans="1:12" ht="16.5" x14ac:dyDescent="0.3">
      <c r="A176" s="4" t="s">
        <v>19</v>
      </c>
      <c r="B176" s="18"/>
      <c r="C176" s="3">
        <v>1</v>
      </c>
      <c r="D176" s="3">
        <v>2</v>
      </c>
      <c r="E176" s="3">
        <v>3</v>
      </c>
      <c r="F176" s="3">
        <v>4</v>
      </c>
      <c r="G176" s="3" t="s">
        <v>22</v>
      </c>
    </row>
    <row r="177" spans="1:17" ht="33" x14ac:dyDescent="0.3">
      <c r="A177" s="4" t="s">
        <v>20</v>
      </c>
      <c r="B177" s="18">
        <v>1</v>
      </c>
      <c r="C177" s="6">
        <v>4686</v>
      </c>
      <c r="D177" s="6">
        <v>6211</v>
      </c>
      <c r="E177" s="6">
        <v>6479</v>
      </c>
      <c r="F177" s="6">
        <v>5699</v>
      </c>
      <c r="G177" s="6">
        <v>23075</v>
      </c>
      <c r="I177" s="8">
        <f>C177</f>
        <v>4686</v>
      </c>
      <c r="J177" s="8">
        <f t="shared" ref="J177:L177" si="54">D177</f>
        <v>6211</v>
      </c>
      <c r="K177" s="8">
        <f t="shared" si="54"/>
        <v>6479</v>
      </c>
      <c r="L177" s="8">
        <f t="shared" si="54"/>
        <v>5699</v>
      </c>
      <c r="N177" s="8" t="str">
        <f>TEXT(I177,"#,##0")&amp;" ("&amp;TEXT(I178,"0.00")&amp;")"</f>
        <v>4,686 (43.52)</v>
      </c>
      <c r="O177" s="8" t="str">
        <f t="shared" ref="O177:Q177" si="55">TEXT(J177,"#,##0")&amp;" ("&amp;TEXT(J178,"0.00")&amp;")"</f>
        <v>6,211 (41.80)</v>
      </c>
      <c r="P177" s="8" t="str">
        <f t="shared" si="55"/>
        <v>6,479 (38.95)</v>
      </c>
      <c r="Q177" s="8" t="str">
        <f t="shared" si="55"/>
        <v>5,699 (34.70)</v>
      </c>
    </row>
    <row r="178" spans="1:17" ht="16.5" x14ac:dyDescent="0.3">
      <c r="A178" s="2"/>
      <c r="B178" s="18"/>
      <c r="C178" s="6">
        <v>7.98</v>
      </c>
      <c r="D178" s="6">
        <v>10.58</v>
      </c>
      <c r="E178" s="6">
        <v>11.04</v>
      </c>
      <c r="F178" s="6">
        <v>9.7100000000000009</v>
      </c>
      <c r="G178" s="6">
        <v>39.32</v>
      </c>
      <c r="I178" s="8">
        <f>C180</f>
        <v>43.52</v>
      </c>
      <c r="J178" s="8">
        <f>D180</f>
        <v>41.8</v>
      </c>
      <c r="K178" s="8">
        <f>E180</f>
        <v>38.950000000000003</v>
      </c>
      <c r="L178" s="8">
        <f>F180</f>
        <v>34.700000000000003</v>
      </c>
      <c r="N178" s="8" t="str">
        <f>TEXT(I181,"#,##0")&amp;" ("&amp;TEXT(I182,"0.00")&amp;")"</f>
        <v>4,349 (40.39)</v>
      </c>
      <c r="O178" s="8" t="str">
        <f t="shared" ref="O178:Q178" si="56">TEXT(J181,"#,##0")&amp;" ("&amp;TEXT(J182,"0.00")&amp;")"</f>
        <v>5,526 (37.19)</v>
      </c>
      <c r="P178" s="8" t="str">
        <f t="shared" si="56"/>
        <v>5,795 (34.84)</v>
      </c>
      <c r="Q178" s="8" t="str">
        <f t="shared" si="56"/>
        <v>4,963 (30.22)</v>
      </c>
    </row>
    <row r="179" spans="1:17" ht="16.5" x14ac:dyDescent="0.3">
      <c r="A179" s="2"/>
      <c r="B179" s="18"/>
      <c r="C179" s="6">
        <v>20.309999999999999</v>
      </c>
      <c r="D179" s="6">
        <v>26.92</v>
      </c>
      <c r="E179" s="6">
        <v>28.08</v>
      </c>
      <c r="F179" s="6">
        <v>24.7</v>
      </c>
      <c r="G179" s="6"/>
      <c r="N179" s="8" t="str">
        <f>TEXT(I185,"#,##0")&amp;" ("&amp;TEXT(I186,"0.00")&amp;")"</f>
        <v>1,733 (16.09)</v>
      </c>
      <c r="O179" s="8" t="str">
        <f t="shared" ref="O179:Q179" si="57">TEXT(J185,"#,##0")&amp;" ("&amp;TEXT(J186,"0.00")&amp;")"</f>
        <v>3,123 (21.02)</v>
      </c>
      <c r="P179" s="8" t="str">
        <f t="shared" si="57"/>
        <v>4,360 (26.21)</v>
      </c>
      <c r="Q179" s="8" t="str">
        <f t="shared" si="57"/>
        <v>5,762 (35.08)</v>
      </c>
    </row>
    <row r="180" spans="1:17" ht="16.5" x14ac:dyDescent="0.3">
      <c r="A180" s="2"/>
      <c r="B180" s="18"/>
      <c r="C180" s="6">
        <v>43.52</v>
      </c>
      <c r="D180" s="6">
        <v>41.8</v>
      </c>
      <c r="E180" s="6">
        <v>38.950000000000003</v>
      </c>
      <c r="F180" s="6">
        <v>34.700000000000003</v>
      </c>
      <c r="G180" s="6"/>
    </row>
    <row r="181" spans="1:17" ht="16.5" x14ac:dyDescent="0.3">
      <c r="A181" s="2"/>
      <c r="B181" s="18">
        <v>2</v>
      </c>
      <c r="C181" s="6">
        <v>4349</v>
      </c>
      <c r="D181" s="6">
        <v>5526</v>
      </c>
      <c r="E181" s="6">
        <v>5795</v>
      </c>
      <c r="F181" s="6">
        <v>4963</v>
      </c>
      <c r="G181" s="6">
        <v>20633</v>
      </c>
      <c r="I181" s="8">
        <f>C181</f>
        <v>4349</v>
      </c>
      <c r="J181" s="8">
        <f t="shared" ref="J181:L181" si="58">D181</f>
        <v>5526</v>
      </c>
      <c r="K181" s="8">
        <f t="shared" si="58"/>
        <v>5795</v>
      </c>
      <c r="L181" s="8">
        <f t="shared" si="58"/>
        <v>4963</v>
      </c>
    </row>
    <row r="182" spans="1:17" ht="16.5" x14ac:dyDescent="0.3">
      <c r="A182" s="2"/>
      <c r="B182" s="18"/>
      <c r="C182" s="6">
        <v>7.41</v>
      </c>
      <c r="D182" s="6">
        <v>9.42</v>
      </c>
      <c r="E182" s="6">
        <v>9.8699999999999992</v>
      </c>
      <c r="F182" s="6">
        <v>8.4600000000000009</v>
      </c>
      <c r="G182" s="6">
        <v>35.159999999999997</v>
      </c>
      <c r="I182" s="8">
        <f>C184</f>
        <v>40.39</v>
      </c>
      <c r="J182" s="8">
        <f>D184</f>
        <v>37.19</v>
      </c>
      <c r="K182" s="8">
        <f>E184</f>
        <v>34.840000000000003</v>
      </c>
      <c r="L182" s="8">
        <f>F184</f>
        <v>30.22</v>
      </c>
    </row>
    <row r="183" spans="1:17" ht="16.5" x14ac:dyDescent="0.3">
      <c r="A183" s="2"/>
      <c r="B183" s="18"/>
      <c r="C183" s="6">
        <v>21.08</v>
      </c>
      <c r="D183" s="6">
        <v>26.78</v>
      </c>
      <c r="E183" s="6">
        <v>28.09</v>
      </c>
      <c r="F183" s="6">
        <v>24.05</v>
      </c>
      <c r="G183" s="6"/>
    </row>
    <row r="184" spans="1:17" ht="16.5" x14ac:dyDescent="0.3">
      <c r="A184" s="2"/>
      <c r="B184" s="18"/>
      <c r="C184" s="6">
        <v>40.39</v>
      </c>
      <c r="D184" s="6">
        <v>37.19</v>
      </c>
      <c r="E184" s="6">
        <v>34.840000000000003</v>
      </c>
      <c r="F184" s="6">
        <v>30.22</v>
      </c>
      <c r="G184" s="6"/>
    </row>
    <row r="185" spans="1:17" ht="16.5" x14ac:dyDescent="0.3">
      <c r="A185" s="2"/>
      <c r="B185" s="18">
        <v>3</v>
      </c>
      <c r="C185" s="6">
        <v>1733</v>
      </c>
      <c r="D185" s="6">
        <v>3123</v>
      </c>
      <c r="E185" s="6">
        <v>4360</v>
      </c>
      <c r="F185" s="6">
        <v>5762</v>
      </c>
      <c r="G185" s="6">
        <v>14978</v>
      </c>
      <c r="I185" s="8">
        <f>C185</f>
        <v>1733</v>
      </c>
      <c r="J185" s="8">
        <f t="shared" ref="J185:L185" si="59">D185</f>
        <v>3123</v>
      </c>
      <c r="K185" s="8">
        <f t="shared" si="59"/>
        <v>4360</v>
      </c>
      <c r="L185" s="8">
        <f t="shared" si="59"/>
        <v>5762</v>
      </c>
    </row>
    <row r="186" spans="1:17" ht="16.5" x14ac:dyDescent="0.3">
      <c r="A186" s="2"/>
      <c r="B186" s="18"/>
      <c r="C186" s="6">
        <v>2.95</v>
      </c>
      <c r="D186" s="6">
        <v>5.32</v>
      </c>
      <c r="E186" s="6">
        <v>7.43</v>
      </c>
      <c r="F186" s="6">
        <v>9.82</v>
      </c>
      <c r="G186" s="6">
        <v>25.52</v>
      </c>
      <c r="I186" s="8">
        <f>C188</f>
        <v>16.09</v>
      </c>
      <c r="J186" s="8">
        <f>D188</f>
        <v>21.02</v>
      </c>
      <c r="K186" s="8">
        <f>E188</f>
        <v>26.21</v>
      </c>
      <c r="L186" s="8">
        <f>F188</f>
        <v>35.08</v>
      </c>
    </row>
    <row r="187" spans="1:17" ht="16.5" x14ac:dyDescent="0.3">
      <c r="A187" s="2"/>
      <c r="B187" s="18"/>
      <c r="C187" s="6">
        <v>11.57</v>
      </c>
      <c r="D187" s="6">
        <v>20.85</v>
      </c>
      <c r="E187" s="6">
        <v>29.11</v>
      </c>
      <c r="F187" s="6">
        <v>38.47</v>
      </c>
      <c r="G187" s="6"/>
    </row>
    <row r="188" spans="1:17" ht="16.5" x14ac:dyDescent="0.3">
      <c r="A188" s="2"/>
      <c r="B188" s="18"/>
      <c r="C188" s="6">
        <v>16.09</v>
      </c>
      <c r="D188" s="6">
        <v>21.02</v>
      </c>
      <c r="E188" s="6">
        <v>26.21</v>
      </c>
      <c r="F188" s="6">
        <v>35.08</v>
      </c>
      <c r="G188" s="6"/>
    </row>
    <row r="189" spans="1:17" ht="15.75" customHeight="1" x14ac:dyDescent="0.3">
      <c r="A189" s="2"/>
      <c r="B189" s="18" t="s">
        <v>22</v>
      </c>
      <c r="C189" s="6">
        <v>10768</v>
      </c>
      <c r="D189" s="6">
        <v>14860</v>
      </c>
      <c r="E189" s="6">
        <v>16634</v>
      </c>
      <c r="F189" s="6">
        <v>16424</v>
      </c>
      <c r="G189" s="6">
        <v>58686</v>
      </c>
    </row>
    <row r="190" spans="1:17" ht="16.5" x14ac:dyDescent="0.3">
      <c r="A190" s="2"/>
      <c r="B190" s="18"/>
      <c r="C190" s="6">
        <v>18.350000000000001</v>
      </c>
      <c r="D190" s="6">
        <v>25.32</v>
      </c>
      <c r="E190" s="6">
        <v>28.34</v>
      </c>
      <c r="F190" s="6">
        <v>27.99</v>
      </c>
      <c r="G190" s="6">
        <v>100</v>
      </c>
    </row>
    <row r="191" spans="1:17" ht="16.5" x14ac:dyDescent="0.3">
      <c r="A191" s="2"/>
      <c r="B191" s="26"/>
      <c r="C191" s="26"/>
      <c r="D191" s="26"/>
      <c r="E191" s="26"/>
      <c r="F191" s="26"/>
      <c r="G191" s="26"/>
    </row>
    <row r="192" spans="1:17" ht="17.25" thickBot="1" x14ac:dyDescent="0.35">
      <c r="A192"/>
      <c r="B192"/>
      <c r="C192"/>
      <c r="D192"/>
      <c r="E192"/>
      <c r="F192"/>
      <c r="G192"/>
    </row>
    <row r="193" spans="1:17" ht="16.5" customHeight="1" x14ac:dyDescent="0.3">
      <c r="A193" s="5" t="s">
        <v>2</v>
      </c>
      <c r="B193" s="17" t="s">
        <v>118</v>
      </c>
      <c r="C193" s="19"/>
      <c r="D193" s="19"/>
      <c r="E193" s="19"/>
      <c r="F193" s="19"/>
      <c r="G193" s="19"/>
    </row>
    <row r="194" spans="1:17" ht="16.5" customHeight="1" x14ac:dyDescent="0.3">
      <c r="A194" s="4" t="s">
        <v>3</v>
      </c>
      <c r="B194" s="18" t="s">
        <v>13</v>
      </c>
      <c r="C194" s="20" t="s">
        <v>108</v>
      </c>
      <c r="D194" s="20"/>
      <c r="E194" s="20"/>
      <c r="F194" s="20"/>
      <c r="G194" s="20"/>
    </row>
    <row r="195" spans="1:17" ht="16.5" x14ac:dyDescent="0.3">
      <c r="A195" s="4" t="s">
        <v>19</v>
      </c>
      <c r="B195" s="18"/>
      <c r="C195" s="3">
        <v>1</v>
      </c>
      <c r="D195" s="3">
        <v>2</v>
      </c>
      <c r="E195" s="3">
        <v>3</v>
      </c>
      <c r="F195" s="3">
        <v>4</v>
      </c>
      <c r="G195" s="3" t="s">
        <v>22</v>
      </c>
    </row>
    <row r="196" spans="1:17" ht="33" x14ac:dyDescent="0.3">
      <c r="A196" s="4" t="s">
        <v>20</v>
      </c>
      <c r="B196" s="18">
        <v>0</v>
      </c>
      <c r="C196" s="6">
        <v>9371</v>
      </c>
      <c r="D196" s="6">
        <v>11893</v>
      </c>
      <c r="E196" s="6">
        <v>12299</v>
      </c>
      <c r="F196" s="6">
        <v>10684</v>
      </c>
      <c r="G196" s="6">
        <v>44247</v>
      </c>
      <c r="I196" s="8">
        <f>C196</f>
        <v>9371</v>
      </c>
      <c r="J196" s="8">
        <f t="shared" ref="J196:L196" si="60">D196</f>
        <v>11893</v>
      </c>
      <c r="K196" s="8">
        <f t="shared" si="60"/>
        <v>12299</v>
      </c>
      <c r="L196" s="8">
        <f t="shared" si="60"/>
        <v>10684</v>
      </c>
      <c r="N196" s="8" t="str">
        <f>TEXT(I196,"#,##0")&amp;" ("&amp;TEXT(I197,"0.00")&amp;")"</f>
        <v>9,371 (87.03)</v>
      </c>
      <c r="O196" s="8" t="str">
        <f t="shared" ref="O196:Q196" si="61">TEXT(J196,"#,##0")&amp;" ("&amp;TEXT(J197,"0.00")&amp;")"</f>
        <v>11,893 (80.03)</v>
      </c>
      <c r="P196" s="8" t="str">
        <f t="shared" si="61"/>
        <v>12,299 (73.94)</v>
      </c>
      <c r="Q196" s="8" t="str">
        <f t="shared" si="61"/>
        <v>10,684 (65.05)</v>
      </c>
    </row>
    <row r="197" spans="1:17" ht="16.5" x14ac:dyDescent="0.3">
      <c r="A197" s="2"/>
      <c r="B197" s="18"/>
      <c r="C197" s="6">
        <v>15.97</v>
      </c>
      <c r="D197" s="6">
        <v>20.27</v>
      </c>
      <c r="E197" s="6">
        <v>20.96</v>
      </c>
      <c r="F197" s="6">
        <v>18.21</v>
      </c>
      <c r="G197" s="6">
        <v>75.400000000000006</v>
      </c>
      <c r="I197" s="8">
        <f>C199</f>
        <v>87.03</v>
      </c>
      <c r="J197" s="8">
        <f>D199</f>
        <v>80.03</v>
      </c>
      <c r="K197" s="8">
        <f>E199</f>
        <v>73.94</v>
      </c>
      <c r="L197" s="8">
        <f>F199</f>
        <v>65.05</v>
      </c>
      <c r="N197" s="8" t="str">
        <f>TEXT(I200,"#,##0")&amp;" ("&amp;TEXT(I201,"0.00")&amp;")"</f>
        <v>1,397 (12.97)</v>
      </c>
      <c r="O197" s="8" t="str">
        <f t="shared" ref="O197:Q197" si="62">TEXT(J200,"#,##0")&amp;" ("&amp;TEXT(J201,"0.00")&amp;")"</f>
        <v>2,967 (19.97)</v>
      </c>
      <c r="P197" s="8" t="str">
        <f t="shared" si="62"/>
        <v>4,335 (26.06)</v>
      </c>
      <c r="Q197" s="8" t="str">
        <f t="shared" si="62"/>
        <v>5,740 (34.95)</v>
      </c>
    </row>
    <row r="198" spans="1:17" ht="16.5" x14ac:dyDescent="0.3">
      <c r="A198" s="2"/>
      <c r="B198" s="18"/>
      <c r="C198" s="6">
        <v>21.18</v>
      </c>
      <c r="D198" s="6">
        <v>26.88</v>
      </c>
      <c r="E198" s="6">
        <v>27.8</v>
      </c>
      <c r="F198" s="6">
        <v>24.15</v>
      </c>
      <c r="G198" s="6"/>
    </row>
    <row r="199" spans="1:17" ht="16.5" x14ac:dyDescent="0.3">
      <c r="A199" s="2"/>
      <c r="B199" s="18"/>
      <c r="C199" s="6">
        <v>87.03</v>
      </c>
      <c r="D199" s="6">
        <v>80.03</v>
      </c>
      <c r="E199" s="6">
        <v>73.94</v>
      </c>
      <c r="F199" s="6">
        <v>65.05</v>
      </c>
      <c r="G199" s="6"/>
    </row>
    <row r="200" spans="1:17" ht="16.5" x14ac:dyDescent="0.3">
      <c r="A200" s="2"/>
      <c r="B200" s="18">
        <v>1</v>
      </c>
      <c r="C200" s="6">
        <v>1397</v>
      </c>
      <c r="D200" s="6">
        <v>2967</v>
      </c>
      <c r="E200" s="6">
        <v>4335</v>
      </c>
      <c r="F200" s="6">
        <v>5740</v>
      </c>
      <c r="G200" s="6">
        <v>14439</v>
      </c>
      <c r="I200" s="8">
        <f>C200</f>
        <v>1397</v>
      </c>
      <c r="J200" s="8">
        <f t="shared" ref="J200:L200" si="63">D200</f>
        <v>2967</v>
      </c>
      <c r="K200" s="8">
        <f t="shared" si="63"/>
        <v>4335</v>
      </c>
      <c r="L200" s="8">
        <f t="shared" si="63"/>
        <v>5740</v>
      </c>
    </row>
    <row r="201" spans="1:17" ht="16.5" x14ac:dyDescent="0.3">
      <c r="A201" s="2"/>
      <c r="B201" s="18"/>
      <c r="C201" s="6">
        <v>2.38</v>
      </c>
      <c r="D201" s="6">
        <v>5.0599999999999996</v>
      </c>
      <c r="E201" s="6">
        <v>7.39</v>
      </c>
      <c r="F201" s="6">
        <v>9.7799999999999994</v>
      </c>
      <c r="G201" s="6">
        <v>24.6</v>
      </c>
      <c r="I201" s="8">
        <f>C203</f>
        <v>12.97</v>
      </c>
      <c r="J201" s="8">
        <f>D203</f>
        <v>19.97</v>
      </c>
      <c r="K201" s="8">
        <f>E203</f>
        <v>26.06</v>
      </c>
      <c r="L201" s="8">
        <f>F203</f>
        <v>34.950000000000003</v>
      </c>
    </row>
    <row r="202" spans="1:17" ht="16.5" x14ac:dyDescent="0.3">
      <c r="A202" s="2"/>
      <c r="B202" s="18"/>
      <c r="C202" s="6">
        <v>9.68</v>
      </c>
      <c r="D202" s="6">
        <v>20.55</v>
      </c>
      <c r="E202" s="6">
        <v>30.02</v>
      </c>
      <c r="F202" s="6">
        <v>39.75</v>
      </c>
      <c r="G202" s="6"/>
    </row>
    <row r="203" spans="1:17" ht="16.5" x14ac:dyDescent="0.3">
      <c r="A203" s="2"/>
      <c r="B203" s="18"/>
      <c r="C203" s="6">
        <v>12.97</v>
      </c>
      <c r="D203" s="6">
        <v>19.97</v>
      </c>
      <c r="E203" s="6">
        <v>26.06</v>
      </c>
      <c r="F203" s="6">
        <v>34.950000000000003</v>
      </c>
      <c r="G203" s="6"/>
    </row>
    <row r="204" spans="1:17" ht="15.75" customHeight="1" x14ac:dyDescent="0.3">
      <c r="A204" s="2"/>
      <c r="B204" s="18" t="s">
        <v>22</v>
      </c>
      <c r="C204" s="6">
        <v>10768</v>
      </c>
      <c r="D204" s="6">
        <v>14860</v>
      </c>
      <c r="E204" s="6">
        <v>16634</v>
      </c>
      <c r="F204" s="6">
        <v>16424</v>
      </c>
      <c r="G204" s="6">
        <v>58686</v>
      </c>
    </row>
    <row r="205" spans="1:17" ht="16.5" x14ac:dyDescent="0.3">
      <c r="A205" s="2"/>
      <c r="B205" s="18"/>
      <c r="C205" s="6">
        <v>18.350000000000001</v>
      </c>
      <c r="D205" s="6">
        <v>25.32</v>
      </c>
      <c r="E205" s="6">
        <v>28.34</v>
      </c>
      <c r="F205" s="6">
        <v>27.99</v>
      </c>
      <c r="G205" s="6">
        <v>100</v>
      </c>
    </row>
    <row r="206" spans="1:17" ht="16.5" x14ac:dyDescent="0.3">
      <c r="A206" s="2"/>
      <c r="B206" s="26"/>
      <c r="C206" s="26"/>
      <c r="D206" s="26"/>
      <c r="E206" s="26"/>
      <c r="F206" s="26"/>
      <c r="G206" s="26"/>
    </row>
    <row r="207" spans="1:17" ht="17.25" thickBot="1" x14ac:dyDescent="0.35">
      <c r="A207"/>
      <c r="B207"/>
      <c r="C207"/>
      <c r="D207"/>
      <c r="E207"/>
      <c r="F207"/>
      <c r="G207"/>
    </row>
    <row r="208" spans="1:17" ht="16.5" customHeight="1" x14ac:dyDescent="0.3">
      <c r="A208" s="5" t="s">
        <v>2</v>
      </c>
      <c r="B208" s="17" t="s">
        <v>119</v>
      </c>
      <c r="C208" s="19"/>
      <c r="D208" s="19"/>
      <c r="E208" s="19"/>
      <c r="F208" s="19"/>
      <c r="G208" s="19"/>
    </row>
    <row r="209" spans="1:17" ht="16.5" customHeight="1" x14ac:dyDescent="0.3">
      <c r="A209" s="4" t="s">
        <v>3</v>
      </c>
      <c r="B209" s="18" t="s">
        <v>27</v>
      </c>
      <c r="C209" s="20" t="s">
        <v>108</v>
      </c>
      <c r="D209" s="20"/>
      <c r="E209" s="20"/>
      <c r="F209" s="20"/>
      <c r="G209" s="20"/>
    </row>
    <row r="210" spans="1:17" ht="16.5" x14ac:dyDescent="0.3">
      <c r="A210" s="4" t="s">
        <v>19</v>
      </c>
      <c r="B210" s="18"/>
      <c r="C210" s="3">
        <v>1</v>
      </c>
      <c r="D210" s="3">
        <v>2</v>
      </c>
      <c r="E210" s="3">
        <v>3</v>
      </c>
      <c r="F210" s="3">
        <v>4</v>
      </c>
      <c r="G210" s="3" t="s">
        <v>22</v>
      </c>
    </row>
    <row r="211" spans="1:17" ht="33" x14ac:dyDescent="0.3">
      <c r="A211" s="4" t="s">
        <v>20</v>
      </c>
      <c r="B211" s="18">
        <v>0</v>
      </c>
      <c r="C211" s="6">
        <v>10210</v>
      </c>
      <c r="D211" s="6">
        <v>12981</v>
      </c>
      <c r="E211" s="6">
        <v>13033</v>
      </c>
      <c r="F211" s="6">
        <v>11127</v>
      </c>
      <c r="G211" s="6">
        <v>47351</v>
      </c>
      <c r="I211" s="8">
        <f>C211</f>
        <v>10210</v>
      </c>
      <c r="J211" s="8">
        <f t="shared" ref="J211:L211" si="64">D211</f>
        <v>12981</v>
      </c>
      <c r="K211" s="8">
        <f t="shared" si="64"/>
        <v>13033</v>
      </c>
      <c r="L211" s="8">
        <f t="shared" si="64"/>
        <v>11127</v>
      </c>
      <c r="N211" s="8" t="str">
        <f>TEXT(I211,"#,##0")&amp;" ("&amp;TEXT(I212,"0.00")&amp;")"</f>
        <v>10,210 (94.82)</v>
      </c>
      <c r="O211" s="8" t="str">
        <f t="shared" ref="O211:Q211" si="65">TEXT(J211,"#,##0")&amp;" ("&amp;TEXT(J212,"0.00")&amp;")"</f>
        <v>12,981 (87.36)</v>
      </c>
      <c r="P211" s="8" t="str">
        <f t="shared" si="65"/>
        <v>13,033 (78.35)</v>
      </c>
      <c r="Q211" s="8" t="str">
        <f t="shared" si="65"/>
        <v>11,127 (67.75)</v>
      </c>
    </row>
    <row r="212" spans="1:17" ht="16.5" x14ac:dyDescent="0.3">
      <c r="A212" s="2"/>
      <c r="B212" s="18"/>
      <c r="C212" s="6">
        <v>17.399999999999999</v>
      </c>
      <c r="D212" s="6">
        <v>22.12</v>
      </c>
      <c r="E212" s="6">
        <v>22.21</v>
      </c>
      <c r="F212" s="6">
        <v>18.96</v>
      </c>
      <c r="G212" s="6">
        <v>80.69</v>
      </c>
      <c r="I212" s="8">
        <f>C214</f>
        <v>94.82</v>
      </c>
      <c r="J212" s="8">
        <f>D214</f>
        <v>87.36</v>
      </c>
      <c r="K212" s="8">
        <f>E214</f>
        <v>78.349999999999994</v>
      </c>
      <c r="L212" s="8">
        <f>F214</f>
        <v>67.75</v>
      </c>
      <c r="N212" s="8" t="str">
        <f>TEXT(I215,"#,##0")&amp;" ("&amp;TEXT(I216,"0.00")&amp;")"</f>
        <v>558 (5.18)</v>
      </c>
      <c r="O212" s="8" t="str">
        <f t="shared" ref="O212:Q212" si="66">TEXT(J215,"#,##0")&amp;" ("&amp;TEXT(J216,"0.00")&amp;")"</f>
        <v>1,879 (12.64)</v>
      </c>
      <c r="P212" s="8" t="str">
        <f t="shared" si="66"/>
        <v>3,601 (21.65)</v>
      </c>
      <c r="Q212" s="8" t="str">
        <f t="shared" si="66"/>
        <v>5,297 (32.25)</v>
      </c>
    </row>
    <row r="213" spans="1:17" ht="16.5" x14ac:dyDescent="0.3">
      <c r="A213" s="2"/>
      <c r="B213" s="18"/>
      <c r="C213" s="6">
        <v>21.56</v>
      </c>
      <c r="D213" s="6">
        <v>27.41</v>
      </c>
      <c r="E213" s="6">
        <v>27.52</v>
      </c>
      <c r="F213" s="6">
        <v>23.5</v>
      </c>
      <c r="G213" s="6"/>
    </row>
    <row r="214" spans="1:17" ht="16.5" x14ac:dyDescent="0.3">
      <c r="A214" s="2"/>
      <c r="B214" s="18"/>
      <c r="C214" s="6">
        <v>94.82</v>
      </c>
      <c r="D214" s="6">
        <v>87.36</v>
      </c>
      <c r="E214" s="6">
        <v>78.349999999999994</v>
      </c>
      <c r="F214" s="6">
        <v>67.75</v>
      </c>
      <c r="G214" s="6"/>
    </row>
    <row r="215" spans="1:17" ht="16.5" x14ac:dyDescent="0.3">
      <c r="A215" s="2"/>
      <c r="B215" s="18">
        <v>1</v>
      </c>
      <c r="C215" s="6">
        <v>558</v>
      </c>
      <c r="D215" s="6">
        <v>1879</v>
      </c>
      <c r="E215" s="6">
        <v>3601</v>
      </c>
      <c r="F215" s="6">
        <v>5297</v>
      </c>
      <c r="G215" s="6">
        <v>11335</v>
      </c>
      <c r="I215" s="8">
        <f>C215</f>
        <v>558</v>
      </c>
      <c r="J215" s="8">
        <f t="shared" ref="J215:L215" si="67">D215</f>
        <v>1879</v>
      </c>
      <c r="K215" s="8">
        <f t="shared" si="67"/>
        <v>3601</v>
      </c>
      <c r="L215" s="8">
        <f t="shared" si="67"/>
        <v>5297</v>
      </c>
    </row>
    <row r="216" spans="1:17" ht="16.5" x14ac:dyDescent="0.3">
      <c r="A216" s="2"/>
      <c r="B216" s="18"/>
      <c r="C216" s="6">
        <v>0.95</v>
      </c>
      <c r="D216" s="6">
        <v>3.2</v>
      </c>
      <c r="E216" s="6">
        <v>6.14</v>
      </c>
      <c r="F216" s="6">
        <v>9.0299999999999994</v>
      </c>
      <c r="G216" s="6">
        <v>19.309999999999999</v>
      </c>
      <c r="I216" s="8">
        <f>C218</f>
        <v>5.18</v>
      </c>
      <c r="J216" s="8">
        <f>D218</f>
        <v>12.64</v>
      </c>
      <c r="K216" s="8">
        <f>E218</f>
        <v>21.65</v>
      </c>
      <c r="L216" s="8">
        <f>F218</f>
        <v>32.25</v>
      </c>
    </row>
    <row r="217" spans="1:17" ht="16.5" x14ac:dyDescent="0.3">
      <c r="A217" s="2"/>
      <c r="B217" s="18"/>
      <c r="C217" s="6">
        <v>4.92</v>
      </c>
      <c r="D217" s="6">
        <v>16.579999999999998</v>
      </c>
      <c r="E217" s="6">
        <v>31.77</v>
      </c>
      <c r="F217" s="6">
        <v>46.73</v>
      </c>
      <c r="G217" s="6"/>
    </row>
    <row r="218" spans="1:17" ht="16.5" x14ac:dyDescent="0.3">
      <c r="A218" s="2"/>
      <c r="B218" s="18"/>
      <c r="C218" s="6">
        <v>5.18</v>
      </c>
      <c r="D218" s="6">
        <v>12.64</v>
      </c>
      <c r="E218" s="6">
        <v>21.65</v>
      </c>
      <c r="F218" s="6">
        <v>32.25</v>
      </c>
      <c r="G218" s="6"/>
    </row>
    <row r="219" spans="1:17" ht="15.75" customHeight="1" x14ac:dyDescent="0.3">
      <c r="A219" s="2"/>
      <c r="B219" s="18" t="s">
        <v>22</v>
      </c>
      <c r="C219" s="6">
        <v>10768</v>
      </c>
      <c r="D219" s="6">
        <v>14860</v>
      </c>
      <c r="E219" s="6">
        <v>16634</v>
      </c>
      <c r="F219" s="6">
        <v>16424</v>
      </c>
      <c r="G219" s="6">
        <v>58686</v>
      </c>
    </row>
    <row r="220" spans="1:17" ht="16.5" x14ac:dyDescent="0.3">
      <c r="A220" s="2"/>
      <c r="B220" s="18"/>
      <c r="C220" s="6">
        <v>18.350000000000001</v>
      </c>
      <c r="D220" s="6">
        <v>25.32</v>
      </c>
      <c r="E220" s="6">
        <v>28.34</v>
      </c>
      <c r="F220" s="6">
        <v>27.99</v>
      </c>
      <c r="G220" s="6">
        <v>100</v>
      </c>
    </row>
    <row r="221" spans="1:17" ht="16.5" x14ac:dyDescent="0.3">
      <c r="A221" s="2"/>
      <c r="B221" s="26"/>
      <c r="C221" s="26"/>
      <c r="D221" s="26"/>
      <c r="E221" s="26"/>
      <c r="F221" s="26"/>
      <c r="G221" s="26"/>
    </row>
    <row r="222" spans="1:17" ht="17.25" thickBot="1" x14ac:dyDescent="0.35">
      <c r="A222"/>
      <c r="B222"/>
      <c r="C222"/>
      <c r="D222"/>
      <c r="E222"/>
      <c r="F222"/>
      <c r="G222"/>
    </row>
    <row r="223" spans="1:17" ht="16.5" customHeight="1" x14ac:dyDescent="0.3">
      <c r="A223" s="5" t="s">
        <v>2</v>
      </c>
      <c r="B223" s="17" t="s">
        <v>120</v>
      </c>
      <c r="C223" s="19"/>
      <c r="D223" s="19"/>
      <c r="E223" s="19"/>
      <c r="F223" s="19"/>
      <c r="G223" s="19"/>
    </row>
    <row r="224" spans="1:17" ht="16.5" customHeight="1" x14ac:dyDescent="0.3">
      <c r="A224" s="4" t="s">
        <v>3</v>
      </c>
      <c r="B224" s="18" t="s">
        <v>28</v>
      </c>
      <c r="C224" s="20" t="s">
        <v>108</v>
      </c>
      <c r="D224" s="20"/>
      <c r="E224" s="20"/>
      <c r="F224" s="20"/>
      <c r="G224" s="20"/>
    </row>
    <row r="225" spans="1:17" ht="16.5" x14ac:dyDescent="0.3">
      <c r="A225" s="4" t="s">
        <v>19</v>
      </c>
      <c r="B225" s="18"/>
      <c r="C225" s="3">
        <v>1</v>
      </c>
      <c r="D225" s="3">
        <v>2</v>
      </c>
      <c r="E225" s="3">
        <v>3</v>
      </c>
      <c r="F225" s="3">
        <v>4</v>
      </c>
      <c r="G225" s="3" t="s">
        <v>22</v>
      </c>
    </row>
    <row r="226" spans="1:17" ht="33" x14ac:dyDescent="0.3">
      <c r="A226" s="4" t="s">
        <v>20</v>
      </c>
      <c r="B226" s="18">
        <v>0</v>
      </c>
      <c r="C226" s="6">
        <v>10651</v>
      </c>
      <c r="D226" s="6">
        <v>14365</v>
      </c>
      <c r="E226" s="6">
        <v>15334</v>
      </c>
      <c r="F226" s="6">
        <v>13269</v>
      </c>
      <c r="G226" s="6">
        <v>53619</v>
      </c>
      <c r="I226" s="8">
        <f>C226</f>
        <v>10651</v>
      </c>
      <c r="J226" s="8">
        <f t="shared" ref="J226:L226" si="68">D226</f>
        <v>14365</v>
      </c>
      <c r="K226" s="8">
        <f t="shared" si="68"/>
        <v>15334</v>
      </c>
      <c r="L226" s="8">
        <f t="shared" si="68"/>
        <v>13269</v>
      </c>
      <c r="N226" s="8" t="str">
        <f>TEXT(I226,"#,##0")&amp;" ("&amp;TEXT(I227,"0.00")&amp;")"</f>
        <v>10,651 (98.91)</v>
      </c>
      <c r="O226" s="8" t="str">
        <f t="shared" ref="O226:Q226" si="69">TEXT(J226,"#,##0")&amp;" ("&amp;TEXT(J227,"0.00")&amp;")"</f>
        <v>14,365 (96.67)</v>
      </c>
      <c r="P226" s="8" t="str">
        <f t="shared" si="69"/>
        <v>15,334 (92.18)</v>
      </c>
      <c r="Q226" s="8" t="str">
        <f t="shared" si="69"/>
        <v>13,269 (80.79)</v>
      </c>
    </row>
    <row r="227" spans="1:17" ht="16.5" x14ac:dyDescent="0.3">
      <c r="A227" s="2"/>
      <c r="B227" s="18"/>
      <c r="C227" s="6">
        <v>18.149999999999999</v>
      </c>
      <c r="D227" s="6">
        <v>24.48</v>
      </c>
      <c r="E227" s="6">
        <v>26.13</v>
      </c>
      <c r="F227" s="6">
        <v>22.61</v>
      </c>
      <c r="G227" s="6">
        <v>91.37</v>
      </c>
      <c r="I227" s="8">
        <f>C229</f>
        <v>98.91</v>
      </c>
      <c r="J227" s="8">
        <f>D229</f>
        <v>96.67</v>
      </c>
      <c r="K227" s="8">
        <f>E229</f>
        <v>92.18</v>
      </c>
      <c r="L227" s="8">
        <f>F229</f>
        <v>80.790000000000006</v>
      </c>
      <c r="N227" s="8" t="str">
        <f>TEXT(I230,"#,##0")&amp;" ("&amp;TEXT(I231,"0.00")&amp;")"</f>
        <v>117 (1.09)</v>
      </c>
      <c r="O227" s="8" t="str">
        <f t="shared" ref="O227:Q227" si="70">TEXT(J230,"#,##0")&amp;" ("&amp;TEXT(J231,"0.00")&amp;")"</f>
        <v>495 (3.33)</v>
      </c>
      <c r="P227" s="8" t="str">
        <f t="shared" si="70"/>
        <v>1,300 (7.82)</v>
      </c>
      <c r="Q227" s="8" t="str">
        <f t="shared" si="70"/>
        <v>3,155 (19.21)</v>
      </c>
    </row>
    <row r="228" spans="1:17" ht="16.5" x14ac:dyDescent="0.3">
      <c r="A228" s="2"/>
      <c r="B228" s="18"/>
      <c r="C228" s="6">
        <v>19.86</v>
      </c>
      <c r="D228" s="6">
        <v>26.79</v>
      </c>
      <c r="E228" s="6">
        <v>28.6</v>
      </c>
      <c r="F228" s="6">
        <v>24.75</v>
      </c>
      <c r="G228" s="6"/>
    </row>
    <row r="229" spans="1:17" ht="16.5" x14ac:dyDescent="0.3">
      <c r="A229" s="2"/>
      <c r="B229" s="18"/>
      <c r="C229" s="6">
        <v>98.91</v>
      </c>
      <c r="D229" s="6">
        <v>96.67</v>
      </c>
      <c r="E229" s="6">
        <v>92.18</v>
      </c>
      <c r="F229" s="6">
        <v>80.790000000000006</v>
      </c>
      <c r="G229" s="6"/>
    </row>
    <row r="230" spans="1:17" ht="16.5" x14ac:dyDescent="0.3">
      <c r="A230" s="2"/>
      <c r="B230" s="18">
        <v>1</v>
      </c>
      <c r="C230" s="6">
        <v>117</v>
      </c>
      <c r="D230" s="6">
        <v>495</v>
      </c>
      <c r="E230" s="6">
        <v>1300</v>
      </c>
      <c r="F230" s="6">
        <v>3155</v>
      </c>
      <c r="G230" s="6">
        <v>5067</v>
      </c>
      <c r="I230" s="8">
        <f>C230</f>
        <v>117</v>
      </c>
      <c r="J230" s="8">
        <f t="shared" ref="J230:L230" si="71">D230</f>
        <v>495</v>
      </c>
      <c r="K230" s="8">
        <f t="shared" si="71"/>
        <v>1300</v>
      </c>
      <c r="L230" s="8">
        <f t="shared" si="71"/>
        <v>3155</v>
      </c>
    </row>
    <row r="231" spans="1:17" ht="16.5" x14ac:dyDescent="0.3">
      <c r="A231" s="2"/>
      <c r="B231" s="18"/>
      <c r="C231" s="6">
        <v>0.2</v>
      </c>
      <c r="D231" s="6">
        <v>0.84</v>
      </c>
      <c r="E231" s="6">
        <v>2.2200000000000002</v>
      </c>
      <c r="F231" s="6">
        <v>5.38</v>
      </c>
      <c r="G231" s="6">
        <v>8.6300000000000008</v>
      </c>
      <c r="I231" s="8">
        <f>C233</f>
        <v>1.0900000000000001</v>
      </c>
      <c r="J231" s="8">
        <f>D233</f>
        <v>3.33</v>
      </c>
      <c r="K231" s="8">
        <f>E233</f>
        <v>7.82</v>
      </c>
      <c r="L231" s="8">
        <f>F233</f>
        <v>19.21</v>
      </c>
    </row>
    <row r="232" spans="1:17" ht="16.5" x14ac:dyDescent="0.3">
      <c r="A232" s="2"/>
      <c r="B232" s="18"/>
      <c r="C232" s="6">
        <v>2.31</v>
      </c>
      <c r="D232" s="6">
        <v>9.77</v>
      </c>
      <c r="E232" s="6">
        <v>25.66</v>
      </c>
      <c r="F232" s="6">
        <v>62.27</v>
      </c>
      <c r="G232" s="6"/>
    </row>
    <row r="233" spans="1:17" ht="16.5" x14ac:dyDescent="0.3">
      <c r="A233" s="2"/>
      <c r="B233" s="18"/>
      <c r="C233" s="6">
        <v>1.0900000000000001</v>
      </c>
      <c r="D233" s="6">
        <v>3.33</v>
      </c>
      <c r="E233" s="6">
        <v>7.82</v>
      </c>
      <c r="F233" s="6">
        <v>19.21</v>
      </c>
      <c r="G233" s="6"/>
    </row>
    <row r="234" spans="1:17" ht="15.75" customHeight="1" x14ac:dyDescent="0.3">
      <c r="A234" s="2"/>
      <c r="B234" s="18" t="s">
        <v>22</v>
      </c>
      <c r="C234" s="6">
        <v>10768</v>
      </c>
      <c r="D234" s="6">
        <v>14860</v>
      </c>
      <c r="E234" s="6">
        <v>16634</v>
      </c>
      <c r="F234" s="6">
        <v>16424</v>
      </c>
      <c r="G234" s="6">
        <v>58686</v>
      </c>
    </row>
    <row r="235" spans="1:17" ht="16.5" x14ac:dyDescent="0.3">
      <c r="A235" s="2"/>
      <c r="B235" s="18"/>
      <c r="C235" s="6">
        <v>18.350000000000001</v>
      </c>
      <c r="D235" s="6">
        <v>25.32</v>
      </c>
      <c r="E235" s="6">
        <v>28.34</v>
      </c>
      <c r="F235" s="6">
        <v>27.99</v>
      </c>
      <c r="G235" s="6">
        <v>100</v>
      </c>
    </row>
    <row r="236" spans="1:17" ht="16.5" x14ac:dyDescent="0.3">
      <c r="A236" s="2"/>
      <c r="B236" s="26"/>
      <c r="C236" s="26"/>
      <c r="D236" s="26"/>
      <c r="E236" s="26"/>
      <c r="F236" s="26"/>
      <c r="G236" s="26"/>
    </row>
    <row r="237" spans="1:17" ht="17.25" thickBot="1" x14ac:dyDescent="0.35">
      <c r="A237"/>
      <c r="B237"/>
      <c r="C237"/>
      <c r="D237"/>
      <c r="E237"/>
      <c r="F237"/>
      <c r="G237"/>
    </row>
    <row r="238" spans="1:17" ht="16.5" customHeight="1" x14ac:dyDescent="0.3">
      <c r="A238" s="5" t="s">
        <v>2</v>
      </c>
      <c r="B238" s="17" t="s">
        <v>121</v>
      </c>
      <c r="C238" s="19"/>
      <c r="D238" s="19"/>
      <c r="E238" s="19"/>
      <c r="F238" s="19"/>
      <c r="G238" s="19"/>
    </row>
    <row r="239" spans="1:17" ht="16.5" customHeight="1" x14ac:dyDescent="0.3">
      <c r="A239" s="4" t="s">
        <v>3</v>
      </c>
      <c r="B239" s="18" t="s">
        <v>14</v>
      </c>
      <c r="C239" s="20" t="s">
        <v>108</v>
      </c>
      <c r="D239" s="20"/>
      <c r="E239" s="20"/>
      <c r="F239" s="20"/>
      <c r="G239" s="20"/>
    </row>
    <row r="240" spans="1:17" ht="16.5" x14ac:dyDescent="0.3">
      <c r="A240" s="4" t="s">
        <v>19</v>
      </c>
      <c r="B240" s="18"/>
      <c r="C240" s="3">
        <v>1</v>
      </c>
      <c r="D240" s="3">
        <v>2</v>
      </c>
      <c r="E240" s="3">
        <v>3</v>
      </c>
      <c r="F240" s="3">
        <v>4</v>
      </c>
      <c r="G240" s="3" t="s">
        <v>22</v>
      </c>
    </row>
    <row r="241" spans="1:17" ht="33" x14ac:dyDescent="0.3">
      <c r="A241" s="4" t="s">
        <v>20</v>
      </c>
      <c r="B241" s="18">
        <v>0</v>
      </c>
      <c r="C241" s="6">
        <v>10092</v>
      </c>
      <c r="D241" s="6">
        <v>12743</v>
      </c>
      <c r="E241" s="6">
        <v>12657</v>
      </c>
      <c r="F241" s="6">
        <v>10654</v>
      </c>
      <c r="G241" s="6">
        <v>46146</v>
      </c>
      <c r="I241" s="8">
        <f>C241</f>
        <v>10092</v>
      </c>
      <c r="J241" s="8">
        <f t="shared" ref="J241:L241" si="72">D241</f>
        <v>12743</v>
      </c>
      <c r="K241" s="8">
        <f t="shared" si="72"/>
        <v>12657</v>
      </c>
      <c r="L241" s="8">
        <f t="shared" si="72"/>
        <v>10654</v>
      </c>
      <c r="N241" s="8" t="str">
        <f>TEXT(I241,"#,##0")&amp;" ("&amp;TEXT(I242,"0.00")&amp;")"</f>
        <v>10,092 (93.72)</v>
      </c>
      <c r="O241" s="8" t="str">
        <f t="shared" ref="O241:Q241" si="73">TEXT(J241,"#,##0")&amp;" ("&amp;TEXT(J242,"0.00")&amp;")"</f>
        <v>12,743 (85.75)</v>
      </c>
      <c r="P241" s="8" t="str">
        <f t="shared" si="73"/>
        <v>12,657 (76.09)</v>
      </c>
      <c r="Q241" s="8" t="str">
        <f t="shared" si="73"/>
        <v>10,654 (64.87)</v>
      </c>
    </row>
    <row r="242" spans="1:17" ht="16.5" x14ac:dyDescent="0.3">
      <c r="A242" s="2"/>
      <c r="B242" s="18"/>
      <c r="C242" s="6">
        <v>17.2</v>
      </c>
      <c r="D242" s="6">
        <v>21.71</v>
      </c>
      <c r="E242" s="6">
        <v>21.57</v>
      </c>
      <c r="F242" s="6">
        <v>18.149999999999999</v>
      </c>
      <c r="G242" s="6">
        <v>78.63</v>
      </c>
      <c r="I242" s="8">
        <f>C244</f>
        <v>93.72</v>
      </c>
      <c r="J242" s="8">
        <f>D244</f>
        <v>85.75</v>
      </c>
      <c r="K242" s="8">
        <f>E244</f>
        <v>76.09</v>
      </c>
      <c r="L242" s="8">
        <f>F244</f>
        <v>64.87</v>
      </c>
      <c r="N242" s="8" t="str">
        <f>TEXT(I245,"#,##0")&amp;" ("&amp;TEXT(I246,"0.00")&amp;")"</f>
        <v>676 (6.28)</v>
      </c>
      <c r="O242" s="8" t="str">
        <f t="shared" ref="O242:Q242" si="74">TEXT(J245,"#,##0")&amp;" ("&amp;TEXT(J246,"0.00")&amp;")"</f>
        <v>2,117 (14.25)</v>
      </c>
      <c r="P242" s="8" t="str">
        <f t="shared" si="74"/>
        <v>3,977 (23.91)</v>
      </c>
      <c r="Q242" s="8" t="str">
        <f t="shared" si="74"/>
        <v>5,770 (35.13)</v>
      </c>
    </row>
    <row r="243" spans="1:17" ht="16.5" x14ac:dyDescent="0.3">
      <c r="A243" s="2"/>
      <c r="B243" s="18"/>
      <c r="C243" s="6">
        <v>21.87</v>
      </c>
      <c r="D243" s="6">
        <v>27.61</v>
      </c>
      <c r="E243" s="6">
        <v>27.43</v>
      </c>
      <c r="F243" s="6">
        <v>23.09</v>
      </c>
      <c r="G243" s="6"/>
    </row>
    <row r="244" spans="1:17" ht="16.5" x14ac:dyDescent="0.3">
      <c r="A244" s="2"/>
      <c r="B244" s="18"/>
      <c r="C244" s="6">
        <v>93.72</v>
      </c>
      <c r="D244" s="6">
        <v>85.75</v>
      </c>
      <c r="E244" s="6">
        <v>76.09</v>
      </c>
      <c r="F244" s="6">
        <v>64.87</v>
      </c>
      <c r="G244" s="6"/>
    </row>
    <row r="245" spans="1:17" ht="16.5" x14ac:dyDescent="0.3">
      <c r="A245" s="2"/>
      <c r="B245" s="18">
        <v>1</v>
      </c>
      <c r="C245" s="6">
        <v>676</v>
      </c>
      <c r="D245" s="6">
        <v>2117</v>
      </c>
      <c r="E245" s="6">
        <v>3977</v>
      </c>
      <c r="F245" s="6">
        <v>5770</v>
      </c>
      <c r="G245" s="6">
        <v>12540</v>
      </c>
      <c r="I245" s="8">
        <f>C245</f>
        <v>676</v>
      </c>
      <c r="J245" s="8">
        <f t="shared" ref="J245:L245" si="75">D245</f>
        <v>2117</v>
      </c>
      <c r="K245" s="8">
        <f t="shared" si="75"/>
        <v>3977</v>
      </c>
      <c r="L245" s="8">
        <f t="shared" si="75"/>
        <v>5770</v>
      </c>
    </row>
    <row r="246" spans="1:17" ht="16.5" x14ac:dyDescent="0.3">
      <c r="A246" s="2"/>
      <c r="B246" s="18"/>
      <c r="C246" s="6">
        <v>1.1499999999999999</v>
      </c>
      <c r="D246" s="6">
        <v>3.61</v>
      </c>
      <c r="E246" s="6">
        <v>6.78</v>
      </c>
      <c r="F246" s="6">
        <v>9.83</v>
      </c>
      <c r="G246" s="6">
        <v>21.37</v>
      </c>
      <c r="I246" s="8">
        <f>C248</f>
        <v>6.28</v>
      </c>
      <c r="J246" s="8">
        <f>D248</f>
        <v>14.25</v>
      </c>
      <c r="K246" s="8">
        <f>E248</f>
        <v>23.91</v>
      </c>
      <c r="L246" s="8">
        <f>F248</f>
        <v>35.130000000000003</v>
      </c>
    </row>
    <row r="247" spans="1:17" ht="16.5" x14ac:dyDescent="0.3">
      <c r="A247" s="2"/>
      <c r="B247" s="18"/>
      <c r="C247" s="6">
        <v>5.39</v>
      </c>
      <c r="D247" s="6">
        <v>16.88</v>
      </c>
      <c r="E247" s="6">
        <v>31.71</v>
      </c>
      <c r="F247" s="6">
        <v>46.01</v>
      </c>
      <c r="G247" s="6"/>
    </row>
    <row r="248" spans="1:17" ht="16.5" x14ac:dyDescent="0.3">
      <c r="A248" s="2"/>
      <c r="B248" s="18"/>
      <c r="C248" s="6">
        <v>6.28</v>
      </c>
      <c r="D248" s="6">
        <v>14.25</v>
      </c>
      <c r="E248" s="6">
        <v>23.91</v>
      </c>
      <c r="F248" s="6">
        <v>35.130000000000003</v>
      </c>
      <c r="G248" s="6"/>
    </row>
    <row r="249" spans="1:17" ht="15.75" customHeight="1" x14ac:dyDescent="0.3">
      <c r="A249" s="2"/>
      <c r="B249" s="18" t="s">
        <v>22</v>
      </c>
      <c r="C249" s="6">
        <v>10768</v>
      </c>
      <c r="D249" s="6">
        <v>14860</v>
      </c>
      <c r="E249" s="6">
        <v>16634</v>
      </c>
      <c r="F249" s="6">
        <v>16424</v>
      </c>
      <c r="G249" s="6">
        <v>58686</v>
      </c>
    </row>
    <row r="250" spans="1:17" ht="16.5" x14ac:dyDescent="0.3">
      <c r="A250" s="2"/>
      <c r="B250" s="18"/>
      <c r="C250" s="6">
        <v>18.350000000000001</v>
      </c>
      <c r="D250" s="6">
        <v>25.32</v>
      </c>
      <c r="E250" s="6">
        <v>28.34</v>
      </c>
      <c r="F250" s="6">
        <v>27.99</v>
      </c>
      <c r="G250" s="6">
        <v>100</v>
      </c>
    </row>
    <row r="251" spans="1:17" ht="16.5" x14ac:dyDescent="0.3">
      <c r="A251" s="2"/>
      <c r="B251" s="26"/>
      <c r="C251" s="26"/>
      <c r="D251" s="26"/>
      <c r="E251" s="26"/>
      <c r="F251" s="26"/>
      <c r="G251" s="26"/>
    </row>
    <row r="252" spans="1:17" ht="17.25" thickBot="1" x14ac:dyDescent="0.35">
      <c r="A252"/>
      <c r="B252"/>
      <c r="C252"/>
      <c r="D252"/>
      <c r="E252"/>
      <c r="F252"/>
      <c r="G252"/>
    </row>
    <row r="253" spans="1:17" ht="16.5" customHeight="1" x14ac:dyDescent="0.3">
      <c r="A253" s="5" t="s">
        <v>2</v>
      </c>
      <c r="B253" s="17" t="s">
        <v>122</v>
      </c>
      <c r="C253" s="19"/>
      <c r="D253" s="19"/>
      <c r="E253" s="19"/>
      <c r="F253" s="19"/>
      <c r="G253" s="19"/>
    </row>
    <row r="254" spans="1:17" ht="16.5" customHeight="1" x14ac:dyDescent="0.3">
      <c r="A254" s="4" t="s">
        <v>3</v>
      </c>
      <c r="B254" s="18" t="s">
        <v>15</v>
      </c>
      <c r="C254" s="20" t="s">
        <v>108</v>
      </c>
      <c r="D254" s="20"/>
      <c r="E254" s="20"/>
      <c r="F254" s="20"/>
      <c r="G254" s="20"/>
    </row>
    <row r="255" spans="1:17" ht="16.5" x14ac:dyDescent="0.3">
      <c r="A255" s="4" t="s">
        <v>19</v>
      </c>
      <c r="B255" s="18"/>
      <c r="C255" s="3">
        <v>1</v>
      </c>
      <c r="D255" s="3">
        <v>2</v>
      </c>
      <c r="E255" s="3">
        <v>3</v>
      </c>
      <c r="F255" s="3">
        <v>4</v>
      </c>
      <c r="G255" s="3" t="s">
        <v>22</v>
      </c>
    </row>
    <row r="256" spans="1:17" ht="33" x14ac:dyDescent="0.3">
      <c r="A256" s="4" t="s">
        <v>20</v>
      </c>
      <c r="B256" s="18">
        <v>0</v>
      </c>
      <c r="C256" s="6">
        <v>10232</v>
      </c>
      <c r="D256" s="6">
        <v>13139</v>
      </c>
      <c r="E256" s="6">
        <v>13639</v>
      </c>
      <c r="F256" s="6">
        <v>12248</v>
      </c>
      <c r="G256" s="6">
        <v>49258</v>
      </c>
      <c r="I256" s="8">
        <f>C256</f>
        <v>10232</v>
      </c>
      <c r="J256" s="8">
        <f t="shared" ref="J256:L256" si="76">D256</f>
        <v>13139</v>
      </c>
      <c r="K256" s="8">
        <f t="shared" si="76"/>
        <v>13639</v>
      </c>
      <c r="L256" s="8">
        <f t="shared" si="76"/>
        <v>12248</v>
      </c>
      <c r="N256" s="8" t="str">
        <f>TEXT(I256,"#,##0")&amp;" ("&amp;TEXT(I257,"0.00")&amp;")"</f>
        <v>10,232 (95.02)</v>
      </c>
      <c r="O256" s="8" t="str">
        <f t="shared" ref="O256:Q256" si="77">TEXT(J256,"#,##0")&amp;" ("&amp;TEXT(J257,"0.00")&amp;")"</f>
        <v>13,139 (88.42)</v>
      </c>
      <c r="P256" s="8" t="str">
        <f t="shared" si="77"/>
        <v>13,639 (81.99)</v>
      </c>
      <c r="Q256" s="8" t="str">
        <f t="shared" si="77"/>
        <v>12,248 (74.57)</v>
      </c>
    </row>
    <row r="257" spans="1:17" ht="16.5" x14ac:dyDescent="0.3">
      <c r="A257" s="2"/>
      <c r="B257" s="18"/>
      <c r="C257" s="6">
        <v>17.440000000000001</v>
      </c>
      <c r="D257" s="6">
        <v>22.39</v>
      </c>
      <c r="E257" s="6">
        <v>23.24</v>
      </c>
      <c r="F257" s="6">
        <v>20.87</v>
      </c>
      <c r="G257" s="6">
        <v>83.93</v>
      </c>
      <c r="I257" s="8">
        <f>C259</f>
        <v>95.02</v>
      </c>
      <c r="J257" s="8">
        <f>D259</f>
        <v>88.42</v>
      </c>
      <c r="K257" s="8">
        <f>E259</f>
        <v>81.99</v>
      </c>
      <c r="L257" s="8">
        <f>F259</f>
        <v>74.569999999999993</v>
      </c>
      <c r="N257" s="8" t="str">
        <f>TEXT(I260,"#,##0")&amp;" ("&amp;TEXT(I261,"0.00")&amp;")"</f>
        <v>536 (4.98)</v>
      </c>
      <c r="O257" s="8" t="str">
        <f t="shared" ref="O257:Q257" si="78">TEXT(J260,"#,##0")&amp;" ("&amp;TEXT(J261,"0.00")&amp;")"</f>
        <v>1,721 (11.58)</v>
      </c>
      <c r="P257" s="8" t="str">
        <f t="shared" si="78"/>
        <v>2,995 (18.01)</v>
      </c>
      <c r="Q257" s="8" t="str">
        <f t="shared" si="78"/>
        <v>4,176 (25.43)</v>
      </c>
    </row>
    <row r="258" spans="1:17" ht="16.5" x14ac:dyDescent="0.3">
      <c r="A258" s="2"/>
      <c r="B258" s="18"/>
      <c r="C258" s="6">
        <v>20.77</v>
      </c>
      <c r="D258" s="6">
        <v>26.67</v>
      </c>
      <c r="E258" s="6">
        <v>27.69</v>
      </c>
      <c r="F258" s="6">
        <v>24.86</v>
      </c>
      <c r="G258" s="6"/>
    </row>
    <row r="259" spans="1:17" ht="16.5" x14ac:dyDescent="0.3">
      <c r="A259" s="2"/>
      <c r="B259" s="18"/>
      <c r="C259" s="6">
        <v>95.02</v>
      </c>
      <c r="D259" s="6">
        <v>88.42</v>
      </c>
      <c r="E259" s="6">
        <v>81.99</v>
      </c>
      <c r="F259" s="6">
        <v>74.569999999999993</v>
      </c>
      <c r="G259" s="6"/>
    </row>
    <row r="260" spans="1:17" ht="16.5" x14ac:dyDescent="0.3">
      <c r="A260" s="2"/>
      <c r="B260" s="18">
        <v>1</v>
      </c>
      <c r="C260" s="6">
        <v>536</v>
      </c>
      <c r="D260" s="6">
        <v>1721</v>
      </c>
      <c r="E260" s="6">
        <v>2995</v>
      </c>
      <c r="F260" s="6">
        <v>4176</v>
      </c>
      <c r="G260" s="6">
        <v>9428</v>
      </c>
      <c r="I260" s="8">
        <f>C260</f>
        <v>536</v>
      </c>
      <c r="J260" s="8">
        <f t="shared" ref="J260:L260" si="79">D260</f>
        <v>1721</v>
      </c>
      <c r="K260" s="8">
        <f t="shared" si="79"/>
        <v>2995</v>
      </c>
      <c r="L260" s="8">
        <f t="shared" si="79"/>
        <v>4176</v>
      </c>
    </row>
    <row r="261" spans="1:17" ht="16.5" x14ac:dyDescent="0.3">
      <c r="A261" s="2"/>
      <c r="B261" s="18"/>
      <c r="C261" s="6">
        <v>0.91</v>
      </c>
      <c r="D261" s="6">
        <v>2.93</v>
      </c>
      <c r="E261" s="6">
        <v>5.0999999999999996</v>
      </c>
      <c r="F261" s="6">
        <v>7.12</v>
      </c>
      <c r="G261" s="6">
        <v>16.07</v>
      </c>
      <c r="I261" s="8">
        <f>C263</f>
        <v>4.9800000000000004</v>
      </c>
      <c r="J261" s="8">
        <f>D263</f>
        <v>11.58</v>
      </c>
      <c r="K261" s="8">
        <f>E263</f>
        <v>18.010000000000002</v>
      </c>
      <c r="L261" s="8">
        <f>F263</f>
        <v>25.43</v>
      </c>
    </row>
    <row r="262" spans="1:17" ht="16.5" x14ac:dyDescent="0.3">
      <c r="A262" s="2"/>
      <c r="B262" s="18"/>
      <c r="C262" s="6">
        <v>5.69</v>
      </c>
      <c r="D262" s="6">
        <v>18.25</v>
      </c>
      <c r="E262" s="6">
        <v>31.77</v>
      </c>
      <c r="F262" s="6">
        <v>44.29</v>
      </c>
      <c r="G262" s="6"/>
    </row>
    <row r="263" spans="1:17" ht="16.5" x14ac:dyDescent="0.3">
      <c r="A263" s="2"/>
      <c r="B263" s="18"/>
      <c r="C263" s="6">
        <v>4.9800000000000004</v>
      </c>
      <c r="D263" s="6">
        <v>11.58</v>
      </c>
      <c r="E263" s="6">
        <v>18.010000000000002</v>
      </c>
      <c r="F263" s="6">
        <v>25.43</v>
      </c>
      <c r="G263" s="6"/>
    </row>
    <row r="264" spans="1:17" ht="15.75" customHeight="1" x14ac:dyDescent="0.3">
      <c r="A264" s="2"/>
      <c r="B264" s="18" t="s">
        <v>22</v>
      </c>
      <c r="C264" s="6">
        <v>10768</v>
      </c>
      <c r="D264" s="6">
        <v>14860</v>
      </c>
      <c r="E264" s="6">
        <v>16634</v>
      </c>
      <c r="F264" s="6">
        <v>16424</v>
      </c>
      <c r="G264" s="6">
        <v>58686</v>
      </c>
    </row>
    <row r="265" spans="1:17" ht="16.5" x14ac:dyDescent="0.3">
      <c r="A265" s="2"/>
      <c r="B265" s="18"/>
      <c r="C265" s="6">
        <v>18.350000000000001</v>
      </c>
      <c r="D265" s="6">
        <v>25.32</v>
      </c>
      <c r="E265" s="6">
        <v>28.34</v>
      </c>
      <c r="F265" s="6">
        <v>27.99</v>
      </c>
      <c r="G265" s="6">
        <v>100</v>
      </c>
    </row>
    <row r="266" spans="1:17" ht="16.5" x14ac:dyDescent="0.3">
      <c r="A266" s="2"/>
      <c r="B266" s="26"/>
      <c r="C266" s="26"/>
      <c r="D266" s="26"/>
      <c r="E266" s="26"/>
      <c r="F266" s="26"/>
      <c r="G266" s="26"/>
    </row>
    <row r="267" spans="1:17" ht="17.25" thickBot="1" x14ac:dyDescent="0.35">
      <c r="A267"/>
      <c r="B267"/>
      <c r="C267"/>
      <c r="D267"/>
      <c r="E267"/>
      <c r="F267"/>
      <c r="G267"/>
    </row>
    <row r="268" spans="1:17" ht="16.5" customHeight="1" x14ac:dyDescent="0.3">
      <c r="A268" s="5" t="s">
        <v>2</v>
      </c>
      <c r="B268" s="17" t="s">
        <v>123</v>
      </c>
      <c r="C268" s="19"/>
      <c r="D268" s="19"/>
      <c r="E268" s="19"/>
      <c r="F268" s="19"/>
      <c r="G268" s="19"/>
    </row>
    <row r="269" spans="1:17" ht="16.5" customHeight="1" x14ac:dyDescent="0.3">
      <c r="A269" s="4" t="s">
        <v>3</v>
      </c>
      <c r="B269" s="18" t="s">
        <v>16</v>
      </c>
      <c r="C269" s="20" t="s">
        <v>108</v>
      </c>
      <c r="D269" s="20"/>
      <c r="E269" s="20"/>
      <c r="F269" s="20"/>
      <c r="G269" s="20"/>
    </row>
    <row r="270" spans="1:17" ht="16.5" x14ac:dyDescent="0.3">
      <c r="A270" s="4" t="s">
        <v>19</v>
      </c>
      <c r="B270" s="18"/>
      <c r="C270" s="3">
        <v>1</v>
      </c>
      <c r="D270" s="3">
        <v>2</v>
      </c>
      <c r="E270" s="3">
        <v>3</v>
      </c>
      <c r="F270" s="3">
        <v>4</v>
      </c>
      <c r="G270" s="3" t="s">
        <v>22</v>
      </c>
    </row>
    <row r="271" spans="1:17" ht="33" x14ac:dyDescent="0.3">
      <c r="A271" s="4" t="s">
        <v>20</v>
      </c>
      <c r="B271" s="18">
        <v>0</v>
      </c>
      <c r="C271" s="6">
        <v>10712</v>
      </c>
      <c r="D271" s="6">
        <v>14668</v>
      </c>
      <c r="E271" s="6">
        <v>16328</v>
      </c>
      <c r="F271" s="6">
        <v>15934</v>
      </c>
      <c r="G271" s="6">
        <v>57642</v>
      </c>
      <c r="I271" s="8">
        <f>C271</f>
        <v>10712</v>
      </c>
      <c r="J271" s="8">
        <f t="shared" ref="J271:L271" si="80">D271</f>
        <v>14668</v>
      </c>
      <c r="K271" s="8">
        <f t="shared" si="80"/>
        <v>16328</v>
      </c>
      <c r="L271" s="8">
        <f t="shared" si="80"/>
        <v>15934</v>
      </c>
      <c r="N271" s="8" t="str">
        <f>TEXT(I271,"#,##0")&amp;" ("&amp;TEXT(I272,"0.00")&amp;")"</f>
        <v>10,712 (99.48)</v>
      </c>
      <c r="O271" s="8" t="str">
        <f t="shared" ref="O271:Q271" si="81">TEXT(J271,"#,##0")&amp;" ("&amp;TEXT(J272,"0.00")&amp;")"</f>
        <v>14,668 (98.71)</v>
      </c>
      <c r="P271" s="8" t="str">
        <f t="shared" si="81"/>
        <v>16,328 (98.16)</v>
      </c>
      <c r="Q271" s="8" t="str">
        <f t="shared" si="81"/>
        <v>15,934 (97.02)</v>
      </c>
    </row>
    <row r="272" spans="1:17" ht="16.5" x14ac:dyDescent="0.3">
      <c r="A272" s="2"/>
      <c r="B272" s="18"/>
      <c r="C272" s="6">
        <v>18.25</v>
      </c>
      <c r="D272" s="6">
        <v>24.99</v>
      </c>
      <c r="E272" s="6">
        <v>27.82</v>
      </c>
      <c r="F272" s="6">
        <v>27.15</v>
      </c>
      <c r="G272" s="6">
        <v>98.22</v>
      </c>
      <c r="I272" s="8">
        <f>C274</f>
        <v>99.48</v>
      </c>
      <c r="J272" s="8">
        <f>D274</f>
        <v>98.71</v>
      </c>
      <c r="K272" s="8">
        <f>E274</f>
        <v>98.16</v>
      </c>
      <c r="L272" s="8">
        <f>F274</f>
        <v>97.02</v>
      </c>
      <c r="N272" s="8" t="str">
        <f>TEXT(I275,"#,##0")&amp;" ("&amp;TEXT(I276,"0.00")&amp;")"</f>
        <v>56 (0.52)</v>
      </c>
      <c r="O272" s="8" t="str">
        <f t="shared" ref="O272:Q272" si="82">TEXT(J275,"#,##0")&amp;" ("&amp;TEXT(J276,"0.00")&amp;")"</f>
        <v>192 (1.29)</v>
      </c>
      <c r="P272" s="8" t="str">
        <f t="shared" si="82"/>
        <v>306 (1.84)</v>
      </c>
      <c r="Q272" s="8" t="str">
        <f t="shared" si="82"/>
        <v>490 (2.98)</v>
      </c>
    </row>
    <row r="273" spans="1:17" ht="16.5" x14ac:dyDescent="0.3">
      <c r="A273" s="2"/>
      <c r="B273" s="18"/>
      <c r="C273" s="6">
        <v>18.579999999999998</v>
      </c>
      <c r="D273" s="6">
        <v>25.45</v>
      </c>
      <c r="E273" s="6">
        <v>28.33</v>
      </c>
      <c r="F273" s="6">
        <v>27.64</v>
      </c>
      <c r="G273" s="6"/>
    </row>
    <row r="274" spans="1:17" ht="16.5" x14ac:dyDescent="0.3">
      <c r="A274" s="2"/>
      <c r="B274" s="18"/>
      <c r="C274" s="6">
        <v>99.48</v>
      </c>
      <c r="D274" s="6">
        <v>98.71</v>
      </c>
      <c r="E274" s="6">
        <v>98.16</v>
      </c>
      <c r="F274" s="6">
        <v>97.02</v>
      </c>
      <c r="G274" s="6"/>
    </row>
    <row r="275" spans="1:17" ht="16.5" x14ac:dyDescent="0.3">
      <c r="A275" s="2"/>
      <c r="B275" s="18">
        <v>1</v>
      </c>
      <c r="C275" s="6">
        <v>56</v>
      </c>
      <c r="D275" s="6">
        <v>192</v>
      </c>
      <c r="E275" s="6">
        <v>306</v>
      </c>
      <c r="F275" s="6">
        <v>490</v>
      </c>
      <c r="G275" s="6">
        <v>1044</v>
      </c>
      <c r="I275" s="8">
        <f>C275</f>
        <v>56</v>
      </c>
      <c r="J275" s="8">
        <f t="shared" ref="J275:L275" si="83">D275</f>
        <v>192</v>
      </c>
      <c r="K275" s="8">
        <f t="shared" si="83"/>
        <v>306</v>
      </c>
      <c r="L275" s="8">
        <f t="shared" si="83"/>
        <v>490</v>
      </c>
    </row>
    <row r="276" spans="1:17" ht="16.5" x14ac:dyDescent="0.3">
      <c r="A276" s="2"/>
      <c r="B276" s="18"/>
      <c r="C276" s="6">
        <v>0.1</v>
      </c>
      <c r="D276" s="6">
        <v>0.33</v>
      </c>
      <c r="E276" s="6">
        <v>0.52</v>
      </c>
      <c r="F276" s="6">
        <v>0.83</v>
      </c>
      <c r="G276" s="6">
        <v>1.78</v>
      </c>
      <c r="I276" s="8">
        <f>C278</f>
        <v>0.52</v>
      </c>
      <c r="J276" s="8">
        <f>D278</f>
        <v>1.29</v>
      </c>
      <c r="K276" s="8">
        <f>E278</f>
        <v>1.84</v>
      </c>
      <c r="L276" s="8">
        <f>F278</f>
        <v>2.98</v>
      </c>
    </row>
    <row r="277" spans="1:17" ht="16.5" x14ac:dyDescent="0.3">
      <c r="A277" s="2"/>
      <c r="B277" s="18"/>
      <c r="C277" s="6">
        <v>5.36</v>
      </c>
      <c r="D277" s="6">
        <v>18.39</v>
      </c>
      <c r="E277" s="6">
        <v>29.31</v>
      </c>
      <c r="F277" s="6">
        <v>46.93</v>
      </c>
      <c r="G277" s="6"/>
    </row>
    <row r="278" spans="1:17" ht="16.5" x14ac:dyDescent="0.3">
      <c r="A278" s="2"/>
      <c r="B278" s="18"/>
      <c r="C278" s="6">
        <v>0.52</v>
      </c>
      <c r="D278" s="6">
        <v>1.29</v>
      </c>
      <c r="E278" s="6">
        <v>1.84</v>
      </c>
      <c r="F278" s="6">
        <v>2.98</v>
      </c>
      <c r="G278" s="6"/>
    </row>
    <row r="279" spans="1:17" ht="15.75" customHeight="1" x14ac:dyDescent="0.3">
      <c r="A279" s="2"/>
      <c r="B279" s="18" t="s">
        <v>22</v>
      </c>
      <c r="C279" s="6">
        <v>10768</v>
      </c>
      <c r="D279" s="6">
        <v>14860</v>
      </c>
      <c r="E279" s="6">
        <v>16634</v>
      </c>
      <c r="F279" s="6">
        <v>16424</v>
      </c>
      <c r="G279" s="6">
        <v>58686</v>
      </c>
    </row>
    <row r="280" spans="1:17" ht="16.5" x14ac:dyDescent="0.3">
      <c r="A280" s="2"/>
      <c r="B280" s="18"/>
      <c r="C280" s="6">
        <v>18.350000000000001</v>
      </c>
      <c r="D280" s="6">
        <v>25.32</v>
      </c>
      <c r="E280" s="6">
        <v>28.34</v>
      </c>
      <c r="F280" s="6">
        <v>27.99</v>
      </c>
      <c r="G280" s="6">
        <v>100</v>
      </c>
    </row>
    <row r="281" spans="1:17" ht="16.5" x14ac:dyDescent="0.3">
      <c r="A281" s="2"/>
      <c r="B281" s="26"/>
      <c r="C281" s="26"/>
      <c r="D281" s="26"/>
      <c r="E281" s="26"/>
      <c r="F281" s="26"/>
      <c r="G281" s="26"/>
    </row>
    <row r="282" spans="1:17" ht="17.25" thickBot="1" x14ac:dyDescent="0.35">
      <c r="A282"/>
      <c r="B282"/>
      <c r="C282"/>
      <c r="D282"/>
      <c r="E282"/>
      <c r="F282"/>
      <c r="G282"/>
    </row>
    <row r="283" spans="1:17" ht="16.5" customHeight="1" x14ac:dyDescent="0.3">
      <c r="A283" s="5" t="s">
        <v>2</v>
      </c>
      <c r="B283" s="17" t="s">
        <v>124</v>
      </c>
      <c r="C283" s="19"/>
      <c r="D283" s="19"/>
      <c r="E283" s="19"/>
      <c r="F283" s="19"/>
      <c r="G283" s="19"/>
    </row>
    <row r="284" spans="1:17" ht="16.5" customHeight="1" x14ac:dyDescent="0.3">
      <c r="A284" s="4" t="s">
        <v>3</v>
      </c>
      <c r="B284" s="18" t="s">
        <v>17</v>
      </c>
      <c r="C284" s="20" t="s">
        <v>108</v>
      </c>
      <c r="D284" s="20"/>
      <c r="E284" s="20"/>
      <c r="F284" s="20"/>
      <c r="G284" s="20"/>
    </row>
    <row r="285" spans="1:17" ht="16.5" x14ac:dyDescent="0.3">
      <c r="A285" s="4" t="s">
        <v>19</v>
      </c>
      <c r="B285" s="18"/>
      <c r="C285" s="3">
        <v>1</v>
      </c>
      <c r="D285" s="3">
        <v>2</v>
      </c>
      <c r="E285" s="3">
        <v>3</v>
      </c>
      <c r="F285" s="3">
        <v>4</v>
      </c>
      <c r="G285" s="3" t="s">
        <v>22</v>
      </c>
    </row>
    <row r="286" spans="1:17" ht="33" x14ac:dyDescent="0.3">
      <c r="A286" s="4" t="s">
        <v>20</v>
      </c>
      <c r="B286" s="18">
        <v>0</v>
      </c>
      <c r="C286" s="6">
        <v>10750</v>
      </c>
      <c r="D286" s="6">
        <v>14759</v>
      </c>
      <c r="E286" s="6">
        <v>16481</v>
      </c>
      <c r="F286" s="6">
        <v>16166</v>
      </c>
      <c r="G286" s="6">
        <v>58156</v>
      </c>
      <c r="I286" s="8">
        <f>C286</f>
        <v>10750</v>
      </c>
      <c r="J286" s="8">
        <f t="shared" ref="J286:L286" si="84">D286</f>
        <v>14759</v>
      </c>
      <c r="K286" s="8">
        <f t="shared" si="84"/>
        <v>16481</v>
      </c>
      <c r="L286" s="8">
        <f t="shared" si="84"/>
        <v>16166</v>
      </c>
      <c r="N286" s="8" t="str">
        <f>TEXT(I286,"#,##0")&amp;" ("&amp;TEXT(I287,"0.00")&amp;")"</f>
        <v>10,750 (99.83)</v>
      </c>
      <c r="O286" s="8" t="str">
        <f t="shared" ref="O286:Q286" si="85">TEXT(J286,"#,##0")&amp;" ("&amp;TEXT(J287,"0.00")&amp;")"</f>
        <v>14,759 (99.32)</v>
      </c>
      <c r="P286" s="8" t="str">
        <f t="shared" si="85"/>
        <v>16,481 (99.08)</v>
      </c>
      <c r="Q286" s="8" t="str">
        <f t="shared" si="85"/>
        <v>16,166 (98.43)</v>
      </c>
    </row>
    <row r="287" spans="1:17" ht="16.5" x14ac:dyDescent="0.3">
      <c r="A287" s="2"/>
      <c r="B287" s="18"/>
      <c r="C287" s="6">
        <v>18.32</v>
      </c>
      <c r="D287" s="6">
        <v>25.15</v>
      </c>
      <c r="E287" s="6">
        <v>28.08</v>
      </c>
      <c r="F287" s="6">
        <v>27.55</v>
      </c>
      <c r="G287" s="6">
        <v>99.1</v>
      </c>
      <c r="I287" s="8">
        <f>C289</f>
        <v>99.83</v>
      </c>
      <c r="J287" s="8">
        <f>D289</f>
        <v>99.32</v>
      </c>
      <c r="K287" s="8">
        <f>E289</f>
        <v>99.08</v>
      </c>
      <c r="L287" s="8">
        <f>F289</f>
        <v>98.43</v>
      </c>
      <c r="N287" s="8" t="str">
        <f>TEXT(I290,"#,##0")&amp;" ("&amp;TEXT(I291,"0.00")&amp;")"</f>
        <v>18 (0.17)</v>
      </c>
      <c r="O287" s="8" t="str">
        <f t="shared" ref="O287:Q287" si="86">TEXT(J290,"#,##0")&amp;" ("&amp;TEXT(J291,"0.00")&amp;")"</f>
        <v>101 (0.68)</v>
      </c>
      <c r="P287" s="8" t="str">
        <f t="shared" si="86"/>
        <v>153 (0.92)</v>
      </c>
      <c r="Q287" s="8" t="str">
        <f t="shared" si="86"/>
        <v>258 (1.57)</v>
      </c>
    </row>
    <row r="288" spans="1:17" ht="16.5" x14ac:dyDescent="0.3">
      <c r="A288" s="2"/>
      <c r="B288" s="18"/>
      <c r="C288" s="6">
        <v>18.48</v>
      </c>
      <c r="D288" s="6">
        <v>25.38</v>
      </c>
      <c r="E288" s="6">
        <v>28.34</v>
      </c>
      <c r="F288" s="6">
        <v>27.8</v>
      </c>
      <c r="G288" s="6"/>
    </row>
    <row r="289" spans="1:17" ht="16.5" x14ac:dyDescent="0.3">
      <c r="A289" s="2"/>
      <c r="B289" s="18"/>
      <c r="C289" s="6">
        <v>99.83</v>
      </c>
      <c r="D289" s="6">
        <v>99.32</v>
      </c>
      <c r="E289" s="6">
        <v>99.08</v>
      </c>
      <c r="F289" s="6">
        <v>98.43</v>
      </c>
      <c r="G289" s="6"/>
    </row>
    <row r="290" spans="1:17" ht="16.5" x14ac:dyDescent="0.3">
      <c r="A290" s="2"/>
      <c r="B290" s="18">
        <v>1</v>
      </c>
      <c r="C290" s="6">
        <v>18</v>
      </c>
      <c r="D290" s="6">
        <v>101</v>
      </c>
      <c r="E290" s="6">
        <v>153</v>
      </c>
      <c r="F290" s="6">
        <v>258</v>
      </c>
      <c r="G290" s="6">
        <v>530</v>
      </c>
      <c r="I290" s="8">
        <f>C290</f>
        <v>18</v>
      </c>
      <c r="J290" s="8">
        <f t="shared" ref="J290:L290" si="87">D290</f>
        <v>101</v>
      </c>
      <c r="K290" s="8">
        <f t="shared" si="87"/>
        <v>153</v>
      </c>
      <c r="L290" s="8">
        <f t="shared" si="87"/>
        <v>258</v>
      </c>
    </row>
    <row r="291" spans="1:17" ht="16.5" x14ac:dyDescent="0.3">
      <c r="A291" s="2"/>
      <c r="B291" s="18"/>
      <c r="C291" s="6">
        <v>0.03</v>
      </c>
      <c r="D291" s="6">
        <v>0.17</v>
      </c>
      <c r="E291" s="6">
        <v>0.26</v>
      </c>
      <c r="F291" s="6">
        <v>0.44</v>
      </c>
      <c r="G291" s="6">
        <v>0.9</v>
      </c>
      <c r="I291" s="8">
        <f>C293</f>
        <v>0.17</v>
      </c>
      <c r="J291" s="8">
        <f>D293</f>
        <v>0.68</v>
      </c>
      <c r="K291" s="8">
        <f>E293</f>
        <v>0.92</v>
      </c>
      <c r="L291" s="8">
        <f>F293</f>
        <v>1.57</v>
      </c>
    </row>
    <row r="292" spans="1:17" ht="16.5" x14ac:dyDescent="0.3">
      <c r="A292" s="2"/>
      <c r="B292" s="18"/>
      <c r="C292" s="6">
        <v>3.4</v>
      </c>
      <c r="D292" s="6">
        <v>19.059999999999999</v>
      </c>
      <c r="E292" s="6">
        <v>28.87</v>
      </c>
      <c r="F292" s="6">
        <v>48.68</v>
      </c>
      <c r="G292" s="6"/>
    </row>
    <row r="293" spans="1:17" ht="16.5" x14ac:dyDescent="0.3">
      <c r="A293" s="2"/>
      <c r="B293" s="18"/>
      <c r="C293" s="6">
        <v>0.17</v>
      </c>
      <c r="D293" s="6">
        <v>0.68</v>
      </c>
      <c r="E293" s="6">
        <v>0.92</v>
      </c>
      <c r="F293" s="6">
        <v>1.57</v>
      </c>
      <c r="G293" s="6"/>
    </row>
    <row r="294" spans="1:17" ht="15.75" customHeight="1" x14ac:dyDescent="0.3">
      <c r="A294" s="2"/>
      <c r="B294" s="18" t="s">
        <v>22</v>
      </c>
      <c r="C294" s="6">
        <v>10768</v>
      </c>
      <c r="D294" s="6">
        <v>14860</v>
      </c>
      <c r="E294" s="6">
        <v>16634</v>
      </c>
      <c r="F294" s="6">
        <v>16424</v>
      </c>
      <c r="G294" s="6">
        <v>58686</v>
      </c>
    </row>
    <row r="295" spans="1:17" ht="16.5" x14ac:dyDescent="0.3">
      <c r="A295" s="2"/>
      <c r="B295" s="18"/>
      <c r="C295" s="6">
        <v>18.350000000000001</v>
      </c>
      <c r="D295" s="6">
        <v>25.32</v>
      </c>
      <c r="E295" s="6">
        <v>28.34</v>
      </c>
      <c r="F295" s="6">
        <v>27.99</v>
      </c>
      <c r="G295" s="6">
        <v>100</v>
      </c>
    </row>
    <row r="296" spans="1:17" ht="16.5" x14ac:dyDescent="0.3">
      <c r="A296" s="2"/>
      <c r="B296" s="26"/>
      <c r="C296" s="26"/>
      <c r="D296" s="26"/>
      <c r="E296" s="26"/>
      <c r="F296" s="26"/>
      <c r="G296" s="26"/>
    </row>
    <row r="297" spans="1:17" ht="17.25" thickBot="1" x14ac:dyDescent="0.35">
      <c r="A297"/>
      <c r="B297"/>
      <c r="C297"/>
      <c r="D297"/>
      <c r="E297"/>
      <c r="F297"/>
      <c r="G297"/>
    </row>
    <row r="298" spans="1:17" ht="16.5" customHeight="1" x14ac:dyDescent="0.3">
      <c r="A298" s="5" t="s">
        <v>2</v>
      </c>
      <c r="B298" s="17" t="s">
        <v>125</v>
      </c>
      <c r="C298" s="19"/>
      <c r="D298" s="19"/>
      <c r="E298" s="19"/>
      <c r="F298" s="19"/>
      <c r="G298" s="19"/>
    </row>
    <row r="299" spans="1:17" ht="16.5" customHeight="1" x14ac:dyDescent="0.3">
      <c r="A299" s="4" t="s">
        <v>3</v>
      </c>
      <c r="B299" s="18" t="s">
        <v>18</v>
      </c>
      <c r="C299" s="20" t="s">
        <v>108</v>
      </c>
      <c r="D299" s="20"/>
      <c r="E299" s="20"/>
      <c r="F299" s="20"/>
      <c r="G299" s="20"/>
    </row>
    <row r="300" spans="1:17" ht="16.5" x14ac:dyDescent="0.3">
      <c r="A300" s="4" t="s">
        <v>19</v>
      </c>
      <c r="B300" s="18"/>
      <c r="C300" s="3">
        <v>1</v>
      </c>
      <c r="D300" s="3">
        <v>2</v>
      </c>
      <c r="E300" s="3">
        <v>3</v>
      </c>
      <c r="F300" s="3">
        <v>4</v>
      </c>
      <c r="G300" s="3" t="s">
        <v>22</v>
      </c>
    </row>
    <row r="301" spans="1:17" ht="33" x14ac:dyDescent="0.3">
      <c r="A301" s="4" t="s">
        <v>20</v>
      </c>
      <c r="B301" s="18">
        <v>0</v>
      </c>
      <c r="C301" s="6">
        <v>10716</v>
      </c>
      <c r="D301" s="6">
        <v>14701</v>
      </c>
      <c r="E301" s="6">
        <v>16321</v>
      </c>
      <c r="F301" s="6">
        <v>15977</v>
      </c>
      <c r="G301" s="6">
        <v>57715</v>
      </c>
      <c r="I301" s="8">
        <f>C301</f>
        <v>10716</v>
      </c>
      <c r="J301" s="8">
        <f t="shared" ref="J301:L301" si="88">D301</f>
        <v>14701</v>
      </c>
      <c r="K301" s="8">
        <f t="shared" si="88"/>
        <v>16321</v>
      </c>
      <c r="L301" s="8">
        <f t="shared" si="88"/>
        <v>15977</v>
      </c>
      <c r="N301" s="8" t="str">
        <f>TEXT(I301,"#,##0")&amp;" ("&amp;TEXT(I302,"0.00")&amp;")"</f>
        <v>10,716 (99.52)</v>
      </c>
      <c r="O301" s="8" t="str">
        <f t="shared" ref="O301:Q301" si="89">TEXT(J301,"#,##0")&amp;" ("&amp;TEXT(J302,"0.00")&amp;")"</f>
        <v>14,701 (98.93)</v>
      </c>
      <c r="P301" s="8" t="str">
        <f t="shared" si="89"/>
        <v>16,321 (98.12)</v>
      </c>
      <c r="Q301" s="8" t="str">
        <f t="shared" si="89"/>
        <v>15,977 (97.28)</v>
      </c>
    </row>
    <row r="302" spans="1:17" ht="16.5" x14ac:dyDescent="0.3">
      <c r="A302" s="2"/>
      <c r="B302" s="18"/>
      <c r="C302" s="6">
        <v>18.260000000000002</v>
      </c>
      <c r="D302" s="6">
        <v>25.05</v>
      </c>
      <c r="E302" s="6">
        <v>27.81</v>
      </c>
      <c r="F302" s="6">
        <v>27.22</v>
      </c>
      <c r="G302" s="6">
        <v>98.35</v>
      </c>
      <c r="I302" s="8">
        <f>C304</f>
        <v>99.52</v>
      </c>
      <c r="J302" s="8">
        <f>D304</f>
        <v>98.93</v>
      </c>
      <c r="K302" s="8">
        <f>E304</f>
        <v>98.12</v>
      </c>
      <c r="L302" s="8">
        <f>F304</f>
        <v>97.28</v>
      </c>
      <c r="N302" s="8" t="str">
        <f>TEXT(I305,"#,##0")&amp;" ("&amp;TEXT(I306,"0.00")&amp;")"</f>
        <v>52 (0.48)</v>
      </c>
      <c r="O302" s="8" t="str">
        <f t="shared" ref="O302:Q302" si="90">TEXT(J305,"#,##0")&amp;" ("&amp;TEXT(J306,"0.00")&amp;")"</f>
        <v>159 (1.07)</v>
      </c>
      <c r="P302" s="8" t="str">
        <f t="shared" si="90"/>
        <v>313 (1.88)</v>
      </c>
      <c r="Q302" s="8" t="str">
        <f t="shared" si="90"/>
        <v>447 (2.72)</v>
      </c>
    </row>
    <row r="303" spans="1:17" ht="16.5" x14ac:dyDescent="0.3">
      <c r="A303" s="2"/>
      <c r="B303" s="18"/>
      <c r="C303" s="6">
        <v>18.57</v>
      </c>
      <c r="D303" s="6">
        <v>25.47</v>
      </c>
      <c r="E303" s="6">
        <v>28.28</v>
      </c>
      <c r="F303" s="6">
        <v>27.68</v>
      </c>
      <c r="G303" s="6"/>
    </row>
    <row r="304" spans="1:17" ht="16.5" x14ac:dyDescent="0.3">
      <c r="A304" s="2"/>
      <c r="B304" s="18"/>
      <c r="C304" s="6">
        <v>99.52</v>
      </c>
      <c r="D304" s="6">
        <v>98.93</v>
      </c>
      <c r="E304" s="6">
        <v>98.12</v>
      </c>
      <c r="F304" s="6">
        <v>97.28</v>
      </c>
      <c r="G304" s="6"/>
    </row>
    <row r="305" spans="1:12" ht="16.5" x14ac:dyDescent="0.3">
      <c r="A305" s="2"/>
      <c r="B305" s="18">
        <v>1</v>
      </c>
      <c r="C305" s="6">
        <v>52</v>
      </c>
      <c r="D305" s="6">
        <v>159</v>
      </c>
      <c r="E305" s="6">
        <v>313</v>
      </c>
      <c r="F305" s="6">
        <v>447</v>
      </c>
      <c r="G305" s="6">
        <v>971</v>
      </c>
      <c r="I305" s="8">
        <f>C305</f>
        <v>52</v>
      </c>
      <c r="J305" s="8">
        <f t="shared" ref="J305:L305" si="91">D305</f>
        <v>159</v>
      </c>
      <c r="K305" s="8">
        <f t="shared" si="91"/>
        <v>313</v>
      </c>
      <c r="L305" s="8">
        <f t="shared" si="91"/>
        <v>447</v>
      </c>
    </row>
    <row r="306" spans="1:12" ht="16.5" x14ac:dyDescent="0.3">
      <c r="A306" s="2"/>
      <c r="B306" s="18"/>
      <c r="C306" s="6">
        <v>0.09</v>
      </c>
      <c r="D306" s="6">
        <v>0.27</v>
      </c>
      <c r="E306" s="6">
        <v>0.53</v>
      </c>
      <c r="F306" s="6">
        <v>0.76</v>
      </c>
      <c r="G306" s="6">
        <v>1.65</v>
      </c>
      <c r="I306" s="8">
        <f>C308</f>
        <v>0.48</v>
      </c>
      <c r="J306" s="8">
        <f>D308</f>
        <v>1.07</v>
      </c>
      <c r="K306" s="8">
        <f>E308</f>
        <v>1.88</v>
      </c>
      <c r="L306" s="8">
        <f>F308</f>
        <v>2.72</v>
      </c>
    </row>
    <row r="307" spans="1:12" ht="16.5" x14ac:dyDescent="0.3">
      <c r="A307" s="2"/>
      <c r="B307" s="18"/>
      <c r="C307" s="6">
        <v>5.36</v>
      </c>
      <c r="D307" s="6">
        <v>16.37</v>
      </c>
      <c r="E307" s="6">
        <v>32.229999999999997</v>
      </c>
      <c r="F307" s="6">
        <v>46.04</v>
      </c>
      <c r="G307" s="6"/>
    </row>
    <row r="308" spans="1:12" ht="16.5" x14ac:dyDescent="0.3">
      <c r="A308" s="2"/>
      <c r="B308" s="18"/>
      <c r="C308" s="6">
        <v>0.48</v>
      </c>
      <c r="D308" s="6">
        <v>1.07</v>
      </c>
      <c r="E308" s="6">
        <v>1.88</v>
      </c>
      <c r="F308" s="6">
        <v>2.72</v>
      </c>
      <c r="G308" s="6"/>
    </row>
    <row r="309" spans="1:12" ht="15.75" customHeight="1" x14ac:dyDescent="0.3">
      <c r="A309" s="2"/>
      <c r="B309" s="18" t="s">
        <v>22</v>
      </c>
      <c r="C309" s="6">
        <v>10768</v>
      </c>
      <c r="D309" s="6">
        <v>14860</v>
      </c>
      <c r="E309" s="6">
        <v>16634</v>
      </c>
      <c r="F309" s="6">
        <v>16424</v>
      </c>
      <c r="G309" s="6">
        <v>58686</v>
      </c>
    </row>
    <row r="310" spans="1:12" ht="16.5" x14ac:dyDescent="0.3">
      <c r="A310" s="2"/>
      <c r="B310" s="18"/>
      <c r="C310" s="6">
        <v>18.350000000000001</v>
      </c>
      <c r="D310" s="6">
        <v>25.32</v>
      </c>
      <c r="E310" s="6">
        <v>28.34</v>
      </c>
      <c r="F310" s="6">
        <v>27.99</v>
      </c>
      <c r="G310" s="6">
        <v>100</v>
      </c>
    </row>
    <row r="311" spans="1:12" ht="16.5" x14ac:dyDescent="0.3">
      <c r="A311" s="2"/>
      <c r="B311" s="26"/>
      <c r="C311" s="26"/>
      <c r="D311" s="26"/>
      <c r="E311" s="26"/>
      <c r="F311" s="26"/>
      <c r="G311" s="26"/>
    </row>
  </sheetData>
  <autoFilter ref="B1:B311" xr:uid="{96A188CC-4326-4D8E-8C54-2BA0DE393546}"/>
  <mergeCells count="136">
    <mergeCell ref="B301:B304"/>
    <mergeCell ref="B305:B308"/>
    <mergeCell ref="B309:B310"/>
    <mergeCell ref="B311:G311"/>
    <mergeCell ref="B286:B289"/>
    <mergeCell ref="B290:B293"/>
    <mergeCell ref="B294:B295"/>
    <mergeCell ref="B296:G296"/>
    <mergeCell ref="B298:G298"/>
    <mergeCell ref="B299:B300"/>
    <mergeCell ref="C299:G299"/>
    <mergeCell ref="B271:B274"/>
    <mergeCell ref="B275:B278"/>
    <mergeCell ref="B279:B280"/>
    <mergeCell ref="B281:G281"/>
    <mergeCell ref="B283:G283"/>
    <mergeCell ref="B284:B285"/>
    <mergeCell ref="C284:G284"/>
    <mergeCell ref="B256:B259"/>
    <mergeCell ref="B260:B263"/>
    <mergeCell ref="B264:B265"/>
    <mergeCell ref="B266:G266"/>
    <mergeCell ref="B268:G268"/>
    <mergeCell ref="B269:B270"/>
    <mergeCell ref="C269:G269"/>
    <mergeCell ref="B241:B244"/>
    <mergeCell ref="B245:B248"/>
    <mergeCell ref="B249:B250"/>
    <mergeCell ref="B251:G251"/>
    <mergeCell ref="B253:G253"/>
    <mergeCell ref="B254:B255"/>
    <mergeCell ref="C254:G254"/>
    <mergeCell ref="B226:B229"/>
    <mergeCell ref="B230:B233"/>
    <mergeCell ref="B234:B235"/>
    <mergeCell ref="B236:G236"/>
    <mergeCell ref="B238:G238"/>
    <mergeCell ref="B239:B240"/>
    <mergeCell ref="C239:G239"/>
    <mergeCell ref="B215:B218"/>
    <mergeCell ref="B219:B220"/>
    <mergeCell ref="B221:G221"/>
    <mergeCell ref="B223:G223"/>
    <mergeCell ref="B224:B225"/>
    <mergeCell ref="C224:G224"/>
    <mergeCell ref="B204:B205"/>
    <mergeCell ref="B206:G206"/>
    <mergeCell ref="B208:G208"/>
    <mergeCell ref="B209:B210"/>
    <mergeCell ref="C209:G209"/>
    <mergeCell ref="B211:B214"/>
    <mergeCell ref="B191:G191"/>
    <mergeCell ref="B193:G193"/>
    <mergeCell ref="B194:B195"/>
    <mergeCell ref="C194:G194"/>
    <mergeCell ref="B196:B199"/>
    <mergeCell ref="B200:B203"/>
    <mergeCell ref="B175:B176"/>
    <mergeCell ref="C175:G175"/>
    <mergeCell ref="B177:B180"/>
    <mergeCell ref="B181:B184"/>
    <mergeCell ref="B185:B188"/>
    <mergeCell ref="B189:B190"/>
    <mergeCell ref="B158:B161"/>
    <mergeCell ref="B162:B165"/>
    <mergeCell ref="B166:B169"/>
    <mergeCell ref="B170:B171"/>
    <mergeCell ref="B172:G172"/>
    <mergeCell ref="B174:G174"/>
    <mergeCell ref="B147:B150"/>
    <mergeCell ref="B151:B152"/>
    <mergeCell ref="B153:G153"/>
    <mergeCell ref="B155:G155"/>
    <mergeCell ref="B156:B157"/>
    <mergeCell ref="C156:G156"/>
    <mergeCell ref="B134:G134"/>
    <mergeCell ref="B136:G136"/>
    <mergeCell ref="B137:B138"/>
    <mergeCell ref="C137:G137"/>
    <mergeCell ref="B139:B142"/>
    <mergeCell ref="B143:B146"/>
    <mergeCell ref="B121:G121"/>
    <mergeCell ref="B122:B123"/>
    <mergeCell ref="C122:G122"/>
    <mergeCell ref="B124:B127"/>
    <mergeCell ref="B128:B131"/>
    <mergeCell ref="B132:B133"/>
    <mergeCell ref="B101:B104"/>
    <mergeCell ref="B105:B108"/>
    <mergeCell ref="B109:B112"/>
    <mergeCell ref="B113:B116"/>
    <mergeCell ref="B117:B118"/>
    <mergeCell ref="B119:G119"/>
    <mergeCell ref="B90:B93"/>
    <mergeCell ref="B94:B95"/>
    <mergeCell ref="B96:G96"/>
    <mergeCell ref="B98:G98"/>
    <mergeCell ref="B99:B100"/>
    <mergeCell ref="C99:G99"/>
    <mergeCell ref="B75:G75"/>
    <mergeCell ref="B76:B77"/>
    <mergeCell ref="C76:G76"/>
    <mergeCell ref="B78:B81"/>
    <mergeCell ref="B82:B85"/>
    <mergeCell ref="B86:B89"/>
    <mergeCell ref="B55:B58"/>
    <mergeCell ref="B59:B62"/>
    <mergeCell ref="B63:B66"/>
    <mergeCell ref="B67:B70"/>
    <mergeCell ref="B71:B72"/>
    <mergeCell ref="B73:G73"/>
    <mergeCell ref="B40:B43"/>
    <mergeCell ref="B44:B47"/>
    <mergeCell ref="B48:B49"/>
    <mergeCell ref="B50:G50"/>
    <mergeCell ref="B52:G52"/>
    <mergeCell ref="B53:B54"/>
    <mergeCell ref="C53:G53"/>
    <mergeCell ref="B29:B32"/>
    <mergeCell ref="B33:B34"/>
    <mergeCell ref="B35:G35"/>
    <mergeCell ref="B37:G37"/>
    <mergeCell ref="B38:B39"/>
    <mergeCell ref="C38:G38"/>
    <mergeCell ref="B18:B19"/>
    <mergeCell ref="B20:G20"/>
    <mergeCell ref="B22:G22"/>
    <mergeCell ref="B23:B24"/>
    <mergeCell ref="C23:G23"/>
    <mergeCell ref="B25:B28"/>
    <mergeCell ref="B3:G3"/>
    <mergeCell ref="B4:B5"/>
    <mergeCell ref="C4:G4"/>
    <mergeCell ref="B6:B9"/>
    <mergeCell ref="B10:B13"/>
    <mergeCell ref="B14:B1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82DB-6131-45B1-B940-731ABC3B3E59}">
  <dimension ref="A1:K21"/>
  <sheetViews>
    <sheetView workbookViewId="0">
      <selection activeCell="F16" sqref="F16"/>
    </sheetView>
  </sheetViews>
  <sheetFormatPr defaultRowHeight="15.75" x14ac:dyDescent="0.3"/>
  <cols>
    <col min="1" max="1" width="9" style="8"/>
    <col min="2" max="2" width="9.25" style="8" bestFit="1" customWidth="1"/>
    <col min="3" max="6" width="12.25" style="8" bestFit="1" customWidth="1"/>
    <col min="7" max="7" width="9" style="8"/>
    <col min="8" max="9" width="9.25" style="8" bestFit="1" customWidth="1"/>
    <col min="10" max="10" width="9" style="8"/>
    <col min="11" max="11" width="13.125" style="8" bestFit="1" customWidth="1"/>
    <col min="12" max="16384" width="9" style="8"/>
  </cols>
  <sheetData>
    <row r="1" spans="1:11" ht="17.25" x14ac:dyDescent="0.3">
      <c r="A1" s="7" t="s">
        <v>152</v>
      </c>
    </row>
    <row r="2" spans="1:11" ht="16.5" thickBot="1" x14ac:dyDescent="0.35"/>
    <row r="3" spans="1:11" ht="17.25" x14ac:dyDescent="0.3">
      <c r="A3" s="14" t="s">
        <v>153</v>
      </c>
      <c r="B3" s="9" t="s">
        <v>128</v>
      </c>
      <c r="C3" s="9" t="s">
        <v>154</v>
      </c>
      <c r="D3" s="9" t="s">
        <v>155</v>
      </c>
      <c r="E3" s="9" t="s">
        <v>156</v>
      </c>
      <c r="F3" s="9" t="s">
        <v>157</v>
      </c>
    </row>
    <row r="4" spans="1:11" x14ac:dyDescent="0.3">
      <c r="A4" s="30" t="s">
        <v>133</v>
      </c>
      <c r="B4" s="31">
        <v>58686</v>
      </c>
      <c r="C4" s="31">
        <v>50.938758800000002</v>
      </c>
      <c r="D4" s="31">
        <v>12.267129799999999</v>
      </c>
      <c r="E4" s="31">
        <v>30</v>
      </c>
      <c r="F4" s="31">
        <v>74</v>
      </c>
      <c r="H4" s="8">
        <f>C4</f>
        <v>50.938758800000002</v>
      </c>
      <c r="I4" s="8">
        <f>D4</f>
        <v>12.267129799999999</v>
      </c>
      <c r="K4" s="8" t="str">
        <f>TEXT(H4,"0.00")&amp;" ± "&amp;TEXT(I4,"0.00")</f>
        <v>50.94 ± 12.27</v>
      </c>
    </row>
    <row r="5" spans="1:11" x14ac:dyDescent="0.3">
      <c r="A5" s="30" t="s">
        <v>135</v>
      </c>
      <c r="B5" s="31">
        <v>58686</v>
      </c>
      <c r="C5" s="31">
        <v>24.026649299999999</v>
      </c>
      <c r="D5" s="31">
        <v>3.3796173</v>
      </c>
      <c r="E5" s="31">
        <v>13.735636599999999</v>
      </c>
      <c r="F5" s="31">
        <v>53.537693400000002</v>
      </c>
      <c r="H5" s="8">
        <f t="shared" ref="H5:H22" si="0">C5</f>
        <v>24.026649299999999</v>
      </c>
      <c r="I5" s="8">
        <f t="shared" ref="I5:I21" si="1">D5</f>
        <v>3.3796173</v>
      </c>
      <c r="K5" s="8" t="str">
        <f t="shared" ref="K5:K21" si="2">TEXT(H5,"0.00")&amp;" ± "&amp;TEXT(I5,"0.00")</f>
        <v>24.03 ± 3.38</v>
      </c>
    </row>
    <row r="6" spans="1:11" x14ac:dyDescent="0.3">
      <c r="A6" s="30" t="s">
        <v>134</v>
      </c>
      <c r="B6" s="31">
        <v>58686</v>
      </c>
      <c r="C6" s="31">
        <v>82.829840200000007</v>
      </c>
      <c r="D6" s="31">
        <v>9.8701489999999996</v>
      </c>
      <c r="E6" s="31">
        <v>36.200000000000003</v>
      </c>
      <c r="F6" s="31">
        <v>166.1</v>
      </c>
      <c r="H6" s="8">
        <f t="shared" si="0"/>
        <v>82.829840200000007</v>
      </c>
      <c r="I6" s="8">
        <f t="shared" si="1"/>
        <v>9.8701489999999996</v>
      </c>
      <c r="K6" s="8" t="str">
        <f t="shared" si="2"/>
        <v>82.83 ± 9.87</v>
      </c>
    </row>
    <row r="7" spans="1:11" x14ac:dyDescent="0.3">
      <c r="A7" s="30" t="s">
        <v>148</v>
      </c>
      <c r="B7" s="31">
        <v>58686</v>
      </c>
      <c r="C7" s="31">
        <v>7.7934699999999996E-2</v>
      </c>
      <c r="D7" s="31">
        <v>4.3569000000000004E-3</v>
      </c>
      <c r="E7" s="31">
        <v>4.5616799999999999E-2</v>
      </c>
      <c r="F7" s="31">
        <v>0.15107219999999999</v>
      </c>
      <c r="H7" s="8">
        <f t="shared" si="0"/>
        <v>7.7934699999999996E-2</v>
      </c>
      <c r="I7" s="8">
        <f t="shared" si="1"/>
        <v>4.3569000000000004E-3</v>
      </c>
      <c r="K7" s="8" t="str">
        <f t="shared" si="2"/>
        <v>0.08 ± 0.00</v>
      </c>
    </row>
    <row r="8" spans="1:11" x14ac:dyDescent="0.3">
      <c r="A8" s="30" t="s">
        <v>136</v>
      </c>
      <c r="B8" s="31">
        <v>58686</v>
      </c>
      <c r="C8" s="31">
        <v>118.7122482</v>
      </c>
      <c r="D8" s="31">
        <v>16.427492399999998</v>
      </c>
      <c r="E8" s="31">
        <v>70</v>
      </c>
      <c r="F8" s="31">
        <v>243</v>
      </c>
      <c r="H8" s="8">
        <f t="shared" si="0"/>
        <v>118.7122482</v>
      </c>
      <c r="I8" s="8">
        <f t="shared" si="1"/>
        <v>16.427492399999998</v>
      </c>
      <c r="K8" s="8" t="str">
        <f t="shared" si="2"/>
        <v>118.71 ± 16.43</v>
      </c>
    </row>
    <row r="9" spans="1:11" x14ac:dyDescent="0.3">
      <c r="A9" s="30" t="s">
        <v>137</v>
      </c>
      <c r="B9" s="31">
        <v>58686</v>
      </c>
      <c r="C9" s="31">
        <v>100.6533586</v>
      </c>
      <c r="D9" s="31">
        <v>23.2480625</v>
      </c>
      <c r="E9" s="31">
        <v>40</v>
      </c>
      <c r="F9" s="31">
        <v>553</v>
      </c>
      <c r="H9" s="8">
        <f t="shared" si="0"/>
        <v>100.6533586</v>
      </c>
      <c r="I9" s="8">
        <f t="shared" si="1"/>
        <v>23.2480625</v>
      </c>
      <c r="K9" s="8" t="str">
        <f t="shared" si="2"/>
        <v>100.65 ± 23.25</v>
      </c>
    </row>
    <row r="10" spans="1:11" x14ac:dyDescent="0.3">
      <c r="A10" s="30" t="s">
        <v>140</v>
      </c>
      <c r="B10" s="31">
        <v>58686</v>
      </c>
      <c r="C10" s="31">
        <v>192.2155028</v>
      </c>
      <c r="D10" s="31">
        <v>37.117211300000001</v>
      </c>
      <c r="E10" s="31">
        <v>66</v>
      </c>
      <c r="F10" s="31">
        <v>554</v>
      </c>
      <c r="H10" s="8">
        <f t="shared" si="0"/>
        <v>192.2155028</v>
      </c>
      <c r="I10" s="8">
        <f t="shared" si="1"/>
        <v>37.117211300000001</v>
      </c>
      <c r="K10" s="8" t="str">
        <f t="shared" si="2"/>
        <v>192.22 ± 37.12</v>
      </c>
    </row>
    <row r="11" spans="1:11" ht="31.5" x14ac:dyDescent="0.3">
      <c r="A11" s="30" t="s">
        <v>139</v>
      </c>
      <c r="B11" s="31">
        <v>58686</v>
      </c>
      <c r="C11" s="31">
        <v>50.887713699999999</v>
      </c>
      <c r="D11" s="31">
        <v>12.749645599999999</v>
      </c>
      <c r="E11" s="31">
        <v>5.9180000000000001</v>
      </c>
      <c r="F11" s="31">
        <v>145.298</v>
      </c>
      <c r="H11" s="8">
        <f t="shared" si="0"/>
        <v>50.887713699999999</v>
      </c>
      <c r="I11" s="8">
        <f t="shared" si="1"/>
        <v>12.749645599999999</v>
      </c>
      <c r="K11" s="8" t="str">
        <f t="shared" si="2"/>
        <v>50.89 ± 12.75</v>
      </c>
    </row>
    <row r="12" spans="1:11" x14ac:dyDescent="0.3">
      <c r="A12" s="30" t="s">
        <v>138</v>
      </c>
      <c r="B12" s="31">
        <v>58686</v>
      </c>
      <c r="C12" s="31">
        <v>139.12266980000001</v>
      </c>
      <c r="D12" s="31">
        <v>114.0952192</v>
      </c>
      <c r="E12" s="31">
        <v>14</v>
      </c>
      <c r="F12" s="31">
        <v>2774</v>
      </c>
      <c r="H12" s="8">
        <f t="shared" si="0"/>
        <v>139.12266980000001</v>
      </c>
      <c r="I12" s="8">
        <f t="shared" si="1"/>
        <v>114.0952192</v>
      </c>
      <c r="K12" s="8" t="str">
        <f t="shared" si="2"/>
        <v>139.12 ± 114.10</v>
      </c>
    </row>
    <row r="13" spans="1:11" x14ac:dyDescent="0.3">
      <c r="A13" s="30" t="s">
        <v>141</v>
      </c>
      <c r="B13" s="31">
        <v>58686</v>
      </c>
      <c r="C13" s="31">
        <v>23.5644788</v>
      </c>
      <c r="D13" s="31">
        <v>14.511483</v>
      </c>
      <c r="E13" s="31">
        <v>6</v>
      </c>
      <c r="F13" s="31">
        <v>927</v>
      </c>
      <c r="H13" s="8">
        <f t="shared" si="0"/>
        <v>23.5644788</v>
      </c>
      <c r="I13" s="8">
        <f t="shared" si="1"/>
        <v>14.511483</v>
      </c>
      <c r="K13" s="8" t="str">
        <f t="shared" si="2"/>
        <v>23.56 ± 14.51</v>
      </c>
    </row>
    <row r="14" spans="1:11" x14ac:dyDescent="0.3">
      <c r="A14" s="30" t="s">
        <v>142</v>
      </c>
      <c r="B14" s="31">
        <v>58686</v>
      </c>
      <c r="C14" s="31">
        <v>23.000374900000001</v>
      </c>
      <c r="D14" s="31">
        <v>18.927152400000001</v>
      </c>
      <c r="E14" s="31">
        <v>1</v>
      </c>
      <c r="F14" s="31">
        <v>893</v>
      </c>
      <c r="H14" s="8">
        <f t="shared" si="0"/>
        <v>23.000374900000001</v>
      </c>
      <c r="I14" s="8">
        <f t="shared" si="1"/>
        <v>18.927152400000001</v>
      </c>
      <c r="K14" s="8" t="str">
        <f t="shared" si="2"/>
        <v>23.00 ± 18.93</v>
      </c>
    </row>
    <row r="15" spans="1:11" x14ac:dyDescent="0.3">
      <c r="A15" s="30" t="s">
        <v>143</v>
      </c>
      <c r="B15" s="31">
        <v>58686</v>
      </c>
      <c r="C15" s="31">
        <v>14.0472924</v>
      </c>
      <c r="D15" s="31">
        <v>1.5778824</v>
      </c>
      <c r="E15" s="31">
        <v>3.9</v>
      </c>
      <c r="F15" s="31">
        <v>21.3</v>
      </c>
      <c r="H15" s="8">
        <f t="shared" si="0"/>
        <v>14.0472924</v>
      </c>
      <c r="I15" s="8">
        <f t="shared" si="1"/>
        <v>1.5778824</v>
      </c>
      <c r="K15" s="8" t="str">
        <f t="shared" si="2"/>
        <v>14.05 ± 1.58</v>
      </c>
    </row>
    <row r="16" spans="1:11" x14ac:dyDescent="0.3">
      <c r="A16" s="30" t="s">
        <v>144</v>
      </c>
      <c r="B16" s="31">
        <v>58686</v>
      </c>
      <c r="C16" s="31">
        <v>14.605825899999999</v>
      </c>
      <c r="D16" s="31">
        <v>4.3913595000000001</v>
      </c>
      <c r="E16" s="31">
        <v>2</v>
      </c>
      <c r="F16" s="31">
        <v>140</v>
      </c>
      <c r="H16" s="8">
        <f t="shared" si="0"/>
        <v>14.605825899999999</v>
      </c>
      <c r="I16" s="8">
        <f t="shared" si="1"/>
        <v>4.3913595000000001</v>
      </c>
      <c r="K16" s="8" t="str">
        <f t="shared" si="2"/>
        <v>14.61 ± 4.39</v>
      </c>
    </row>
    <row r="17" spans="1:11" x14ac:dyDescent="0.3">
      <c r="A17" s="30" t="s">
        <v>145</v>
      </c>
      <c r="B17" s="31">
        <v>58686</v>
      </c>
      <c r="C17" s="31">
        <v>0.83010680000000003</v>
      </c>
      <c r="D17" s="31">
        <v>0.25518800000000003</v>
      </c>
      <c r="E17" s="31">
        <v>0.2</v>
      </c>
      <c r="F17" s="31">
        <v>17.53</v>
      </c>
      <c r="H17" s="8">
        <f t="shared" si="0"/>
        <v>0.83010680000000003</v>
      </c>
      <c r="I17" s="8">
        <f t="shared" si="1"/>
        <v>0.25518800000000003</v>
      </c>
      <c r="K17" s="8" t="str">
        <f t="shared" si="2"/>
        <v>0.83 ± 0.26</v>
      </c>
    </row>
    <row r="18" spans="1:11" x14ac:dyDescent="0.3">
      <c r="A18" s="30" t="s">
        <v>150</v>
      </c>
      <c r="B18" s="31">
        <v>58686</v>
      </c>
      <c r="C18" s="31">
        <v>10.412721100000001</v>
      </c>
      <c r="D18" s="31">
        <v>11.5984883</v>
      </c>
      <c r="E18" s="31">
        <v>1</v>
      </c>
      <c r="F18" s="31">
        <v>96.39</v>
      </c>
      <c r="H18" s="8">
        <f t="shared" si="0"/>
        <v>10.412721100000001</v>
      </c>
      <c r="I18" s="8">
        <f t="shared" si="1"/>
        <v>11.5984883</v>
      </c>
      <c r="K18" s="8" t="str">
        <f t="shared" si="2"/>
        <v>10.41 ± 11.60</v>
      </c>
    </row>
    <row r="19" spans="1:11" x14ac:dyDescent="0.3">
      <c r="A19" s="30" t="s">
        <v>146</v>
      </c>
      <c r="B19" s="31">
        <v>58686</v>
      </c>
      <c r="C19" s="31">
        <v>8.6380178999999995</v>
      </c>
      <c r="D19" s="31">
        <v>0.66617150000000003</v>
      </c>
      <c r="E19" s="31">
        <v>6.4441312999999996</v>
      </c>
      <c r="F19" s="31">
        <v>12.543457</v>
      </c>
      <c r="H19" s="8">
        <f t="shared" si="0"/>
        <v>8.6380178999999995</v>
      </c>
      <c r="I19" s="8">
        <f t="shared" si="1"/>
        <v>0.66617150000000003</v>
      </c>
      <c r="K19" s="8" t="str">
        <f t="shared" si="2"/>
        <v>8.64 ± 0.67</v>
      </c>
    </row>
    <row r="20" spans="1:11" x14ac:dyDescent="0.3">
      <c r="A20" s="30" t="s">
        <v>147</v>
      </c>
      <c r="B20" s="31">
        <v>58686</v>
      </c>
      <c r="C20" s="31">
        <v>208.3457683</v>
      </c>
      <c r="D20" s="31">
        <v>38.209452800000001</v>
      </c>
      <c r="E20" s="31">
        <v>109.8633621</v>
      </c>
      <c r="F20" s="31">
        <v>515.03065579999998</v>
      </c>
      <c r="H20" s="8">
        <f t="shared" si="0"/>
        <v>208.3457683</v>
      </c>
      <c r="I20" s="8">
        <f t="shared" si="1"/>
        <v>38.209452800000001</v>
      </c>
      <c r="K20" s="8" t="str">
        <f t="shared" si="2"/>
        <v>208.35 ± 38.21</v>
      </c>
    </row>
    <row r="21" spans="1:11" x14ac:dyDescent="0.3">
      <c r="A21" s="30" t="s">
        <v>149</v>
      </c>
      <c r="B21" s="31">
        <v>58686</v>
      </c>
      <c r="C21" s="31">
        <v>0.67401630000000001</v>
      </c>
      <c r="D21" s="31">
        <v>7.2125499999999995E-2</v>
      </c>
      <c r="E21" s="31">
        <v>0.40120869999999997</v>
      </c>
      <c r="F21" s="31">
        <v>1.3241700999999999</v>
      </c>
      <c r="H21" s="8">
        <f t="shared" si="0"/>
        <v>0.67401630000000001</v>
      </c>
      <c r="I21" s="8">
        <f t="shared" si="1"/>
        <v>7.2125499999999995E-2</v>
      </c>
      <c r="K21" s="8" t="str">
        <f t="shared" si="2"/>
        <v>0.67 ± 0.07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DF30-591F-4882-9736-18769F08C2D6}">
  <dimension ref="A1:M57"/>
  <sheetViews>
    <sheetView zoomScale="115" zoomScaleNormal="115" workbookViewId="0">
      <selection activeCell="J4" sqref="J4:M4"/>
    </sheetView>
  </sheetViews>
  <sheetFormatPr defaultRowHeight="15.75" x14ac:dyDescent="0.3"/>
  <cols>
    <col min="1" max="2" width="9.25" style="8" bestFit="1" customWidth="1"/>
    <col min="3" max="3" width="9" style="8"/>
    <col min="4" max="4" width="9.25" style="8" bestFit="1" customWidth="1"/>
    <col min="5" max="8" width="12.25" style="8" bestFit="1" customWidth="1"/>
    <col min="9" max="9" width="9" style="8"/>
    <col min="10" max="11" width="9.25" style="8" bestFit="1" customWidth="1"/>
    <col min="12" max="12" width="9" style="8"/>
    <col min="13" max="13" width="15.125" style="8" bestFit="1" customWidth="1"/>
    <col min="14" max="16384" width="9" style="8"/>
  </cols>
  <sheetData>
    <row r="1" spans="1:13" ht="17.25" x14ac:dyDescent="0.3">
      <c r="A1" s="7" t="s">
        <v>152</v>
      </c>
    </row>
    <row r="2" spans="1:13" ht="16.5" thickBot="1" x14ac:dyDescent="0.35"/>
    <row r="3" spans="1:13" ht="17.25" x14ac:dyDescent="0.3">
      <c r="A3" s="14" t="s">
        <v>21</v>
      </c>
      <c r="B3" s="9" t="s">
        <v>158</v>
      </c>
      <c r="C3" s="9" t="s">
        <v>153</v>
      </c>
      <c r="D3" s="9" t="s">
        <v>128</v>
      </c>
      <c r="E3" s="9" t="s">
        <v>154</v>
      </c>
      <c r="F3" s="9" t="s">
        <v>155</v>
      </c>
      <c r="G3" s="9" t="s">
        <v>156</v>
      </c>
      <c r="H3" s="9" t="s">
        <v>157</v>
      </c>
    </row>
    <row r="4" spans="1:13" x14ac:dyDescent="0.3">
      <c r="A4" s="21">
        <v>1</v>
      </c>
      <c r="B4" s="25">
        <v>38114</v>
      </c>
      <c r="C4" s="32" t="s">
        <v>133</v>
      </c>
      <c r="D4" s="31">
        <v>38114</v>
      </c>
      <c r="E4" s="31">
        <v>45.4216561</v>
      </c>
      <c r="F4" s="31">
        <v>10.2548592</v>
      </c>
      <c r="G4" s="31">
        <v>30</v>
      </c>
      <c r="H4" s="31">
        <v>74</v>
      </c>
      <c r="J4" s="8">
        <f>E4</f>
        <v>45.4216561</v>
      </c>
      <c r="K4" s="8">
        <f>F4</f>
        <v>10.2548592</v>
      </c>
      <c r="M4" s="8" t="str">
        <f>TEXT(J4,"0.00")&amp;" ± "&amp;TEXT(K4,"0.00")</f>
        <v>45.42 ± 10.25</v>
      </c>
    </row>
    <row r="5" spans="1:13" x14ac:dyDescent="0.3">
      <c r="A5" s="21"/>
      <c r="B5" s="25"/>
      <c r="C5" s="32" t="s">
        <v>135</v>
      </c>
      <c r="D5" s="31">
        <v>38114</v>
      </c>
      <c r="E5" s="31">
        <v>23.658787499999999</v>
      </c>
      <c r="F5" s="31">
        <v>3.4489797000000002</v>
      </c>
      <c r="G5" s="31">
        <v>13.735636599999999</v>
      </c>
      <c r="H5" s="31">
        <v>53.537693400000002</v>
      </c>
      <c r="J5" s="8">
        <f t="shared" ref="J5:J57" si="0">E5</f>
        <v>23.658787499999999</v>
      </c>
      <c r="K5" s="8">
        <f t="shared" ref="K5:K57" si="1">F5</f>
        <v>3.4489797000000002</v>
      </c>
      <c r="M5" s="8" t="str">
        <f t="shared" ref="M5:M57" si="2">TEXT(J5,"0.00")&amp;" ± "&amp;TEXT(K5,"0.00")</f>
        <v>23.66 ± 3.45</v>
      </c>
    </row>
    <row r="6" spans="1:13" x14ac:dyDescent="0.3">
      <c r="A6" s="21"/>
      <c r="B6" s="25"/>
      <c r="C6" s="32" t="s">
        <v>134</v>
      </c>
      <c r="D6" s="31">
        <v>38114</v>
      </c>
      <c r="E6" s="31">
        <v>80.485871299999999</v>
      </c>
      <c r="F6" s="31">
        <v>9.7116922999999993</v>
      </c>
      <c r="G6" s="31">
        <v>49.3</v>
      </c>
      <c r="H6" s="31">
        <v>138.5</v>
      </c>
      <c r="J6" s="8">
        <f t="shared" si="0"/>
        <v>80.485871299999999</v>
      </c>
      <c r="K6" s="8">
        <f t="shared" si="1"/>
        <v>9.7116922999999993</v>
      </c>
      <c r="M6" s="8" t="str">
        <f t="shared" si="2"/>
        <v>80.49 ± 9.71</v>
      </c>
    </row>
    <row r="7" spans="1:13" x14ac:dyDescent="0.3">
      <c r="A7" s="21"/>
      <c r="B7" s="25"/>
      <c r="C7" s="32" t="s">
        <v>148</v>
      </c>
      <c r="D7" s="31">
        <v>38114</v>
      </c>
      <c r="E7" s="31">
        <v>7.6666300000000007E-2</v>
      </c>
      <c r="F7" s="31">
        <v>4.0251000000000002E-3</v>
      </c>
      <c r="G7" s="31">
        <v>4.9122800000000001E-2</v>
      </c>
      <c r="H7" s="31">
        <v>0.1020525</v>
      </c>
      <c r="J7" s="8">
        <f t="shared" si="0"/>
        <v>7.6666300000000007E-2</v>
      </c>
      <c r="K7" s="8">
        <f t="shared" si="1"/>
        <v>4.0251000000000002E-3</v>
      </c>
      <c r="M7" s="8" t="str">
        <f t="shared" si="2"/>
        <v>0.08 ± 0.00</v>
      </c>
    </row>
    <row r="8" spans="1:13" x14ac:dyDescent="0.3">
      <c r="A8" s="21"/>
      <c r="B8" s="25"/>
      <c r="C8" s="32" t="s">
        <v>136</v>
      </c>
      <c r="D8" s="31">
        <v>38114</v>
      </c>
      <c r="E8" s="31">
        <v>112.9237682</v>
      </c>
      <c r="F8" s="31">
        <v>13.0846553</v>
      </c>
      <c r="G8" s="31">
        <v>75</v>
      </c>
      <c r="H8" s="31">
        <v>197</v>
      </c>
      <c r="J8" s="8">
        <f t="shared" si="0"/>
        <v>112.9237682</v>
      </c>
      <c r="K8" s="8">
        <f t="shared" si="1"/>
        <v>13.0846553</v>
      </c>
      <c r="M8" s="8" t="str">
        <f t="shared" si="2"/>
        <v>112.92 ± 13.08</v>
      </c>
    </row>
    <row r="9" spans="1:13" x14ac:dyDescent="0.3">
      <c r="A9" s="21"/>
      <c r="B9" s="25"/>
      <c r="C9" s="32" t="s">
        <v>137</v>
      </c>
      <c r="D9" s="31">
        <v>38114</v>
      </c>
      <c r="E9" s="31">
        <v>95.739282200000005</v>
      </c>
      <c r="F9" s="31">
        <v>17.1712214</v>
      </c>
      <c r="G9" s="31">
        <v>40</v>
      </c>
      <c r="H9" s="31">
        <v>384</v>
      </c>
      <c r="J9" s="8">
        <f t="shared" si="0"/>
        <v>95.739282200000005</v>
      </c>
      <c r="K9" s="8">
        <f t="shared" si="1"/>
        <v>17.1712214</v>
      </c>
      <c r="M9" s="8" t="str">
        <f t="shared" si="2"/>
        <v>95.74 ± 17.17</v>
      </c>
    </row>
    <row r="10" spans="1:13" x14ac:dyDescent="0.3">
      <c r="A10" s="21"/>
      <c r="B10" s="25"/>
      <c r="C10" s="32" t="s">
        <v>140</v>
      </c>
      <c r="D10" s="31">
        <v>38114</v>
      </c>
      <c r="E10" s="31">
        <v>191.16049219999999</v>
      </c>
      <c r="F10" s="31">
        <v>34.948344800000001</v>
      </c>
      <c r="G10" s="31">
        <v>66</v>
      </c>
      <c r="H10" s="31">
        <v>457</v>
      </c>
      <c r="J10" s="8">
        <f t="shared" si="0"/>
        <v>191.16049219999999</v>
      </c>
      <c r="K10" s="8">
        <f t="shared" si="1"/>
        <v>34.948344800000001</v>
      </c>
      <c r="M10" s="8" t="str">
        <f t="shared" si="2"/>
        <v>191.16 ± 34.95</v>
      </c>
    </row>
    <row r="11" spans="1:13" ht="31.5" x14ac:dyDescent="0.3">
      <c r="A11" s="21"/>
      <c r="B11" s="25"/>
      <c r="C11" s="32" t="s">
        <v>139</v>
      </c>
      <c r="D11" s="31">
        <v>38114</v>
      </c>
      <c r="E11" s="31">
        <v>53.335153499999997</v>
      </c>
      <c r="F11" s="31">
        <v>12.8217091</v>
      </c>
      <c r="G11" s="31">
        <v>15</v>
      </c>
      <c r="H11" s="31">
        <v>145.298</v>
      </c>
      <c r="J11" s="8">
        <f t="shared" si="0"/>
        <v>53.335153499999997</v>
      </c>
      <c r="K11" s="8">
        <f t="shared" si="1"/>
        <v>12.8217091</v>
      </c>
      <c r="M11" s="8" t="str">
        <f t="shared" si="2"/>
        <v>53.34 ± 12.82</v>
      </c>
    </row>
    <row r="12" spans="1:13" x14ac:dyDescent="0.3">
      <c r="A12" s="21"/>
      <c r="B12" s="25"/>
      <c r="C12" s="32" t="s">
        <v>138</v>
      </c>
      <c r="D12" s="31">
        <v>38114</v>
      </c>
      <c r="E12" s="31">
        <v>119.8307446</v>
      </c>
      <c r="F12" s="31">
        <v>87.157587300000003</v>
      </c>
      <c r="G12" s="31">
        <v>14</v>
      </c>
      <c r="H12" s="31">
        <v>1985</v>
      </c>
      <c r="J12" s="8">
        <f t="shared" si="0"/>
        <v>119.8307446</v>
      </c>
      <c r="K12" s="8">
        <f t="shared" si="1"/>
        <v>87.157587300000003</v>
      </c>
      <c r="M12" s="8" t="str">
        <f t="shared" si="2"/>
        <v>119.83 ± 87.16</v>
      </c>
    </row>
    <row r="13" spans="1:13" x14ac:dyDescent="0.3">
      <c r="A13" s="21"/>
      <c r="B13" s="25"/>
      <c r="C13" s="32" t="s">
        <v>141</v>
      </c>
      <c r="D13" s="31">
        <v>38114</v>
      </c>
      <c r="E13" s="31">
        <v>22.162958499999998</v>
      </c>
      <c r="F13" s="31">
        <v>13.553754899999999</v>
      </c>
      <c r="G13" s="31">
        <v>7</v>
      </c>
      <c r="H13" s="31">
        <v>693</v>
      </c>
      <c r="J13" s="8">
        <f t="shared" si="0"/>
        <v>22.162958499999998</v>
      </c>
      <c r="K13" s="8">
        <f t="shared" si="1"/>
        <v>13.553754899999999</v>
      </c>
      <c r="M13" s="8" t="str">
        <f t="shared" si="2"/>
        <v>22.16 ± 13.55</v>
      </c>
    </row>
    <row r="14" spans="1:13" x14ac:dyDescent="0.3">
      <c r="A14" s="21"/>
      <c r="B14" s="25"/>
      <c r="C14" s="32" t="s">
        <v>142</v>
      </c>
      <c r="D14" s="31">
        <v>38114</v>
      </c>
      <c r="E14" s="31">
        <v>21.560712599999999</v>
      </c>
      <c r="F14" s="31">
        <v>19.531819800000001</v>
      </c>
      <c r="G14" s="31">
        <v>3</v>
      </c>
      <c r="H14" s="31">
        <v>893</v>
      </c>
      <c r="J14" s="8">
        <f t="shared" si="0"/>
        <v>21.560712599999999</v>
      </c>
      <c r="K14" s="8">
        <f t="shared" si="1"/>
        <v>19.531819800000001</v>
      </c>
      <c r="M14" s="8" t="str">
        <f t="shared" si="2"/>
        <v>21.56 ± 19.53</v>
      </c>
    </row>
    <row r="15" spans="1:13" x14ac:dyDescent="0.3">
      <c r="A15" s="21"/>
      <c r="B15" s="25"/>
      <c r="C15" s="32" t="s">
        <v>143</v>
      </c>
      <c r="D15" s="31">
        <v>38114</v>
      </c>
      <c r="E15" s="31">
        <v>13.742002899999999</v>
      </c>
      <c r="F15" s="31">
        <v>1.5621483</v>
      </c>
      <c r="G15" s="31">
        <v>3.9</v>
      </c>
      <c r="H15" s="31">
        <v>19.5</v>
      </c>
      <c r="J15" s="8">
        <f t="shared" si="0"/>
        <v>13.742002899999999</v>
      </c>
      <c r="K15" s="8">
        <f t="shared" si="1"/>
        <v>1.5621483</v>
      </c>
      <c r="M15" s="8" t="str">
        <f t="shared" si="2"/>
        <v>13.74 ± 1.56</v>
      </c>
    </row>
    <row r="16" spans="1:13" x14ac:dyDescent="0.3">
      <c r="A16" s="21"/>
      <c r="B16" s="25"/>
      <c r="C16" s="32" t="s">
        <v>144</v>
      </c>
      <c r="D16" s="31">
        <v>38114</v>
      </c>
      <c r="E16" s="31">
        <v>13.825064299999999</v>
      </c>
      <c r="F16" s="31">
        <v>3.8813781999999999</v>
      </c>
      <c r="G16" s="31">
        <v>2</v>
      </c>
      <c r="H16" s="31">
        <v>86</v>
      </c>
      <c r="J16" s="8">
        <f t="shared" si="0"/>
        <v>13.825064299999999</v>
      </c>
      <c r="K16" s="8">
        <f t="shared" si="1"/>
        <v>3.8813781999999999</v>
      </c>
      <c r="M16" s="8" t="str">
        <f t="shared" si="2"/>
        <v>13.83 ± 3.88</v>
      </c>
    </row>
    <row r="17" spans="1:13" x14ac:dyDescent="0.3">
      <c r="A17" s="21"/>
      <c r="B17" s="25"/>
      <c r="C17" s="32" t="s">
        <v>145</v>
      </c>
      <c r="D17" s="31">
        <v>38114</v>
      </c>
      <c r="E17" s="31">
        <v>0.7851823</v>
      </c>
      <c r="F17" s="31">
        <v>0.1954543</v>
      </c>
      <c r="G17" s="31">
        <v>0.33</v>
      </c>
      <c r="H17" s="31">
        <v>10.56</v>
      </c>
      <c r="J17" s="8">
        <f t="shared" si="0"/>
        <v>0.7851823</v>
      </c>
      <c r="K17" s="8">
        <f t="shared" si="1"/>
        <v>0.1954543</v>
      </c>
      <c r="M17" s="8" t="str">
        <f t="shared" si="2"/>
        <v>0.79 ± 0.20</v>
      </c>
    </row>
    <row r="18" spans="1:13" x14ac:dyDescent="0.3">
      <c r="A18" s="21"/>
      <c r="B18" s="25"/>
      <c r="C18" s="32" t="s">
        <v>150</v>
      </c>
      <c r="D18" s="31">
        <v>38114</v>
      </c>
      <c r="E18" s="31">
        <v>3.9970355</v>
      </c>
      <c r="F18" s="31">
        <v>2.5929958000000002</v>
      </c>
      <c r="G18" s="31">
        <v>1</v>
      </c>
      <c r="H18" s="31">
        <v>9.99</v>
      </c>
      <c r="J18" s="8">
        <f t="shared" si="0"/>
        <v>3.9970355</v>
      </c>
      <c r="K18" s="8">
        <f t="shared" si="1"/>
        <v>2.5929958000000002</v>
      </c>
      <c r="M18" s="8" t="str">
        <f t="shared" si="2"/>
        <v>4.00 ± 2.59</v>
      </c>
    </row>
    <row r="19" spans="1:13" x14ac:dyDescent="0.3">
      <c r="A19" s="21"/>
      <c r="B19" s="25"/>
      <c r="C19" s="32" t="s">
        <v>146</v>
      </c>
      <c r="D19" s="31">
        <v>38114</v>
      </c>
      <c r="E19" s="31">
        <v>8.4711564999999993</v>
      </c>
      <c r="F19" s="31">
        <v>0.60892999999999997</v>
      </c>
      <c r="G19" s="31">
        <v>6.4441312999999996</v>
      </c>
      <c r="H19" s="31">
        <v>11.573055800000001</v>
      </c>
      <c r="J19" s="8">
        <f t="shared" si="0"/>
        <v>8.4711564999999993</v>
      </c>
      <c r="K19" s="8">
        <f t="shared" si="1"/>
        <v>0.60892999999999997</v>
      </c>
      <c r="M19" s="8" t="str">
        <f t="shared" si="2"/>
        <v>8.47 ± 0.61</v>
      </c>
    </row>
    <row r="20" spans="1:13" x14ac:dyDescent="0.3">
      <c r="A20" s="21"/>
      <c r="B20" s="25"/>
      <c r="C20" s="32" t="s">
        <v>147</v>
      </c>
      <c r="D20" s="31">
        <v>38114</v>
      </c>
      <c r="E20" s="31">
        <v>201.2190679</v>
      </c>
      <c r="F20" s="31">
        <v>37.662882799999998</v>
      </c>
      <c r="G20" s="31">
        <v>110.0182648</v>
      </c>
      <c r="H20" s="31">
        <v>515.03065579999998</v>
      </c>
      <c r="J20" s="8">
        <f t="shared" si="0"/>
        <v>201.2190679</v>
      </c>
      <c r="K20" s="8">
        <f t="shared" si="1"/>
        <v>37.662882799999998</v>
      </c>
      <c r="M20" s="8" t="str">
        <f t="shared" si="2"/>
        <v>201.22 ± 37.66</v>
      </c>
    </row>
    <row r="21" spans="1:13" ht="16.5" thickBot="1" x14ac:dyDescent="0.35">
      <c r="A21" s="21"/>
      <c r="B21" s="25"/>
      <c r="C21" s="33" t="s">
        <v>149</v>
      </c>
      <c r="D21" s="31">
        <v>38114</v>
      </c>
      <c r="E21" s="31">
        <v>0.65002309999999996</v>
      </c>
      <c r="F21" s="31">
        <v>6.3902500000000001E-2</v>
      </c>
      <c r="G21" s="31">
        <v>0.43668079999999998</v>
      </c>
      <c r="H21" s="31">
        <v>0.96650829999999999</v>
      </c>
      <c r="J21" s="8">
        <f t="shared" si="0"/>
        <v>0.65002309999999996</v>
      </c>
      <c r="K21" s="8">
        <f t="shared" si="1"/>
        <v>6.3902500000000001E-2</v>
      </c>
      <c r="M21" s="8" t="str">
        <f t="shared" si="2"/>
        <v>0.65 ± 0.06</v>
      </c>
    </row>
    <row r="22" spans="1:13" x14ac:dyDescent="0.3">
      <c r="A22" s="21">
        <v>2</v>
      </c>
      <c r="B22" s="25">
        <v>11561</v>
      </c>
      <c r="C22" s="32" t="s">
        <v>133</v>
      </c>
      <c r="D22" s="31">
        <v>11561</v>
      </c>
      <c r="E22" s="31">
        <v>58.6515007</v>
      </c>
      <c r="F22" s="31">
        <v>8.9034755000000008</v>
      </c>
      <c r="G22" s="31">
        <v>31</v>
      </c>
      <c r="H22" s="31">
        <v>74</v>
      </c>
      <c r="J22" s="8">
        <f t="shared" si="0"/>
        <v>58.6515007</v>
      </c>
      <c r="K22" s="8">
        <f t="shared" si="1"/>
        <v>8.9034755000000008</v>
      </c>
      <c r="M22" s="8" t="str">
        <f t="shared" si="2"/>
        <v>58.65 ± 8.90</v>
      </c>
    </row>
    <row r="23" spans="1:13" x14ac:dyDescent="0.3">
      <c r="A23" s="21"/>
      <c r="B23" s="25"/>
      <c r="C23" s="32" t="s">
        <v>135</v>
      </c>
      <c r="D23" s="31">
        <v>11561</v>
      </c>
      <c r="E23" s="31">
        <v>24.782947400000001</v>
      </c>
      <c r="F23" s="31">
        <v>3.1828580999999998</v>
      </c>
      <c r="G23" s="31">
        <v>13.977505600000001</v>
      </c>
      <c r="H23" s="31">
        <v>47.846743199999999</v>
      </c>
      <c r="J23" s="8">
        <f t="shared" si="0"/>
        <v>24.782947400000001</v>
      </c>
      <c r="K23" s="8">
        <f t="shared" si="1"/>
        <v>3.1828580999999998</v>
      </c>
      <c r="M23" s="8" t="str">
        <f t="shared" si="2"/>
        <v>24.78 ± 3.18</v>
      </c>
    </row>
    <row r="24" spans="1:13" x14ac:dyDescent="0.3">
      <c r="A24" s="21"/>
      <c r="B24" s="25"/>
      <c r="C24" s="32" t="s">
        <v>134</v>
      </c>
      <c r="D24" s="31">
        <v>11561</v>
      </c>
      <c r="E24" s="31">
        <v>86.483089699999994</v>
      </c>
      <c r="F24" s="31">
        <v>8.5984013000000008</v>
      </c>
      <c r="G24" s="31">
        <v>52.3</v>
      </c>
      <c r="H24" s="31">
        <v>132.80000000000001</v>
      </c>
      <c r="J24" s="8">
        <f t="shared" si="0"/>
        <v>86.483089699999994</v>
      </c>
      <c r="K24" s="8">
        <f t="shared" si="1"/>
        <v>8.5984013000000008</v>
      </c>
      <c r="M24" s="8" t="str">
        <f t="shared" si="2"/>
        <v>86.48 ± 8.60</v>
      </c>
    </row>
    <row r="25" spans="1:13" x14ac:dyDescent="0.3">
      <c r="A25" s="21"/>
      <c r="B25" s="25"/>
      <c r="C25" s="32" t="s">
        <v>148</v>
      </c>
      <c r="D25" s="31">
        <v>11561</v>
      </c>
      <c r="E25" s="31">
        <v>7.9627199999999995E-2</v>
      </c>
      <c r="F25" s="31">
        <v>3.8828999999999999E-3</v>
      </c>
      <c r="G25" s="31">
        <v>4.8055199999999999E-2</v>
      </c>
      <c r="H25" s="31">
        <v>0.1121983</v>
      </c>
      <c r="J25" s="8">
        <f t="shared" si="0"/>
        <v>7.9627199999999995E-2</v>
      </c>
      <c r="K25" s="8">
        <f t="shared" si="1"/>
        <v>3.8828999999999999E-3</v>
      </c>
      <c r="M25" s="8" t="str">
        <f t="shared" si="2"/>
        <v>0.08 ± 0.00</v>
      </c>
    </row>
    <row r="26" spans="1:13" x14ac:dyDescent="0.3">
      <c r="A26" s="21"/>
      <c r="B26" s="25"/>
      <c r="C26" s="32" t="s">
        <v>136</v>
      </c>
      <c r="D26" s="31">
        <v>11561</v>
      </c>
      <c r="E26" s="31">
        <v>126.6208805</v>
      </c>
      <c r="F26" s="31">
        <v>15.3520913</v>
      </c>
      <c r="G26" s="31">
        <v>70</v>
      </c>
      <c r="H26" s="31">
        <v>224</v>
      </c>
      <c r="J26" s="8">
        <f t="shared" si="0"/>
        <v>126.6208805</v>
      </c>
      <c r="K26" s="8">
        <f t="shared" si="1"/>
        <v>15.3520913</v>
      </c>
      <c r="M26" s="8" t="str">
        <f t="shared" si="2"/>
        <v>126.62 ± 15.35</v>
      </c>
    </row>
    <row r="27" spans="1:13" x14ac:dyDescent="0.3">
      <c r="A27" s="21"/>
      <c r="B27" s="25"/>
      <c r="C27" s="32" t="s">
        <v>137</v>
      </c>
      <c r="D27" s="31">
        <v>11561</v>
      </c>
      <c r="E27" s="31">
        <v>106.3386385</v>
      </c>
      <c r="F27" s="31">
        <v>26.770925600000002</v>
      </c>
      <c r="G27" s="31">
        <v>51</v>
      </c>
      <c r="H27" s="31">
        <v>553</v>
      </c>
      <c r="J27" s="8">
        <f t="shared" si="0"/>
        <v>106.3386385</v>
      </c>
      <c r="K27" s="8">
        <f t="shared" si="1"/>
        <v>26.770925600000002</v>
      </c>
      <c r="M27" s="8" t="str">
        <f t="shared" si="2"/>
        <v>106.34 ± 26.77</v>
      </c>
    </row>
    <row r="28" spans="1:13" x14ac:dyDescent="0.3">
      <c r="A28" s="21"/>
      <c r="B28" s="25"/>
      <c r="C28" s="32" t="s">
        <v>140</v>
      </c>
      <c r="D28" s="31">
        <v>11561</v>
      </c>
      <c r="E28" s="31">
        <v>195.8042557</v>
      </c>
      <c r="F28" s="31">
        <v>40.118395300000003</v>
      </c>
      <c r="G28" s="31">
        <v>68</v>
      </c>
      <c r="H28" s="31">
        <v>525</v>
      </c>
      <c r="J28" s="8">
        <f t="shared" si="0"/>
        <v>195.8042557</v>
      </c>
      <c r="K28" s="8">
        <f t="shared" si="1"/>
        <v>40.118395300000003</v>
      </c>
      <c r="M28" s="8" t="str">
        <f t="shared" si="2"/>
        <v>195.80 ± 40.12</v>
      </c>
    </row>
    <row r="29" spans="1:13" ht="31.5" x14ac:dyDescent="0.3">
      <c r="A29" s="21"/>
      <c r="B29" s="25"/>
      <c r="C29" s="32" t="s">
        <v>139</v>
      </c>
      <c r="D29" s="31">
        <v>11561</v>
      </c>
      <c r="E29" s="31">
        <v>47.968395200000003</v>
      </c>
      <c r="F29" s="31">
        <v>11.517712400000001</v>
      </c>
      <c r="G29" s="31">
        <v>13.472</v>
      </c>
      <c r="H29" s="31">
        <v>113.432</v>
      </c>
      <c r="J29" s="8">
        <f t="shared" si="0"/>
        <v>47.968395200000003</v>
      </c>
      <c r="K29" s="8">
        <f t="shared" si="1"/>
        <v>11.517712400000001</v>
      </c>
      <c r="M29" s="8" t="str">
        <f t="shared" si="2"/>
        <v>47.97 ± 11.52</v>
      </c>
    </row>
    <row r="30" spans="1:13" x14ac:dyDescent="0.3">
      <c r="A30" s="21"/>
      <c r="B30" s="25"/>
      <c r="C30" s="32" t="s">
        <v>138</v>
      </c>
      <c r="D30" s="31">
        <v>11561</v>
      </c>
      <c r="E30" s="31">
        <v>166.76507219999999</v>
      </c>
      <c r="F30" s="31">
        <v>131.1743524</v>
      </c>
      <c r="G30" s="31">
        <v>22</v>
      </c>
      <c r="H30" s="31">
        <v>2215</v>
      </c>
      <c r="J30" s="8">
        <f t="shared" si="0"/>
        <v>166.76507219999999</v>
      </c>
      <c r="K30" s="8">
        <f t="shared" si="1"/>
        <v>131.1743524</v>
      </c>
      <c r="M30" s="8" t="str">
        <f t="shared" si="2"/>
        <v>166.77 ± 131.17</v>
      </c>
    </row>
    <row r="31" spans="1:13" x14ac:dyDescent="0.3">
      <c r="A31" s="21"/>
      <c r="B31" s="25"/>
      <c r="C31" s="32" t="s">
        <v>141</v>
      </c>
      <c r="D31" s="31">
        <v>11561</v>
      </c>
      <c r="E31" s="31">
        <v>25.821209199999998</v>
      </c>
      <c r="F31" s="31">
        <v>14.971886700000001</v>
      </c>
      <c r="G31" s="31">
        <v>9</v>
      </c>
      <c r="H31" s="31">
        <v>927</v>
      </c>
      <c r="J31" s="8">
        <f t="shared" si="0"/>
        <v>25.821209199999998</v>
      </c>
      <c r="K31" s="8">
        <f t="shared" si="1"/>
        <v>14.971886700000001</v>
      </c>
      <c r="M31" s="8" t="str">
        <f t="shared" si="2"/>
        <v>25.82 ± 14.97</v>
      </c>
    </row>
    <row r="32" spans="1:13" x14ac:dyDescent="0.3">
      <c r="A32" s="21"/>
      <c r="B32" s="25"/>
      <c r="C32" s="32" t="s">
        <v>142</v>
      </c>
      <c r="D32" s="31">
        <v>11561</v>
      </c>
      <c r="E32" s="31">
        <v>25.797249399999998</v>
      </c>
      <c r="F32" s="31">
        <v>17.075961899999999</v>
      </c>
      <c r="G32" s="31">
        <v>1</v>
      </c>
      <c r="H32" s="31">
        <v>353</v>
      </c>
      <c r="J32" s="8">
        <f t="shared" si="0"/>
        <v>25.797249399999998</v>
      </c>
      <c r="K32" s="8">
        <f t="shared" si="1"/>
        <v>17.075961899999999</v>
      </c>
      <c r="M32" s="8" t="str">
        <f t="shared" si="2"/>
        <v>25.80 ± 17.08</v>
      </c>
    </row>
    <row r="33" spans="1:13" x14ac:dyDescent="0.3">
      <c r="A33" s="21"/>
      <c r="B33" s="25"/>
      <c r="C33" s="32" t="s">
        <v>143</v>
      </c>
      <c r="D33" s="31">
        <v>11561</v>
      </c>
      <c r="E33" s="31">
        <v>14.536830699999999</v>
      </c>
      <c r="F33" s="31">
        <v>1.4517636</v>
      </c>
      <c r="G33" s="31">
        <v>5.7</v>
      </c>
      <c r="H33" s="31">
        <v>21.3</v>
      </c>
      <c r="J33" s="8">
        <f t="shared" si="0"/>
        <v>14.536830699999999</v>
      </c>
      <c r="K33" s="8">
        <f t="shared" si="1"/>
        <v>1.4517636</v>
      </c>
      <c r="M33" s="8" t="str">
        <f t="shared" si="2"/>
        <v>14.54 ± 1.45</v>
      </c>
    </row>
    <row r="34" spans="1:13" x14ac:dyDescent="0.3">
      <c r="A34" s="21"/>
      <c r="B34" s="25"/>
      <c r="C34" s="32" t="s">
        <v>144</v>
      </c>
      <c r="D34" s="31">
        <v>11561</v>
      </c>
      <c r="E34" s="31">
        <v>15.727791699999999</v>
      </c>
      <c r="F34" s="31">
        <v>4.5557154999999998</v>
      </c>
      <c r="G34" s="31">
        <v>5</v>
      </c>
      <c r="H34" s="31">
        <v>140</v>
      </c>
      <c r="J34" s="8">
        <f t="shared" si="0"/>
        <v>15.727791699999999</v>
      </c>
      <c r="K34" s="8">
        <f t="shared" si="1"/>
        <v>4.5557154999999998</v>
      </c>
      <c r="M34" s="8" t="str">
        <f t="shared" si="2"/>
        <v>15.73 ± 4.56</v>
      </c>
    </row>
    <row r="35" spans="1:13" x14ac:dyDescent="0.3">
      <c r="A35" s="21"/>
      <c r="B35" s="25"/>
      <c r="C35" s="32" t="s">
        <v>145</v>
      </c>
      <c r="D35" s="31">
        <v>11561</v>
      </c>
      <c r="E35" s="31">
        <v>0.87490179999999995</v>
      </c>
      <c r="F35" s="31">
        <v>0.28035749999999998</v>
      </c>
      <c r="G35" s="31">
        <v>0.2</v>
      </c>
      <c r="H35" s="31">
        <v>14.38</v>
      </c>
      <c r="J35" s="8">
        <f t="shared" si="0"/>
        <v>0.87490179999999995</v>
      </c>
      <c r="K35" s="8">
        <f t="shared" si="1"/>
        <v>0.28035749999999998</v>
      </c>
      <c r="M35" s="8" t="str">
        <f t="shared" si="2"/>
        <v>0.87 ± 0.28</v>
      </c>
    </row>
    <row r="36" spans="1:13" x14ac:dyDescent="0.3">
      <c r="A36" s="21"/>
      <c r="B36" s="25"/>
      <c r="C36" s="32" t="s">
        <v>150</v>
      </c>
      <c r="D36" s="31">
        <v>11561</v>
      </c>
      <c r="E36" s="31">
        <v>14.185124999999999</v>
      </c>
      <c r="F36" s="31">
        <v>2.8318796000000002</v>
      </c>
      <c r="G36" s="31">
        <v>10</v>
      </c>
      <c r="H36" s="31">
        <v>19.989999999999998</v>
      </c>
      <c r="J36" s="8">
        <f t="shared" si="0"/>
        <v>14.185124999999999</v>
      </c>
      <c r="K36" s="8">
        <f t="shared" si="1"/>
        <v>2.8318796000000002</v>
      </c>
      <c r="M36" s="8" t="str">
        <f t="shared" si="2"/>
        <v>14.19 ± 2.83</v>
      </c>
    </row>
    <row r="37" spans="1:13" x14ac:dyDescent="0.3">
      <c r="A37" s="21"/>
      <c r="B37" s="25"/>
      <c r="C37" s="32" t="s">
        <v>146</v>
      </c>
      <c r="D37" s="31">
        <v>11561</v>
      </c>
      <c r="E37" s="31">
        <v>8.8789517999999994</v>
      </c>
      <c r="F37" s="31">
        <v>0.63765380000000005</v>
      </c>
      <c r="G37" s="31">
        <v>6.8793557999999999</v>
      </c>
      <c r="H37" s="31">
        <v>12.20839</v>
      </c>
      <c r="J37" s="8">
        <f t="shared" si="0"/>
        <v>8.8789517999999994</v>
      </c>
      <c r="K37" s="8">
        <f t="shared" si="1"/>
        <v>0.63765380000000005</v>
      </c>
      <c r="M37" s="8" t="str">
        <f t="shared" si="2"/>
        <v>8.88 ± 0.64</v>
      </c>
    </row>
    <row r="38" spans="1:13" x14ac:dyDescent="0.3">
      <c r="A38" s="21"/>
      <c r="B38" s="25"/>
      <c r="C38" s="32" t="s">
        <v>147</v>
      </c>
      <c r="D38" s="31">
        <v>11561</v>
      </c>
      <c r="E38" s="31">
        <v>220.56596490000001</v>
      </c>
      <c r="F38" s="31">
        <v>35.823829199999999</v>
      </c>
      <c r="G38" s="31">
        <v>109.8633621</v>
      </c>
      <c r="H38" s="31">
        <v>448.90928020000001</v>
      </c>
      <c r="J38" s="8">
        <f t="shared" si="0"/>
        <v>220.56596490000001</v>
      </c>
      <c r="K38" s="8">
        <f t="shared" si="1"/>
        <v>35.823829199999999</v>
      </c>
      <c r="M38" s="8" t="str">
        <f t="shared" si="2"/>
        <v>220.57 ± 35.82</v>
      </c>
    </row>
    <row r="39" spans="1:13" ht="16.5" thickBot="1" x14ac:dyDescent="0.35">
      <c r="A39" s="21"/>
      <c r="B39" s="25"/>
      <c r="C39" s="33" t="s">
        <v>149</v>
      </c>
      <c r="D39" s="31">
        <v>11561</v>
      </c>
      <c r="E39" s="31">
        <v>0.70705629999999997</v>
      </c>
      <c r="F39" s="31">
        <v>6.1744399999999998E-2</v>
      </c>
      <c r="G39" s="31">
        <v>0.45287640000000001</v>
      </c>
      <c r="H39" s="31">
        <v>1.0094251000000001</v>
      </c>
      <c r="J39" s="8">
        <f t="shared" si="0"/>
        <v>0.70705629999999997</v>
      </c>
      <c r="K39" s="8">
        <f t="shared" si="1"/>
        <v>6.1744399999999998E-2</v>
      </c>
      <c r="M39" s="8" t="str">
        <f t="shared" si="2"/>
        <v>0.71 ± 0.06</v>
      </c>
    </row>
    <row r="40" spans="1:13" x14ac:dyDescent="0.3">
      <c r="A40" s="21">
        <v>3</v>
      </c>
      <c r="B40" s="25">
        <v>9011</v>
      </c>
      <c r="C40" s="32" t="s">
        <v>133</v>
      </c>
      <c r="D40" s="31">
        <v>9011</v>
      </c>
      <c r="E40" s="31">
        <v>64.379203200000006</v>
      </c>
      <c r="F40" s="31">
        <v>6.9162362999999996</v>
      </c>
      <c r="G40" s="31">
        <v>34</v>
      </c>
      <c r="H40" s="31">
        <v>74</v>
      </c>
      <c r="J40" s="8">
        <f t="shared" si="0"/>
        <v>64.379203200000006</v>
      </c>
      <c r="K40" s="8">
        <f t="shared" si="1"/>
        <v>6.9162362999999996</v>
      </c>
      <c r="M40" s="8" t="str">
        <f t="shared" si="2"/>
        <v>64.38 ± 6.92</v>
      </c>
    </row>
    <row r="41" spans="1:13" x14ac:dyDescent="0.3">
      <c r="A41" s="21"/>
      <c r="B41" s="25"/>
      <c r="C41" s="32" t="s">
        <v>135</v>
      </c>
      <c r="D41" s="31">
        <v>9011</v>
      </c>
      <c r="E41" s="31">
        <v>24.612280699999999</v>
      </c>
      <c r="F41" s="31">
        <v>3.0705168</v>
      </c>
      <c r="G41" s="31">
        <v>14.306562100000001</v>
      </c>
      <c r="H41" s="31">
        <v>43.624399099999998</v>
      </c>
      <c r="J41" s="8">
        <f t="shared" si="0"/>
        <v>24.612280699999999</v>
      </c>
      <c r="K41" s="8">
        <f t="shared" si="1"/>
        <v>3.0705168</v>
      </c>
      <c r="M41" s="8" t="str">
        <f t="shared" si="2"/>
        <v>24.61 ± 3.07</v>
      </c>
    </row>
    <row r="42" spans="1:13" x14ac:dyDescent="0.3">
      <c r="A42" s="21"/>
      <c r="B42" s="25"/>
      <c r="C42" s="32" t="s">
        <v>134</v>
      </c>
      <c r="D42" s="31">
        <v>9011</v>
      </c>
      <c r="E42" s="31">
        <v>88.057096900000005</v>
      </c>
      <c r="F42" s="31">
        <v>8.5444660999999993</v>
      </c>
      <c r="G42" s="31">
        <v>36.200000000000003</v>
      </c>
      <c r="H42" s="31">
        <v>166.1</v>
      </c>
      <c r="J42" s="8">
        <f t="shared" si="0"/>
        <v>88.057096900000005</v>
      </c>
      <c r="K42" s="8">
        <f t="shared" si="1"/>
        <v>8.5444660999999993</v>
      </c>
      <c r="M42" s="8" t="str">
        <f t="shared" si="2"/>
        <v>88.06 ± 8.54</v>
      </c>
    </row>
    <row r="43" spans="1:13" x14ac:dyDescent="0.3">
      <c r="A43" s="21"/>
      <c r="B43" s="25"/>
      <c r="C43" s="32" t="s">
        <v>148</v>
      </c>
      <c r="D43" s="31">
        <v>9011</v>
      </c>
      <c r="E43" s="31">
        <v>8.1128199999999998E-2</v>
      </c>
      <c r="F43" s="31">
        <v>3.8836000000000001E-3</v>
      </c>
      <c r="G43" s="31">
        <v>4.5616799999999999E-2</v>
      </c>
      <c r="H43" s="31">
        <v>0.15107219999999999</v>
      </c>
      <c r="J43" s="8">
        <f t="shared" si="0"/>
        <v>8.1128199999999998E-2</v>
      </c>
      <c r="K43" s="8">
        <f t="shared" si="1"/>
        <v>3.8836000000000001E-3</v>
      </c>
      <c r="M43" s="8" t="str">
        <f t="shared" si="2"/>
        <v>0.08 ± 0.00</v>
      </c>
    </row>
    <row r="44" spans="1:13" x14ac:dyDescent="0.3">
      <c r="A44" s="21"/>
      <c r="B44" s="25"/>
      <c r="C44" s="32" t="s">
        <v>136</v>
      </c>
      <c r="D44" s="31">
        <v>9011</v>
      </c>
      <c r="E44" s="31">
        <v>133.04921759999999</v>
      </c>
      <c r="F44" s="31">
        <v>17.421837199999999</v>
      </c>
      <c r="G44" s="31">
        <v>77</v>
      </c>
      <c r="H44" s="31">
        <v>243</v>
      </c>
      <c r="J44" s="8">
        <f t="shared" si="0"/>
        <v>133.04921759999999</v>
      </c>
      <c r="K44" s="8">
        <f t="shared" si="1"/>
        <v>17.421837199999999</v>
      </c>
      <c r="M44" s="8" t="str">
        <f t="shared" si="2"/>
        <v>133.05 ± 17.42</v>
      </c>
    </row>
    <row r="45" spans="1:13" x14ac:dyDescent="0.3">
      <c r="A45" s="21"/>
      <c r="B45" s="25"/>
      <c r="C45" s="32" t="s">
        <v>137</v>
      </c>
      <c r="D45" s="31">
        <v>9011</v>
      </c>
      <c r="E45" s="31">
        <v>114.14437909999999</v>
      </c>
      <c r="F45" s="31">
        <v>32.060208299999999</v>
      </c>
      <c r="G45" s="31">
        <v>44</v>
      </c>
      <c r="H45" s="31">
        <v>455</v>
      </c>
      <c r="J45" s="8">
        <f t="shared" si="0"/>
        <v>114.14437909999999</v>
      </c>
      <c r="K45" s="8">
        <f t="shared" si="1"/>
        <v>32.060208299999999</v>
      </c>
      <c r="M45" s="8" t="str">
        <f t="shared" si="2"/>
        <v>114.14 ± 32.06</v>
      </c>
    </row>
    <row r="46" spans="1:13" x14ac:dyDescent="0.3">
      <c r="A46" s="21"/>
      <c r="B46" s="25"/>
      <c r="C46" s="32" t="s">
        <v>140</v>
      </c>
      <c r="D46" s="31">
        <v>9011</v>
      </c>
      <c r="E46" s="31">
        <v>192.07357669999999</v>
      </c>
      <c r="F46" s="31">
        <v>41.478922599999997</v>
      </c>
      <c r="G46" s="31">
        <v>72</v>
      </c>
      <c r="H46" s="31">
        <v>554</v>
      </c>
      <c r="J46" s="8">
        <f t="shared" si="0"/>
        <v>192.07357669999999</v>
      </c>
      <c r="K46" s="8">
        <f t="shared" si="1"/>
        <v>41.478922599999997</v>
      </c>
      <c r="M46" s="8" t="str">
        <f t="shared" si="2"/>
        <v>192.07 ± 41.48</v>
      </c>
    </row>
    <row r="47" spans="1:13" ht="31.5" x14ac:dyDescent="0.3">
      <c r="A47" s="21"/>
      <c r="B47" s="25"/>
      <c r="C47" s="32" t="s">
        <v>139</v>
      </c>
      <c r="D47" s="31">
        <v>9011</v>
      </c>
      <c r="E47" s="31">
        <v>44.281179799999997</v>
      </c>
      <c r="F47" s="31">
        <v>10.640779</v>
      </c>
      <c r="G47" s="31">
        <v>5.9180000000000001</v>
      </c>
      <c r="H47" s="31">
        <v>113</v>
      </c>
      <c r="J47" s="8">
        <f t="shared" si="0"/>
        <v>44.281179799999997</v>
      </c>
      <c r="K47" s="8">
        <f t="shared" si="1"/>
        <v>10.640779</v>
      </c>
      <c r="M47" s="8" t="str">
        <f t="shared" si="2"/>
        <v>44.28 ± 10.64</v>
      </c>
    </row>
    <row r="48" spans="1:13" x14ac:dyDescent="0.3">
      <c r="A48" s="21"/>
      <c r="B48" s="25"/>
      <c r="C48" s="32" t="s">
        <v>138</v>
      </c>
      <c r="D48" s="31">
        <v>9011</v>
      </c>
      <c r="E48" s="31">
        <v>185.25724109999999</v>
      </c>
      <c r="F48" s="31">
        <v>160.91923840000001</v>
      </c>
      <c r="G48" s="31">
        <v>24</v>
      </c>
      <c r="H48" s="31">
        <v>2774</v>
      </c>
      <c r="J48" s="8">
        <f t="shared" si="0"/>
        <v>185.25724109999999</v>
      </c>
      <c r="K48" s="8">
        <f t="shared" si="1"/>
        <v>160.91923840000001</v>
      </c>
      <c r="M48" s="8" t="str">
        <f t="shared" si="2"/>
        <v>185.26 ± 160.92</v>
      </c>
    </row>
    <row r="49" spans="1:13" x14ac:dyDescent="0.3">
      <c r="A49" s="21"/>
      <c r="B49" s="25"/>
      <c r="C49" s="32" t="s">
        <v>141</v>
      </c>
      <c r="D49" s="31">
        <v>9011</v>
      </c>
      <c r="E49" s="31">
        <v>26.597159000000001</v>
      </c>
      <c r="F49" s="31">
        <v>16.8187824</v>
      </c>
      <c r="G49" s="31">
        <v>6</v>
      </c>
      <c r="H49" s="31">
        <v>447</v>
      </c>
      <c r="J49" s="8">
        <f t="shared" si="0"/>
        <v>26.597159000000001</v>
      </c>
      <c r="K49" s="8">
        <f t="shared" si="1"/>
        <v>16.8187824</v>
      </c>
      <c r="M49" s="8" t="str">
        <f t="shared" si="2"/>
        <v>26.60 ± 16.82</v>
      </c>
    </row>
    <row r="50" spans="1:13" x14ac:dyDescent="0.3">
      <c r="A50" s="21"/>
      <c r="B50" s="25"/>
      <c r="C50" s="32" t="s">
        <v>142</v>
      </c>
      <c r="D50" s="31">
        <v>9011</v>
      </c>
      <c r="E50" s="31">
        <v>25.5013872</v>
      </c>
      <c r="F50" s="31">
        <v>17.899648500000001</v>
      </c>
      <c r="G50" s="31">
        <v>4</v>
      </c>
      <c r="H50" s="31">
        <v>480</v>
      </c>
      <c r="J50" s="8">
        <f t="shared" si="0"/>
        <v>25.5013872</v>
      </c>
      <c r="K50" s="8">
        <f t="shared" si="1"/>
        <v>17.899648500000001</v>
      </c>
      <c r="M50" s="8" t="str">
        <f t="shared" si="2"/>
        <v>25.50 ± 17.90</v>
      </c>
    </row>
    <row r="51" spans="1:13" x14ac:dyDescent="0.3">
      <c r="A51" s="21"/>
      <c r="B51" s="25"/>
      <c r="C51" s="32" t="s">
        <v>143</v>
      </c>
      <c r="D51" s="31">
        <v>9011</v>
      </c>
      <c r="E51" s="31">
        <v>14.710509399999999</v>
      </c>
      <c r="F51" s="31">
        <v>1.4310228</v>
      </c>
      <c r="G51" s="31">
        <v>5.5</v>
      </c>
      <c r="H51" s="31">
        <v>19.7</v>
      </c>
      <c r="J51" s="8">
        <f t="shared" si="0"/>
        <v>14.710509399999999</v>
      </c>
      <c r="K51" s="8">
        <f t="shared" si="1"/>
        <v>1.4310228</v>
      </c>
      <c r="M51" s="8" t="str">
        <f t="shared" si="2"/>
        <v>14.71 ± 1.43</v>
      </c>
    </row>
    <row r="52" spans="1:13" x14ac:dyDescent="0.3">
      <c r="A52" s="21"/>
      <c r="B52" s="25"/>
      <c r="C52" s="32" t="s">
        <v>144</v>
      </c>
      <c r="D52" s="31">
        <v>9011</v>
      </c>
      <c r="E52" s="31">
        <v>16.468760400000001</v>
      </c>
      <c r="F52" s="31">
        <v>5.2519793000000004</v>
      </c>
      <c r="G52" s="31">
        <v>3</v>
      </c>
      <c r="H52" s="31">
        <v>115</v>
      </c>
      <c r="J52" s="8">
        <f t="shared" si="0"/>
        <v>16.468760400000001</v>
      </c>
      <c r="K52" s="8">
        <f t="shared" si="1"/>
        <v>5.2519793000000004</v>
      </c>
      <c r="M52" s="8" t="str">
        <f t="shared" si="2"/>
        <v>16.47 ± 5.25</v>
      </c>
    </row>
    <row r="53" spans="1:13" x14ac:dyDescent="0.3">
      <c r="A53" s="21"/>
      <c r="B53" s="25"/>
      <c r="C53" s="32" t="s">
        <v>145</v>
      </c>
      <c r="D53" s="31">
        <v>9011</v>
      </c>
      <c r="E53" s="31">
        <v>0.96265339999999999</v>
      </c>
      <c r="F53" s="31">
        <v>0.36472729999999998</v>
      </c>
      <c r="G53" s="31">
        <v>0.28999999999999998</v>
      </c>
      <c r="H53" s="31">
        <v>17.53</v>
      </c>
      <c r="J53" s="8">
        <f t="shared" si="0"/>
        <v>0.96265339999999999</v>
      </c>
      <c r="K53" s="8">
        <f t="shared" si="1"/>
        <v>0.36472729999999998</v>
      </c>
      <c r="M53" s="8" t="str">
        <f t="shared" si="2"/>
        <v>0.96 ± 0.36</v>
      </c>
    </row>
    <row r="54" spans="1:13" x14ac:dyDescent="0.3">
      <c r="A54" s="21"/>
      <c r="B54" s="25"/>
      <c r="C54" s="32" t="s">
        <v>150</v>
      </c>
      <c r="D54" s="31">
        <v>9011</v>
      </c>
      <c r="E54" s="31">
        <v>32.709322999999998</v>
      </c>
      <c r="F54" s="31">
        <v>12.161424800000001</v>
      </c>
      <c r="G54" s="31">
        <v>20</v>
      </c>
      <c r="H54" s="31">
        <v>96.39</v>
      </c>
      <c r="J54" s="8">
        <f t="shared" si="0"/>
        <v>32.709322999999998</v>
      </c>
      <c r="K54" s="8">
        <f t="shared" si="1"/>
        <v>12.161424800000001</v>
      </c>
      <c r="M54" s="8" t="str">
        <f t="shared" si="2"/>
        <v>32.71 ± 12.16</v>
      </c>
    </row>
    <row r="55" spans="1:13" x14ac:dyDescent="0.3">
      <c r="A55" s="21"/>
      <c r="B55" s="25"/>
      <c r="C55" s="32" t="s">
        <v>146</v>
      </c>
      <c r="D55" s="31">
        <v>9011</v>
      </c>
      <c r="E55" s="31">
        <v>9.0346796999999999</v>
      </c>
      <c r="F55" s="31">
        <v>0.67135219999999995</v>
      </c>
      <c r="G55" s="31">
        <v>6.8793557999999999</v>
      </c>
      <c r="H55" s="31">
        <v>12.543457</v>
      </c>
      <c r="J55" s="8">
        <f t="shared" si="0"/>
        <v>9.0346796999999999</v>
      </c>
      <c r="K55" s="8">
        <f t="shared" si="1"/>
        <v>0.67135219999999995</v>
      </c>
      <c r="M55" s="8" t="str">
        <f t="shared" si="2"/>
        <v>9.03 ± 0.67</v>
      </c>
    </row>
    <row r="56" spans="1:13" x14ac:dyDescent="0.3">
      <c r="A56" s="21"/>
      <c r="B56" s="25"/>
      <c r="C56" s="32" t="s">
        <v>147</v>
      </c>
      <c r="D56" s="31">
        <v>9011</v>
      </c>
      <c r="E56" s="31">
        <v>222.81135130000001</v>
      </c>
      <c r="F56" s="31">
        <v>35.306740699999999</v>
      </c>
      <c r="G56" s="31">
        <v>121.7896247</v>
      </c>
      <c r="H56" s="31">
        <v>420.67692319999998</v>
      </c>
      <c r="J56" s="8">
        <f t="shared" si="0"/>
        <v>222.81135130000001</v>
      </c>
      <c r="K56" s="8">
        <f t="shared" si="1"/>
        <v>35.306740699999999</v>
      </c>
      <c r="M56" s="8" t="str">
        <f t="shared" si="2"/>
        <v>222.81 ± 35.31</v>
      </c>
    </row>
    <row r="57" spans="1:13" x14ac:dyDescent="0.3">
      <c r="A57" s="21"/>
      <c r="B57" s="25"/>
      <c r="C57" s="32" t="s">
        <v>149</v>
      </c>
      <c r="D57" s="31">
        <v>9011</v>
      </c>
      <c r="E57" s="31">
        <v>0.73311090000000001</v>
      </c>
      <c r="F57" s="31">
        <v>6.6252400000000003E-2</v>
      </c>
      <c r="G57" s="31">
        <v>0.40120869999999997</v>
      </c>
      <c r="H57" s="31">
        <v>1.3241700999999999</v>
      </c>
      <c r="J57" s="8">
        <f t="shared" si="0"/>
        <v>0.73311090000000001</v>
      </c>
      <c r="K57" s="8">
        <f t="shared" si="1"/>
        <v>6.6252400000000003E-2</v>
      </c>
      <c r="M57" s="8" t="str">
        <f t="shared" si="2"/>
        <v>0.73 ± 0.07</v>
      </c>
    </row>
  </sheetData>
  <mergeCells count="6">
    <mergeCell ref="A4:A21"/>
    <mergeCell ref="B4:B21"/>
    <mergeCell ref="A22:A39"/>
    <mergeCell ref="B22:B39"/>
    <mergeCell ref="A40:A57"/>
    <mergeCell ref="B40:B57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C5DD-86A0-41B2-8844-053A4E1A100F}">
  <dimension ref="A1:M75"/>
  <sheetViews>
    <sheetView tabSelected="1" topLeftCell="A30" workbookViewId="0">
      <selection activeCell="O40" sqref="O40"/>
    </sheetView>
  </sheetViews>
  <sheetFormatPr defaultRowHeight="15.75" x14ac:dyDescent="0.3"/>
  <cols>
    <col min="1" max="2" width="9.25" style="8" bestFit="1" customWidth="1"/>
    <col min="3" max="3" width="9" style="8"/>
    <col min="4" max="4" width="9.25" style="8" bestFit="1" customWidth="1"/>
    <col min="5" max="8" width="12.25" style="8" bestFit="1" customWidth="1"/>
    <col min="9" max="9" width="9" style="8"/>
    <col min="10" max="11" width="9.25" style="8" bestFit="1" customWidth="1"/>
    <col min="12" max="12" width="9" style="8"/>
    <col min="13" max="13" width="15.125" style="8" bestFit="1" customWidth="1"/>
    <col min="14" max="16384" width="9" style="8"/>
  </cols>
  <sheetData>
    <row r="1" spans="1:13" ht="17.25" x14ac:dyDescent="0.3">
      <c r="A1" s="7" t="s">
        <v>152</v>
      </c>
    </row>
    <row r="2" spans="1:13" ht="16.5" thickBot="1" x14ac:dyDescent="0.35"/>
    <row r="3" spans="1:13" ht="17.25" x14ac:dyDescent="0.3">
      <c r="A3" s="14" t="s">
        <v>23</v>
      </c>
      <c r="B3" s="9" t="s">
        <v>158</v>
      </c>
      <c r="C3" s="9" t="s">
        <v>153</v>
      </c>
      <c r="D3" s="9" t="s">
        <v>128</v>
      </c>
      <c r="E3" s="9" t="s">
        <v>154</v>
      </c>
      <c r="F3" s="9" t="s">
        <v>155</v>
      </c>
      <c r="G3" s="9" t="s">
        <v>156</v>
      </c>
      <c r="H3" s="9" t="s">
        <v>157</v>
      </c>
    </row>
    <row r="4" spans="1:13" x14ac:dyDescent="0.3">
      <c r="A4" s="21">
        <v>1</v>
      </c>
      <c r="B4" s="25">
        <v>12021</v>
      </c>
      <c r="C4" s="32" t="s">
        <v>133</v>
      </c>
      <c r="D4" s="31">
        <v>12021</v>
      </c>
      <c r="E4" s="31">
        <v>46.605939599999999</v>
      </c>
      <c r="F4" s="31">
        <v>11.885436</v>
      </c>
      <c r="G4" s="31">
        <v>30</v>
      </c>
      <c r="H4" s="31">
        <v>74</v>
      </c>
      <c r="J4" s="8">
        <f>E4</f>
        <v>46.605939599999999</v>
      </c>
      <c r="K4" s="8">
        <f>F4</f>
        <v>11.885436</v>
      </c>
      <c r="M4" s="8" t="str">
        <f>TEXT(J4,"0.00")&amp;" ± "&amp;TEXT(K4,"0.00")</f>
        <v>46.61 ± 11.89</v>
      </c>
    </row>
    <row r="5" spans="1:13" x14ac:dyDescent="0.3">
      <c r="A5" s="21"/>
      <c r="B5" s="25"/>
      <c r="C5" s="32" t="s">
        <v>135</v>
      </c>
      <c r="D5" s="31">
        <v>12021</v>
      </c>
      <c r="E5" s="31">
        <v>22.197096599999998</v>
      </c>
      <c r="F5" s="31">
        <v>2.8272791000000002</v>
      </c>
      <c r="G5" s="31">
        <v>13.735636599999999</v>
      </c>
      <c r="H5" s="31">
        <v>42.228521000000001</v>
      </c>
      <c r="J5" s="8">
        <f t="shared" ref="J5:J68" si="0">E5</f>
        <v>22.197096599999998</v>
      </c>
      <c r="K5" s="8">
        <f t="shared" ref="K5:K68" si="1">F5</f>
        <v>2.8272791000000002</v>
      </c>
      <c r="M5" s="8" t="str">
        <f t="shared" ref="M5:M68" si="2">TEXT(J5,"0.00")&amp;" ± "&amp;TEXT(K5,"0.00")</f>
        <v>22.20 ± 2.83</v>
      </c>
    </row>
    <row r="6" spans="1:13" x14ac:dyDescent="0.3">
      <c r="A6" s="21"/>
      <c r="B6" s="25"/>
      <c r="C6" s="32" t="s">
        <v>134</v>
      </c>
      <c r="D6" s="31">
        <v>12021</v>
      </c>
      <c r="E6" s="31">
        <v>76.167764700000006</v>
      </c>
      <c r="F6" s="31">
        <v>8.4383034000000006</v>
      </c>
      <c r="G6" s="31">
        <v>52.5</v>
      </c>
      <c r="H6" s="31">
        <v>117.4</v>
      </c>
      <c r="J6" s="8">
        <f t="shared" si="0"/>
        <v>76.167764700000006</v>
      </c>
      <c r="K6" s="8">
        <f t="shared" si="1"/>
        <v>8.4383034000000006</v>
      </c>
      <c r="M6" s="8" t="str">
        <f t="shared" si="2"/>
        <v>76.17 ± 8.44</v>
      </c>
    </row>
    <row r="7" spans="1:13" x14ac:dyDescent="0.3">
      <c r="A7" s="21"/>
      <c r="B7" s="25"/>
      <c r="C7" s="32" t="s">
        <v>148</v>
      </c>
      <c r="D7" s="31">
        <v>12021</v>
      </c>
      <c r="E7" s="31">
        <v>7.5913300000000003E-2</v>
      </c>
      <c r="F7" s="31">
        <v>4.2334E-3</v>
      </c>
      <c r="G7" s="31">
        <v>5.83732E-2</v>
      </c>
      <c r="H7" s="31">
        <v>9.7642900000000005E-2</v>
      </c>
      <c r="J7" s="8">
        <f t="shared" si="0"/>
        <v>7.5913300000000003E-2</v>
      </c>
      <c r="K7" s="8">
        <f t="shared" si="1"/>
        <v>4.2334E-3</v>
      </c>
      <c r="M7" s="8" t="str">
        <f t="shared" si="2"/>
        <v>0.08 ± 0.00</v>
      </c>
    </row>
    <row r="8" spans="1:13" x14ac:dyDescent="0.3">
      <c r="A8" s="21"/>
      <c r="B8" s="25"/>
      <c r="C8" s="32" t="s">
        <v>136</v>
      </c>
      <c r="D8" s="31">
        <v>12021</v>
      </c>
      <c r="E8" s="31">
        <v>111.5361035</v>
      </c>
      <c r="F8" s="31">
        <v>14.8871485</v>
      </c>
      <c r="G8" s="31">
        <v>75</v>
      </c>
      <c r="H8" s="31">
        <v>205</v>
      </c>
      <c r="J8" s="8">
        <f t="shared" si="0"/>
        <v>111.5361035</v>
      </c>
      <c r="K8" s="8">
        <f t="shared" si="1"/>
        <v>14.8871485</v>
      </c>
      <c r="M8" s="8" t="str">
        <f t="shared" si="2"/>
        <v>111.54 ± 14.89</v>
      </c>
    </row>
    <row r="9" spans="1:13" x14ac:dyDescent="0.3">
      <c r="A9" s="21"/>
      <c r="B9" s="25"/>
      <c r="C9" s="32" t="s">
        <v>137</v>
      </c>
      <c r="D9" s="31">
        <v>12021</v>
      </c>
      <c r="E9" s="31">
        <v>89.968721400000007</v>
      </c>
      <c r="F9" s="31">
        <v>8.7245243000000006</v>
      </c>
      <c r="G9" s="31">
        <v>40</v>
      </c>
      <c r="H9" s="31">
        <v>191</v>
      </c>
      <c r="J9" s="8">
        <f t="shared" si="0"/>
        <v>89.968721400000007</v>
      </c>
      <c r="K9" s="8">
        <f t="shared" si="1"/>
        <v>8.7245243000000006</v>
      </c>
      <c r="M9" s="8" t="str">
        <f t="shared" si="2"/>
        <v>89.97 ± 8.72</v>
      </c>
    </row>
    <row r="10" spans="1:13" x14ac:dyDescent="0.3">
      <c r="A10" s="21"/>
      <c r="B10" s="25"/>
      <c r="C10" s="32" t="s">
        <v>140</v>
      </c>
      <c r="D10" s="31">
        <v>12021</v>
      </c>
      <c r="E10" s="31">
        <v>179.6959488</v>
      </c>
      <c r="F10" s="31">
        <v>32.111004600000001</v>
      </c>
      <c r="G10" s="31">
        <v>71</v>
      </c>
      <c r="H10" s="31">
        <v>457</v>
      </c>
      <c r="J10" s="8">
        <f t="shared" si="0"/>
        <v>179.6959488</v>
      </c>
      <c r="K10" s="8">
        <f t="shared" si="1"/>
        <v>32.111004600000001</v>
      </c>
      <c r="M10" s="8" t="str">
        <f t="shared" si="2"/>
        <v>179.70 ± 32.11</v>
      </c>
    </row>
    <row r="11" spans="1:13" ht="31.5" x14ac:dyDescent="0.3">
      <c r="A11" s="21"/>
      <c r="B11" s="25"/>
      <c r="C11" s="32" t="s">
        <v>139</v>
      </c>
      <c r="D11" s="31">
        <v>12021</v>
      </c>
      <c r="E11" s="31">
        <v>59.261791799999997</v>
      </c>
      <c r="F11" s="31">
        <v>12.8990948</v>
      </c>
      <c r="G11" s="31">
        <v>17.027999999999999</v>
      </c>
      <c r="H11" s="31">
        <v>134</v>
      </c>
      <c r="J11" s="8">
        <f t="shared" si="0"/>
        <v>59.261791799999997</v>
      </c>
      <c r="K11" s="8">
        <f t="shared" si="1"/>
        <v>12.8990948</v>
      </c>
      <c r="M11" s="8" t="str">
        <f t="shared" si="2"/>
        <v>59.26 ± 12.90</v>
      </c>
    </row>
    <row r="12" spans="1:13" x14ac:dyDescent="0.3">
      <c r="A12" s="21"/>
      <c r="B12" s="25"/>
      <c r="C12" s="32" t="s">
        <v>138</v>
      </c>
      <c r="D12" s="31">
        <v>12021</v>
      </c>
      <c r="E12" s="31">
        <v>54.811579700000003</v>
      </c>
      <c r="F12" s="31">
        <v>11.790941800000001</v>
      </c>
      <c r="G12" s="31">
        <v>14</v>
      </c>
      <c r="H12" s="31">
        <v>119</v>
      </c>
      <c r="J12" s="8">
        <f t="shared" si="0"/>
        <v>54.811579700000003</v>
      </c>
      <c r="K12" s="8">
        <f t="shared" si="1"/>
        <v>11.790941800000001</v>
      </c>
      <c r="M12" s="8" t="str">
        <f t="shared" si="2"/>
        <v>54.81 ± 11.79</v>
      </c>
    </row>
    <row r="13" spans="1:13" x14ac:dyDescent="0.3">
      <c r="A13" s="21"/>
      <c r="B13" s="25"/>
      <c r="C13" s="32" t="s">
        <v>141</v>
      </c>
      <c r="D13" s="31">
        <v>12021</v>
      </c>
      <c r="E13" s="31">
        <v>20.827551799999998</v>
      </c>
      <c r="F13" s="31">
        <v>10.5530887</v>
      </c>
      <c r="G13" s="31">
        <v>8</v>
      </c>
      <c r="H13" s="31">
        <v>415</v>
      </c>
      <c r="J13" s="8">
        <f t="shared" si="0"/>
        <v>20.827551799999998</v>
      </c>
      <c r="K13" s="8">
        <f t="shared" si="1"/>
        <v>10.5530887</v>
      </c>
      <c r="M13" s="8" t="str">
        <f t="shared" si="2"/>
        <v>20.83 ± 10.55</v>
      </c>
    </row>
    <row r="14" spans="1:13" x14ac:dyDescent="0.3">
      <c r="A14" s="21"/>
      <c r="B14" s="25"/>
      <c r="C14" s="32" t="s">
        <v>142</v>
      </c>
      <c r="D14" s="31">
        <v>12021</v>
      </c>
      <c r="E14" s="31">
        <v>16.938441099999999</v>
      </c>
      <c r="F14" s="31">
        <v>12.2331158</v>
      </c>
      <c r="G14" s="31">
        <v>3</v>
      </c>
      <c r="H14" s="31">
        <v>434</v>
      </c>
      <c r="J14" s="8">
        <f t="shared" si="0"/>
        <v>16.938441099999999</v>
      </c>
      <c r="K14" s="8">
        <f t="shared" si="1"/>
        <v>12.2331158</v>
      </c>
      <c r="M14" s="8" t="str">
        <f t="shared" si="2"/>
        <v>16.94 ± 12.23</v>
      </c>
    </row>
    <row r="15" spans="1:13" x14ac:dyDescent="0.3">
      <c r="A15" s="21"/>
      <c r="B15" s="25"/>
      <c r="C15" s="32" t="s">
        <v>143</v>
      </c>
      <c r="D15" s="31">
        <v>12021</v>
      </c>
      <c r="E15" s="31">
        <v>13.307087599999999</v>
      </c>
      <c r="F15" s="31">
        <v>1.4277070999999999</v>
      </c>
      <c r="G15" s="31">
        <v>5.2</v>
      </c>
      <c r="H15" s="31">
        <v>18.8</v>
      </c>
      <c r="J15" s="8">
        <f t="shared" si="0"/>
        <v>13.307087599999999</v>
      </c>
      <c r="K15" s="8">
        <f t="shared" si="1"/>
        <v>1.4277070999999999</v>
      </c>
      <c r="M15" s="8" t="str">
        <f t="shared" si="2"/>
        <v>13.31 ± 1.43</v>
      </c>
    </row>
    <row r="16" spans="1:13" x14ac:dyDescent="0.3">
      <c r="A16" s="21"/>
      <c r="B16" s="25"/>
      <c r="C16" s="32" t="s">
        <v>144</v>
      </c>
      <c r="D16" s="31">
        <v>12021</v>
      </c>
      <c r="E16" s="31">
        <v>14.316487800000001</v>
      </c>
      <c r="F16" s="31">
        <v>4.4398169000000003</v>
      </c>
      <c r="G16" s="31">
        <v>2</v>
      </c>
      <c r="H16" s="31">
        <v>140</v>
      </c>
      <c r="J16" s="8">
        <f t="shared" si="0"/>
        <v>14.316487800000001</v>
      </c>
      <c r="K16" s="8">
        <f t="shared" si="1"/>
        <v>4.4398169000000003</v>
      </c>
      <c r="M16" s="8" t="str">
        <f t="shared" si="2"/>
        <v>14.32 ± 4.44</v>
      </c>
    </row>
    <row r="17" spans="1:13" x14ac:dyDescent="0.3">
      <c r="A17" s="21"/>
      <c r="B17" s="25"/>
      <c r="C17" s="32" t="s">
        <v>145</v>
      </c>
      <c r="D17" s="31">
        <v>12021</v>
      </c>
      <c r="E17" s="31">
        <v>0.77019970000000004</v>
      </c>
      <c r="F17" s="31">
        <v>0.2459325</v>
      </c>
      <c r="G17" s="31">
        <v>0.36</v>
      </c>
      <c r="H17" s="31">
        <v>14.38</v>
      </c>
      <c r="J17" s="8">
        <f t="shared" si="0"/>
        <v>0.77019970000000004</v>
      </c>
      <c r="K17" s="8">
        <f t="shared" si="1"/>
        <v>0.2459325</v>
      </c>
      <c r="M17" s="8" t="str">
        <f t="shared" si="2"/>
        <v>0.77 ± 0.25</v>
      </c>
    </row>
    <row r="18" spans="1:13" x14ac:dyDescent="0.3">
      <c r="A18" s="21"/>
      <c r="B18" s="25"/>
      <c r="C18" s="32" t="s">
        <v>150</v>
      </c>
      <c r="D18" s="31">
        <v>12021</v>
      </c>
      <c r="E18" s="31">
        <v>4.9266866</v>
      </c>
      <c r="F18" s="31">
        <v>6.9039957999999997</v>
      </c>
      <c r="G18" s="31">
        <v>1</v>
      </c>
      <c r="H18" s="31">
        <v>82.14</v>
      </c>
      <c r="J18" s="8">
        <f t="shared" si="0"/>
        <v>4.9266866</v>
      </c>
      <c r="K18" s="8">
        <f t="shared" si="1"/>
        <v>6.9039957999999997</v>
      </c>
      <c r="M18" s="8" t="str">
        <f t="shared" si="2"/>
        <v>4.93 ± 6.90</v>
      </c>
    </row>
    <row r="19" spans="1:13" x14ac:dyDescent="0.3">
      <c r="A19" s="21"/>
      <c r="B19" s="25"/>
      <c r="C19" s="32" t="s">
        <v>146</v>
      </c>
      <c r="D19" s="31">
        <v>12021</v>
      </c>
      <c r="E19" s="31">
        <v>7.7801476999999997</v>
      </c>
      <c r="F19" s="31">
        <v>0.2396489</v>
      </c>
      <c r="G19" s="31">
        <v>6.4441312999999996</v>
      </c>
      <c r="H19" s="31">
        <v>8.0824023</v>
      </c>
      <c r="J19" s="8">
        <f t="shared" si="0"/>
        <v>7.7801476999999997</v>
      </c>
      <c r="K19" s="8">
        <f t="shared" si="1"/>
        <v>0.2396489</v>
      </c>
      <c r="M19" s="8" t="str">
        <f t="shared" si="2"/>
        <v>7.78 ± 0.24</v>
      </c>
    </row>
    <row r="20" spans="1:13" x14ac:dyDescent="0.3">
      <c r="A20" s="21"/>
      <c r="B20" s="25"/>
      <c r="C20" s="32" t="s">
        <v>147</v>
      </c>
      <c r="D20" s="31">
        <v>12021</v>
      </c>
      <c r="E20" s="31">
        <v>172.78217129999999</v>
      </c>
      <c r="F20" s="31">
        <v>23.327374200000001</v>
      </c>
      <c r="G20" s="31">
        <v>109.8633621</v>
      </c>
      <c r="H20" s="31">
        <v>324.99007849999998</v>
      </c>
      <c r="J20" s="8">
        <f t="shared" si="0"/>
        <v>172.78217129999999</v>
      </c>
      <c r="K20" s="8">
        <f t="shared" si="1"/>
        <v>23.327374200000001</v>
      </c>
      <c r="M20" s="8" t="str">
        <f t="shared" si="2"/>
        <v>172.78 ± 23.33</v>
      </c>
    </row>
    <row r="21" spans="1:13" ht="16.5" thickBot="1" x14ac:dyDescent="0.35">
      <c r="A21" s="21"/>
      <c r="B21" s="25"/>
      <c r="C21" s="33" t="s">
        <v>149</v>
      </c>
      <c r="D21" s="31">
        <v>12021</v>
      </c>
      <c r="E21" s="31">
        <v>0.59075949999999999</v>
      </c>
      <c r="F21" s="31">
        <v>3.9768199999999997E-2</v>
      </c>
      <c r="G21" s="31">
        <v>0.43668079999999998</v>
      </c>
      <c r="H21" s="31">
        <v>0.74781050000000004</v>
      </c>
      <c r="J21" s="8">
        <f t="shared" si="0"/>
        <v>0.59075949999999999</v>
      </c>
      <c r="K21" s="8">
        <f t="shared" si="1"/>
        <v>3.9768199999999997E-2</v>
      </c>
      <c r="M21" s="8" t="str">
        <f t="shared" si="2"/>
        <v>0.59 ± 0.04</v>
      </c>
    </row>
    <row r="22" spans="1:13" x14ac:dyDescent="0.3">
      <c r="A22" s="21">
        <v>2</v>
      </c>
      <c r="B22" s="25">
        <v>14037</v>
      </c>
      <c r="C22" s="32" t="s">
        <v>133</v>
      </c>
      <c r="D22" s="31">
        <v>14037</v>
      </c>
      <c r="E22" s="31">
        <v>50.479375900000001</v>
      </c>
      <c r="F22" s="31">
        <v>12.3739852</v>
      </c>
      <c r="G22" s="31">
        <v>30</v>
      </c>
      <c r="H22" s="31">
        <v>74</v>
      </c>
      <c r="J22" s="8">
        <f t="shared" si="0"/>
        <v>50.479375900000001</v>
      </c>
      <c r="K22" s="8">
        <f t="shared" si="1"/>
        <v>12.3739852</v>
      </c>
      <c r="M22" s="8" t="str">
        <f t="shared" si="2"/>
        <v>50.48 ± 12.37</v>
      </c>
    </row>
    <row r="23" spans="1:13" x14ac:dyDescent="0.3">
      <c r="A23" s="21"/>
      <c r="B23" s="25"/>
      <c r="C23" s="32" t="s">
        <v>135</v>
      </c>
      <c r="D23" s="31">
        <v>14037</v>
      </c>
      <c r="E23" s="31">
        <v>23.358310100000001</v>
      </c>
      <c r="F23" s="31">
        <v>3.1506652000000002</v>
      </c>
      <c r="G23" s="31">
        <v>13.977505600000001</v>
      </c>
      <c r="H23" s="31">
        <v>42.343523099999999</v>
      </c>
      <c r="J23" s="8">
        <f t="shared" si="0"/>
        <v>23.358310100000001</v>
      </c>
      <c r="K23" s="8">
        <f t="shared" si="1"/>
        <v>3.1506652000000002</v>
      </c>
      <c r="M23" s="8" t="str">
        <f t="shared" si="2"/>
        <v>23.36 ± 3.15</v>
      </c>
    </row>
    <row r="24" spans="1:13" x14ac:dyDescent="0.3">
      <c r="A24" s="21"/>
      <c r="B24" s="25"/>
      <c r="C24" s="32" t="s">
        <v>134</v>
      </c>
      <c r="D24" s="31">
        <v>14037</v>
      </c>
      <c r="E24" s="31">
        <v>80.529607499999997</v>
      </c>
      <c r="F24" s="31">
        <v>9.1450879999999994</v>
      </c>
      <c r="G24" s="31">
        <v>49.3</v>
      </c>
      <c r="H24" s="31">
        <v>126</v>
      </c>
      <c r="J24" s="8">
        <f t="shared" si="0"/>
        <v>80.529607499999997</v>
      </c>
      <c r="K24" s="8">
        <f t="shared" si="1"/>
        <v>9.1450879999999994</v>
      </c>
      <c r="M24" s="8" t="str">
        <f t="shared" si="2"/>
        <v>80.53 ± 9.15</v>
      </c>
    </row>
    <row r="25" spans="1:13" x14ac:dyDescent="0.3">
      <c r="A25" s="21"/>
      <c r="B25" s="25"/>
      <c r="C25" s="32" t="s">
        <v>148</v>
      </c>
      <c r="D25" s="31">
        <v>14037</v>
      </c>
      <c r="E25" s="31">
        <v>7.7411099999999997E-2</v>
      </c>
      <c r="F25" s="31">
        <v>4.3132999999999999E-3</v>
      </c>
      <c r="G25" s="31">
        <v>5.4544700000000002E-2</v>
      </c>
      <c r="H25" s="31">
        <v>0.1121983</v>
      </c>
      <c r="J25" s="8">
        <f t="shared" si="0"/>
        <v>7.7411099999999997E-2</v>
      </c>
      <c r="K25" s="8">
        <f t="shared" si="1"/>
        <v>4.3132999999999999E-3</v>
      </c>
      <c r="M25" s="8" t="str">
        <f t="shared" si="2"/>
        <v>0.08 ± 0.00</v>
      </c>
    </row>
    <row r="26" spans="1:13" x14ac:dyDescent="0.3">
      <c r="A26" s="21"/>
      <c r="B26" s="25"/>
      <c r="C26" s="32" t="s">
        <v>136</v>
      </c>
      <c r="D26" s="31">
        <v>14037</v>
      </c>
      <c r="E26" s="31">
        <v>116.5600556</v>
      </c>
      <c r="F26" s="31">
        <v>15.956900600000001</v>
      </c>
      <c r="G26" s="31">
        <v>77</v>
      </c>
      <c r="H26" s="31">
        <v>232</v>
      </c>
      <c r="J26" s="8">
        <f t="shared" si="0"/>
        <v>116.5600556</v>
      </c>
      <c r="K26" s="8">
        <f t="shared" si="1"/>
        <v>15.956900600000001</v>
      </c>
      <c r="M26" s="8" t="str">
        <f t="shared" si="2"/>
        <v>116.56 ± 15.96</v>
      </c>
    </row>
    <row r="27" spans="1:13" x14ac:dyDescent="0.3">
      <c r="A27" s="21"/>
      <c r="B27" s="25"/>
      <c r="C27" s="32" t="s">
        <v>137</v>
      </c>
      <c r="D27" s="31">
        <v>14037</v>
      </c>
      <c r="E27" s="31">
        <v>94.756643199999999</v>
      </c>
      <c r="F27" s="31">
        <v>10.9671155</v>
      </c>
      <c r="G27" s="31">
        <v>46</v>
      </c>
      <c r="H27" s="31">
        <v>243</v>
      </c>
      <c r="J27" s="8">
        <f t="shared" si="0"/>
        <v>94.756643199999999</v>
      </c>
      <c r="K27" s="8">
        <f t="shared" si="1"/>
        <v>10.9671155</v>
      </c>
      <c r="M27" s="8" t="str">
        <f t="shared" si="2"/>
        <v>94.76 ± 10.97</v>
      </c>
    </row>
    <row r="28" spans="1:13" x14ac:dyDescent="0.3">
      <c r="A28" s="21"/>
      <c r="B28" s="25"/>
      <c r="C28" s="32" t="s">
        <v>140</v>
      </c>
      <c r="D28" s="31">
        <v>14037</v>
      </c>
      <c r="E28" s="31">
        <v>187.76326850000001</v>
      </c>
      <c r="F28" s="31">
        <v>34.110667599999999</v>
      </c>
      <c r="G28" s="31">
        <v>66</v>
      </c>
      <c r="H28" s="31">
        <v>383</v>
      </c>
      <c r="J28" s="8">
        <f t="shared" si="0"/>
        <v>187.76326850000001</v>
      </c>
      <c r="K28" s="8">
        <f t="shared" si="1"/>
        <v>34.110667599999999</v>
      </c>
      <c r="M28" s="8" t="str">
        <f t="shared" si="2"/>
        <v>187.76 ± 34.11</v>
      </c>
    </row>
    <row r="29" spans="1:13" ht="31.5" x14ac:dyDescent="0.3">
      <c r="A29" s="21"/>
      <c r="B29" s="25"/>
      <c r="C29" s="32" t="s">
        <v>139</v>
      </c>
      <c r="D29" s="31">
        <v>14037</v>
      </c>
      <c r="E29" s="31">
        <v>54.065197300000001</v>
      </c>
      <c r="F29" s="31">
        <v>12.124890600000001</v>
      </c>
      <c r="G29" s="31">
        <v>15</v>
      </c>
      <c r="H29" s="31">
        <v>145.298</v>
      </c>
      <c r="J29" s="8">
        <f t="shared" si="0"/>
        <v>54.065197300000001</v>
      </c>
      <c r="K29" s="8">
        <f t="shared" si="1"/>
        <v>12.124890600000001</v>
      </c>
      <c r="M29" s="8" t="str">
        <f t="shared" si="2"/>
        <v>54.07 ± 12.12</v>
      </c>
    </row>
    <row r="30" spans="1:13" x14ac:dyDescent="0.3">
      <c r="A30" s="21"/>
      <c r="B30" s="25"/>
      <c r="C30" s="32" t="s">
        <v>138</v>
      </c>
      <c r="D30" s="31">
        <v>14037</v>
      </c>
      <c r="E30" s="31">
        <v>86.201253800000003</v>
      </c>
      <c r="F30" s="31">
        <v>12.8418168</v>
      </c>
      <c r="G30" s="31">
        <v>36</v>
      </c>
      <c r="H30" s="31">
        <v>153</v>
      </c>
      <c r="J30" s="8">
        <f t="shared" si="0"/>
        <v>86.201253800000003</v>
      </c>
      <c r="K30" s="8">
        <f t="shared" si="1"/>
        <v>12.8418168</v>
      </c>
      <c r="M30" s="8" t="str">
        <f t="shared" si="2"/>
        <v>86.20 ± 12.84</v>
      </c>
    </row>
    <row r="31" spans="1:13" x14ac:dyDescent="0.3">
      <c r="A31" s="21"/>
      <c r="B31" s="25"/>
      <c r="C31" s="32" t="s">
        <v>141</v>
      </c>
      <c r="D31" s="31">
        <v>14037</v>
      </c>
      <c r="E31" s="31">
        <v>21.905962800000001</v>
      </c>
      <c r="F31" s="31">
        <v>11.456696900000001</v>
      </c>
      <c r="G31" s="31">
        <v>7</v>
      </c>
      <c r="H31" s="31">
        <v>430</v>
      </c>
      <c r="J31" s="8">
        <f t="shared" si="0"/>
        <v>21.905962800000001</v>
      </c>
      <c r="K31" s="8">
        <f t="shared" si="1"/>
        <v>11.456696900000001</v>
      </c>
      <c r="M31" s="8" t="str">
        <f t="shared" si="2"/>
        <v>21.91 ± 11.46</v>
      </c>
    </row>
    <row r="32" spans="1:13" x14ac:dyDescent="0.3">
      <c r="A32" s="21"/>
      <c r="B32" s="25"/>
      <c r="C32" s="32" t="s">
        <v>142</v>
      </c>
      <c r="D32" s="31">
        <v>14037</v>
      </c>
      <c r="E32" s="31">
        <v>19.7351998</v>
      </c>
      <c r="F32" s="31">
        <v>19.0210446</v>
      </c>
      <c r="G32" s="31">
        <v>1</v>
      </c>
      <c r="H32" s="31">
        <v>893</v>
      </c>
      <c r="J32" s="8">
        <f t="shared" si="0"/>
        <v>19.7351998</v>
      </c>
      <c r="K32" s="8">
        <f t="shared" si="1"/>
        <v>19.0210446</v>
      </c>
      <c r="M32" s="8" t="str">
        <f t="shared" si="2"/>
        <v>19.74 ± 19.02</v>
      </c>
    </row>
    <row r="33" spans="1:13" x14ac:dyDescent="0.3">
      <c r="A33" s="21"/>
      <c r="B33" s="25"/>
      <c r="C33" s="32" t="s">
        <v>143</v>
      </c>
      <c r="D33" s="31">
        <v>14037</v>
      </c>
      <c r="E33" s="31">
        <v>13.747168200000001</v>
      </c>
      <c r="F33" s="31">
        <v>1.5172175999999999</v>
      </c>
      <c r="G33" s="31">
        <v>3.9</v>
      </c>
      <c r="H33" s="31">
        <v>19</v>
      </c>
      <c r="J33" s="8">
        <f t="shared" si="0"/>
        <v>13.747168200000001</v>
      </c>
      <c r="K33" s="8">
        <f t="shared" si="1"/>
        <v>1.5172175999999999</v>
      </c>
      <c r="M33" s="8" t="str">
        <f t="shared" si="2"/>
        <v>13.75 ± 1.52</v>
      </c>
    </row>
    <row r="34" spans="1:13" x14ac:dyDescent="0.3">
      <c r="A34" s="21"/>
      <c r="B34" s="25"/>
      <c r="C34" s="32" t="s">
        <v>144</v>
      </c>
      <c r="D34" s="31">
        <v>14037</v>
      </c>
      <c r="E34" s="31">
        <v>14.5572558</v>
      </c>
      <c r="F34" s="31">
        <v>4.3625274000000003</v>
      </c>
      <c r="G34" s="31">
        <v>5</v>
      </c>
      <c r="H34" s="31">
        <v>83</v>
      </c>
      <c r="J34" s="8">
        <f t="shared" si="0"/>
        <v>14.5572558</v>
      </c>
      <c r="K34" s="8">
        <f t="shared" si="1"/>
        <v>4.3625274000000003</v>
      </c>
      <c r="M34" s="8" t="str">
        <f t="shared" si="2"/>
        <v>14.56 ± 4.36</v>
      </c>
    </row>
    <row r="35" spans="1:13" x14ac:dyDescent="0.3">
      <c r="A35" s="21"/>
      <c r="B35" s="25"/>
      <c r="C35" s="32" t="s">
        <v>145</v>
      </c>
      <c r="D35" s="31">
        <v>14037</v>
      </c>
      <c r="E35" s="31">
        <v>0.80795470000000003</v>
      </c>
      <c r="F35" s="31">
        <v>0.27348729999999999</v>
      </c>
      <c r="G35" s="31">
        <v>0.36</v>
      </c>
      <c r="H35" s="31">
        <v>17.53</v>
      </c>
      <c r="J35" s="8">
        <f t="shared" si="0"/>
        <v>0.80795470000000003</v>
      </c>
      <c r="K35" s="8">
        <f t="shared" si="1"/>
        <v>0.27348729999999999</v>
      </c>
      <c r="M35" s="8" t="str">
        <f t="shared" si="2"/>
        <v>0.81 ± 0.27</v>
      </c>
    </row>
    <row r="36" spans="1:13" x14ac:dyDescent="0.3">
      <c r="A36" s="21"/>
      <c r="B36" s="25"/>
      <c r="C36" s="32" t="s">
        <v>150</v>
      </c>
      <c r="D36" s="31">
        <v>14037</v>
      </c>
      <c r="E36" s="31">
        <v>7.8984869</v>
      </c>
      <c r="F36" s="31">
        <v>9.1655329000000005</v>
      </c>
      <c r="G36" s="31">
        <v>1</v>
      </c>
      <c r="H36" s="31">
        <v>86.38</v>
      </c>
      <c r="J36" s="8">
        <f t="shared" si="0"/>
        <v>7.8984869</v>
      </c>
      <c r="K36" s="8">
        <f t="shared" si="1"/>
        <v>9.1655329000000005</v>
      </c>
      <c r="M36" s="8" t="str">
        <f t="shared" si="2"/>
        <v>7.90 ± 9.17</v>
      </c>
    </row>
    <row r="37" spans="1:13" x14ac:dyDescent="0.3">
      <c r="A37" s="21"/>
      <c r="B37" s="25"/>
      <c r="C37" s="32" t="s">
        <v>146</v>
      </c>
      <c r="D37" s="31">
        <v>14037</v>
      </c>
      <c r="E37" s="31">
        <v>8.2975318999999992</v>
      </c>
      <c r="F37" s="31">
        <v>0.1194017</v>
      </c>
      <c r="G37" s="31">
        <v>8.0830199</v>
      </c>
      <c r="H37" s="31">
        <v>8.4998436000000002</v>
      </c>
      <c r="J37" s="8">
        <f t="shared" si="0"/>
        <v>8.2975318999999992</v>
      </c>
      <c r="K37" s="8">
        <f t="shared" si="1"/>
        <v>0.1194017</v>
      </c>
      <c r="M37" s="8" t="str">
        <f t="shared" si="2"/>
        <v>8.30 ± 0.12</v>
      </c>
    </row>
    <row r="38" spans="1:13" x14ac:dyDescent="0.3">
      <c r="A38" s="21"/>
      <c r="B38" s="25"/>
      <c r="C38" s="32" t="s">
        <v>147</v>
      </c>
      <c r="D38" s="31">
        <v>14037</v>
      </c>
      <c r="E38" s="31">
        <v>193.8534161</v>
      </c>
      <c r="F38" s="31">
        <v>26.5783223</v>
      </c>
      <c r="G38" s="31">
        <v>116.2240353</v>
      </c>
      <c r="H38" s="31">
        <v>349.2717839</v>
      </c>
      <c r="J38" s="8">
        <f t="shared" si="0"/>
        <v>193.8534161</v>
      </c>
      <c r="K38" s="8">
        <f t="shared" si="1"/>
        <v>26.5783223</v>
      </c>
      <c r="M38" s="8" t="str">
        <f t="shared" si="2"/>
        <v>193.85 ± 26.58</v>
      </c>
    </row>
    <row r="39" spans="1:13" ht="16.5" thickBot="1" x14ac:dyDescent="0.35">
      <c r="A39" s="21"/>
      <c r="B39" s="25"/>
      <c r="C39" s="33" t="s">
        <v>149</v>
      </c>
      <c r="D39" s="31">
        <v>14037</v>
      </c>
      <c r="E39" s="31">
        <v>0.64236709999999997</v>
      </c>
      <c r="F39" s="31">
        <v>3.7755999999999998E-2</v>
      </c>
      <c r="G39" s="31">
        <v>0.45239689999999999</v>
      </c>
      <c r="H39" s="31">
        <v>0.92555880000000001</v>
      </c>
      <c r="J39" s="8">
        <f t="shared" si="0"/>
        <v>0.64236709999999997</v>
      </c>
      <c r="K39" s="8">
        <f t="shared" si="1"/>
        <v>3.7755999999999998E-2</v>
      </c>
      <c r="M39" s="8" t="str">
        <f t="shared" si="2"/>
        <v>0.64 ± 0.04</v>
      </c>
    </row>
    <row r="40" spans="1:13" x14ac:dyDescent="0.3">
      <c r="A40" s="21">
        <v>3</v>
      </c>
      <c r="B40" s="25">
        <v>15296</v>
      </c>
      <c r="C40" s="32" t="s">
        <v>133</v>
      </c>
      <c r="D40" s="31">
        <v>15296</v>
      </c>
      <c r="E40" s="31">
        <v>52.694299200000003</v>
      </c>
      <c r="F40" s="31">
        <v>12.2305908</v>
      </c>
      <c r="G40" s="31">
        <v>30</v>
      </c>
      <c r="H40" s="31">
        <v>74</v>
      </c>
      <c r="J40" s="8">
        <f t="shared" si="0"/>
        <v>52.694299200000003</v>
      </c>
      <c r="K40" s="8">
        <f t="shared" si="1"/>
        <v>12.2305908</v>
      </c>
      <c r="M40" s="8" t="str">
        <f t="shared" si="2"/>
        <v>52.69 ± 12.23</v>
      </c>
    </row>
    <row r="41" spans="1:13" x14ac:dyDescent="0.3">
      <c r="A41" s="21"/>
      <c r="B41" s="25"/>
      <c r="C41" s="32" t="s">
        <v>135</v>
      </c>
      <c r="D41" s="31">
        <v>15296</v>
      </c>
      <c r="E41" s="31">
        <v>24.397865100000001</v>
      </c>
      <c r="F41" s="31">
        <v>3.2256548999999999</v>
      </c>
      <c r="G41" s="31">
        <v>14.306562100000001</v>
      </c>
      <c r="H41" s="31">
        <v>45.934737699999999</v>
      </c>
      <c r="J41" s="8">
        <f t="shared" si="0"/>
        <v>24.397865100000001</v>
      </c>
      <c r="K41" s="8">
        <f t="shared" si="1"/>
        <v>3.2256548999999999</v>
      </c>
      <c r="M41" s="8" t="str">
        <f t="shared" si="2"/>
        <v>24.40 ± 3.23</v>
      </c>
    </row>
    <row r="42" spans="1:13" x14ac:dyDescent="0.3">
      <c r="A42" s="21"/>
      <c r="B42" s="25"/>
      <c r="C42" s="32" t="s">
        <v>134</v>
      </c>
      <c r="D42" s="31">
        <v>15296</v>
      </c>
      <c r="E42" s="31">
        <v>84.188108</v>
      </c>
      <c r="F42" s="31">
        <v>9.0691314999999992</v>
      </c>
      <c r="G42" s="31">
        <v>36.200000000000003</v>
      </c>
      <c r="H42" s="31">
        <v>166.1</v>
      </c>
      <c r="J42" s="8">
        <f t="shared" si="0"/>
        <v>84.188108</v>
      </c>
      <c r="K42" s="8">
        <f t="shared" si="1"/>
        <v>9.0691314999999992</v>
      </c>
      <c r="M42" s="8" t="str">
        <f t="shared" si="2"/>
        <v>84.19 ± 9.07</v>
      </c>
    </row>
    <row r="43" spans="1:13" x14ac:dyDescent="0.3">
      <c r="A43" s="21"/>
      <c r="B43" s="25"/>
      <c r="C43" s="32" t="s">
        <v>148</v>
      </c>
      <c r="D43" s="31">
        <v>15296</v>
      </c>
      <c r="E43" s="31">
        <v>7.8424900000000006E-2</v>
      </c>
      <c r="F43" s="31">
        <v>4.1958000000000004E-3</v>
      </c>
      <c r="G43" s="31">
        <v>4.5616799999999999E-2</v>
      </c>
      <c r="H43" s="31">
        <v>0.15107219999999999</v>
      </c>
      <c r="J43" s="8">
        <f t="shared" si="0"/>
        <v>7.8424900000000006E-2</v>
      </c>
      <c r="K43" s="8">
        <f t="shared" si="1"/>
        <v>4.1958000000000004E-3</v>
      </c>
      <c r="M43" s="8" t="str">
        <f t="shared" si="2"/>
        <v>0.08 ± 0.00</v>
      </c>
    </row>
    <row r="44" spans="1:13" x14ac:dyDescent="0.3">
      <c r="A44" s="21"/>
      <c r="B44" s="25"/>
      <c r="C44" s="32" t="s">
        <v>136</v>
      </c>
      <c r="D44" s="31">
        <v>15296</v>
      </c>
      <c r="E44" s="31">
        <v>120.1669064</v>
      </c>
      <c r="F44" s="31">
        <v>16.1100414</v>
      </c>
      <c r="G44" s="31">
        <v>70</v>
      </c>
      <c r="H44" s="31">
        <v>223</v>
      </c>
      <c r="J44" s="8">
        <f t="shared" si="0"/>
        <v>120.1669064</v>
      </c>
      <c r="K44" s="8">
        <f t="shared" si="1"/>
        <v>16.1100414</v>
      </c>
      <c r="M44" s="8" t="str">
        <f t="shared" si="2"/>
        <v>120.17 ± 16.11</v>
      </c>
    </row>
    <row r="45" spans="1:13" x14ac:dyDescent="0.3">
      <c r="A45" s="21"/>
      <c r="B45" s="25"/>
      <c r="C45" s="32" t="s">
        <v>137</v>
      </c>
      <c r="D45" s="31">
        <v>15296</v>
      </c>
      <c r="E45" s="31">
        <v>99.483721200000005</v>
      </c>
      <c r="F45" s="31">
        <v>15.3933581</v>
      </c>
      <c r="G45" s="31">
        <v>51</v>
      </c>
      <c r="H45" s="31">
        <v>306</v>
      </c>
      <c r="J45" s="8">
        <f t="shared" si="0"/>
        <v>99.483721200000005</v>
      </c>
      <c r="K45" s="8">
        <f t="shared" si="1"/>
        <v>15.3933581</v>
      </c>
      <c r="M45" s="8" t="str">
        <f t="shared" si="2"/>
        <v>99.48 ± 15.39</v>
      </c>
    </row>
    <row r="46" spans="1:13" x14ac:dyDescent="0.3">
      <c r="A46" s="21"/>
      <c r="B46" s="25"/>
      <c r="C46" s="32" t="s">
        <v>140</v>
      </c>
      <c r="D46" s="31">
        <v>15296</v>
      </c>
      <c r="E46" s="31">
        <v>193.7730779</v>
      </c>
      <c r="F46" s="31">
        <v>36.108372099999997</v>
      </c>
      <c r="G46" s="31">
        <v>68</v>
      </c>
      <c r="H46" s="31">
        <v>381</v>
      </c>
      <c r="J46" s="8">
        <f t="shared" si="0"/>
        <v>193.7730779</v>
      </c>
      <c r="K46" s="8">
        <f t="shared" si="1"/>
        <v>36.108372099999997</v>
      </c>
      <c r="M46" s="8" t="str">
        <f t="shared" si="2"/>
        <v>193.77 ± 36.11</v>
      </c>
    </row>
    <row r="47" spans="1:13" ht="31.5" x14ac:dyDescent="0.3">
      <c r="A47" s="21"/>
      <c r="B47" s="25"/>
      <c r="C47" s="32" t="s">
        <v>139</v>
      </c>
      <c r="D47" s="31">
        <v>15296</v>
      </c>
      <c r="E47" s="31">
        <v>49.432064400000002</v>
      </c>
      <c r="F47" s="31">
        <v>11.1021014</v>
      </c>
      <c r="G47" s="31">
        <v>19.027999999999999</v>
      </c>
      <c r="H47" s="31">
        <v>128</v>
      </c>
      <c r="J47" s="8">
        <f t="shared" si="0"/>
        <v>49.432064400000002</v>
      </c>
      <c r="K47" s="8">
        <f t="shared" si="1"/>
        <v>11.1021014</v>
      </c>
      <c r="M47" s="8" t="str">
        <f t="shared" si="2"/>
        <v>49.43 ± 11.10</v>
      </c>
    </row>
    <row r="48" spans="1:13" x14ac:dyDescent="0.3">
      <c r="A48" s="21"/>
      <c r="B48" s="25"/>
      <c r="C48" s="32" t="s">
        <v>138</v>
      </c>
      <c r="D48" s="31">
        <v>15296</v>
      </c>
      <c r="E48" s="31">
        <v>126.20064069999999</v>
      </c>
      <c r="F48" s="31">
        <v>21.625157000000002</v>
      </c>
      <c r="G48" s="31">
        <v>41</v>
      </c>
      <c r="H48" s="31">
        <v>300</v>
      </c>
      <c r="J48" s="8">
        <f t="shared" si="0"/>
        <v>126.20064069999999</v>
      </c>
      <c r="K48" s="8">
        <f t="shared" si="1"/>
        <v>21.625157000000002</v>
      </c>
      <c r="M48" s="8" t="str">
        <f t="shared" si="2"/>
        <v>126.20 ± 21.63</v>
      </c>
    </row>
    <row r="49" spans="1:13" x14ac:dyDescent="0.3">
      <c r="A49" s="21"/>
      <c r="B49" s="25"/>
      <c r="C49" s="32" t="s">
        <v>141</v>
      </c>
      <c r="D49" s="31">
        <v>15296</v>
      </c>
      <c r="E49" s="31">
        <v>23.263402200000002</v>
      </c>
      <c r="F49" s="31">
        <v>11.718535599999999</v>
      </c>
      <c r="G49" s="31">
        <v>7</v>
      </c>
      <c r="H49" s="31">
        <v>491</v>
      </c>
      <c r="J49" s="8">
        <f t="shared" si="0"/>
        <v>23.263402200000002</v>
      </c>
      <c r="K49" s="8">
        <f t="shared" si="1"/>
        <v>11.718535599999999</v>
      </c>
      <c r="M49" s="8" t="str">
        <f t="shared" si="2"/>
        <v>23.26 ± 11.72</v>
      </c>
    </row>
    <row r="50" spans="1:13" x14ac:dyDescent="0.3">
      <c r="A50" s="21"/>
      <c r="B50" s="25"/>
      <c r="C50" s="32" t="s">
        <v>142</v>
      </c>
      <c r="D50" s="31">
        <v>15296</v>
      </c>
      <c r="E50" s="31">
        <v>23.001765200000001</v>
      </c>
      <c r="F50" s="31">
        <v>17.638287399999999</v>
      </c>
      <c r="G50" s="31">
        <v>3</v>
      </c>
      <c r="H50" s="31">
        <v>857</v>
      </c>
      <c r="J50" s="8">
        <f t="shared" si="0"/>
        <v>23.001765200000001</v>
      </c>
      <c r="K50" s="8">
        <f t="shared" si="1"/>
        <v>17.638287399999999</v>
      </c>
      <c r="M50" s="8" t="str">
        <f t="shared" si="2"/>
        <v>23.00 ± 17.64</v>
      </c>
    </row>
    <row r="51" spans="1:13" x14ac:dyDescent="0.3">
      <c r="A51" s="21"/>
      <c r="B51" s="25"/>
      <c r="C51" s="32" t="s">
        <v>143</v>
      </c>
      <c r="D51" s="31">
        <v>15296</v>
      </c>
      <c r="E51" s="31">
        <v>14.176909</v>
      </c>
      <c r="F51" s="31">
        <v>1.5305485999999999</v>
      </c>
      <c r="G51" s="31">
        <v>5.5</v>
      </c>
      <c r="H51" s="31">
        <v>21.3</v>
      </c>
      <c r="J51" s="8">
        <f t="shared" si="0"/>
        <v>14.176909</v>
      </c>
      <c r="K51" s="8">
        <f t="shared" si="1"/>
        <v>1.5305485999999999</v>
      </c>
      <c r="M51" s="8" t="str">
        <f t="shared" si="2"/>
        <v>14.18 ± 1.53</v>
      </c>
    </row>
    <row r="52" spans="1:13" x14ac:dyDescent="0.3">
      <c r="A52" s="21"/>
      <c r="B52" s="25"/>
      <c r="C52" s="32" t="s">
        <v>144</v>
      </c>
      <c r="D52" s="31">
        <v>15296</v>
      </c>
      <c r="E52" s="31">
        <v>14.731982199999999</v>
      </c>
      <c r="F52" s="31">
        <v>4.5248695000000003</v>
      </c>
      <c r="G52" s="31">
        <v>4</v>
      </c>
      <c r="H52" s="31">
        <v>115</v>
      </c>
      <c r="J52" s="8">
        <f t="shared" si="0"/>
        <v>14.731982199999999</v>
      </c>
      <c r="K52" s="8">
        <f t="shared" si="1"/>
        <v>4.5248695000000003</v>
      </c>
      <c r="M52" s="8" t="str">
        <f t="shared" si="2"/>
        <v>14.73 ± 4.52</v>
      </c>
    </row>
    <row r="53" spans="1:13" x14ac:dyDescent="0.3">
      <c r="A53" s="21"/>
      <c r="B53" s="25"/>
      <c r="C53" s="32" t="s">
        <v>145</v>
      </c>
      <c r="D53" s="31">
        <v>15296</v>
      </c>
      <c r="E53" s="31">
        <v>0.84337019999999996</v>
      </c>
      <c r="F53" s="31">
        <v>0.26020929999999998</v>
      </c>
      <c r="G53" s="31">
        <v>0.37</v>
      </c>
      <c r="H53" s="31">
        <v>10.48</v>
      </c>
      <c r="J53" s="8">
        <f t="shared" si="0"/>
        <v>0.84337019999999996</v>
      </c>
      <c r="K53" s="8">
        <f t="shared" si="1"/>
        <v>0.26020929999999998</v>
      </c>
      <c r="M53" s="8" t="str">
        <f t="shared" si="2"/>
        <v>0.84 ± 0.26</v>
      </c>
    </row>
    <row r="54" spans="1:13" x14ac:dyDescent="0.3">
      <c r="A54" s="21"/>
      <c r="B54" s="25"/>
      <c r="C54" s="32" t="s">
        <v>150</v>
      </c>
      <c r="D54" s="31">
        <v>15296</v>
      </c>
      <c r="E54" s="31">
        <v>10.993926500000001</v>
      </c>
      <c r="F54" s="31">
        <v>10.9677015</v>
      </c>
      <c r="G54" s="31">
        <v>1</v>
      </c>
      <c r="H54" s="31">
        <v>89.84</v>
      </c>
      <c r="J54" s="8">
        <f t="shared" si="0"/>
        <v>10.993926500000001</v>
      </c>
      <c r="K54" s="8">
        <f t="shared" si="1"/>
        <v>10.9677015</v>
      </c>
      <c r="M54" s="8" t="str">
        <f t="shared" si="2"/>
        <v>10.99 ± 10.97</v>
      </c>
    </row>
    <row r="55" spans="1:13" x14ac:dyDescent="0.3">
      <c r="A55" s="21"/>
      <c r="B55" s="25"/>
      <c r="C55" s="32" t="s">
        <v>146</v>
      </c>
      <c r="D55" s="31">
        <v>15296</v>
      </c>
      <c r="E55" s="31">
        <v>8.7196543999999996</v>
      </c>
      <c r="F55" s="31">
        <v>0.13040109999999999</v>
      </c>
      <c r="G55" s="31">
        <v>8.5001487999999998</v>
      </c>
      <c r="H55" s="31">
        <v>8.9582827999999992</v>
      </c>
      <c r="J55" s="8">
        <f t="shared" si="0"/>
        <v>8.7196543999999996</v>
      </c>
      <c r="K55" s="8">
        <f t="shared" si="1"/>
        <v>0.13040109999999999</v>
      </c>
      <c r="M55" s="8" t="str">
        <f t="shared" si="2"/>
        <v>8.72 ± 0.13</v>
      </c>
    </row>
    <row r="56" spans="1:13" x14ac:dyDescent="0.3">
      <c r="A56" s="21"/>
      <c r="B56" s="25"/>
      <c r="C56" s="32" t="s">
        <v>147</v>
      </c>
      <c r="D56" s="31">
        <v>15296</v>
      </c>
      <c r="E56" s="31">
        <v>212.78623820000001</v>
      </c>
      <c r="F56" s="31">
        <v>28.6555383</v>
      </c>
      <c r="G56" s="31">
        <v>123.5145758</v>
      </c>
      <c r="H56" s="31">
        <v>398.37193400000001</v>
      </c>
      <c r="J56" s="8">
        <f t="shared" si="0"/>
        <v>212.78623820000001</v>
      </c>
      <c r="K56" s="8">
        <f t="shared" si="1"/>
        <v>28.6555383</v>
      </c>
      <c r="M56" s="8" t="str">
        <f t="shared" si="2"/>
        <v>212.79 ± 28.66</v>
      </c>
    </row>
    <row r="57" spans="1:13" ht="16.5" thickBot="1" x14ac:dyDescent="0.35">
      <c r="A57" s="21"/>
      <c r="B57" s="25"/>
      <c r="C57" s="33" t="s">
        <v>149</v>
      </c>
      <c r="D57" s="31">
        <v>15296</v>
      </c>
      <c r="E57" s="31">
        <v>0.68387220000000004</v>
      </c>
      <c r="F57" s="31">
        <v>3.8596199999999997E-2</v>
      </c>
      <c r="G57" s="31">
        <v>0.40120869999999997</v>
      </c>
      <c r="H57" s="31">
        <v>1.3241700999999999</v>
      </c>
      <c r="J57" s="8">
        <f t="shared" si="0"/>
        <v>0.68387220000000004</v>
      </c>
      <c r="K57" s="8">
        <f t="shared" si="1"/>
        <v>3.8596199999999997E-2</v>
      </c>
      <c r="M57" s="8" t="str">
        <f t="shared" si="2"/>
        <v>0.68 ± 0.04</v>
      </c>
    </row>
    <row r="58" spans="1:13" x14ac:dyDescent="0.3">
      <c r="A58" s="21">
        <v>4</v>
      </c>
      <c r="B58" s="25">
        <v>17332</v>
      </c>
      <c r="C58" s="32" t="s">
        <v>133</v>
      </c>
      <c r="D58" s="31">
        <v>17332</v>
      </c>
      <c r="E58" s="31">
        <v>52.7666167</v>
      </c>
      <c r="F58" s="31">
        <v>11.675025099999999</v>
      </c>
      <c r="G58" s="31">
        <v>30</v>
      </c>
      <c r="H58" s="31">
        <v>74</v>
      </c>
      <c r="J58" s="8">
        <f t="shared" si="0"/>
        <v>52.7666167</v>
      </c>
      <c r="K58" s="8">
        <f t="shared" si="1"/>
        <v>11.675025099999999</v>
      </c>
      <c r="M58" s="8" t="str">
        <f t="shared" si="2"/>
        <v>52.77 ± 11.68</v>
      </c>
    </row>
    <row r="59" spans="1:13" x14ac:dyDescent="0.3">
      <c r="A59" s="21"/>
      <c r="B59" s="25"/>
      <c r="C59" s="32" t="s">
        <v>135</v>
      </c>
      <c r="D59" s="31">
        <v>17332</v>
      </c>
      <c r="E59" s="31">
        <v>25.509248800000002</v>
      </c>
      <c r="F59" s="31">
        <v>3.3025045</v>
      </c>
      <c r="G59" s="31">
        <v>14.9232026</v>
      </c>
      <c r="H59" s="31">
        <v>53.537693400000002</v>
      </c>
      <c r="J59" s="8">
        <f t="shared" si="0"/>
        <v>25.509248800000002</v>
      </c>
      <c r="K59" s="8">
        <f t="shared" si="1"/>
        <v>3.3025045</v>
      </c>
      <c r="M59" s="8" t="str">
        <f t="shared" si="2"/>
        <v>25.51 ± 3.30</v>
      </c>
    </row>
    <row r="60" spans="1:13" x14ac:dyDescent="0.3">
      <c r="A60" s="21"/>
      <c r="B60" s="25"/>
      <c r="C60" s="32" t="s">
        <v>134</v>
      </c>
      <c r="D60" s="31">
        <v>17332</v>
      </c>
      <c r="E60" s="31">
        <v>88.114695400000002</v>
      </c>
      <c r="F60" s="31">
        <v>8.6915373999999996</v>
      </c>
      <c r="G60" s="31">
        <v>52.3</v>
      </c>
      <c r="H60" s="31">
        <v>136.4</v>
      </c>
      <c r="J60" s="8">
        <f t="shared" si="0"/>
        <v>88.114695400000002</v>
      </c>
      <c r="K60" s="8">
        <f t="shared" si="1"/>
        <v>8.6915373999999996</v>
      </c>
      <c r="M60" s="8" t="str">
        <f t="shared" si="2"/>
        <v>88.11 ± 8.69</v>
      </c>
    </row>
    <row r="61" spans="1:13" x14ac:dyDescent="0.3">
      <c r="A61" s="21"/>
      <c r="B61" s="25"/>
      <c r="C61" s="32" t="s">
        <v>148</v>
      </c>
      <c r="D61" s="31">
        <v>17332</v>
      </c>
      <c r="E61" s="31">
        <v>7.9327999999999996E-2</v>
      </c>
      <c r="F61" s="31">
        <v>4.0042000000000003E-3</v>
      </c>
      <c r="G61" s="31">
        <v>4.8055199999999999E-2</v>
      </c>
      <c r="H61" s="31">
        <v>0.1020525</v>
      </c>
      <c r="J61" s="8">
        <f t="shared" si="0"/>
        <v>7.9327999999999996E-2</v>
      </c>
      <c r="K61" s="8">
        <f t="shared" si="1"/>
        <v>4.0042000000000003E-3</v>
      </c>
      <c r="M61" s="8" t="str">
        <f t="shared" si="2"/>
        <v>0.08 ± 0.00</v>
      </c>
    </row>
    <row r="62" spans="1:13" x14ac:dyDescent="0.3">
      <c r="A62" s="21"/>
      <c r="B62" s="25"/>
      <c r="C62" s="32" t="s">
        <v>136</v>
      </c>
      <c r="D62" s="31">
        <v>17332</v>
      </c>
      <c r="E62" s="31">
        <v>124.1486845</v>
      </c>
      <c r="F62" s="31">
        <v>15.935069</v>
      </c>
      <c r="G62" s="31">
        <v>77</v>
      </c>
      <c r="H62" s="31">
        <v>243</v>
      </c>
      <c r="J62" s="8">
        <f t="shared" si="0"/>
        <v>124.1486845</v>
      </c>
      <c r="K62" s="8">
        <f t="shared" si="1"/>
        <v>15.935069</v>
      </c>
      <c r="M62" s="8" t="str">
        <f t="shared" si="2"/>
        <v>124.15 ± 15.94</v>
      </c>
    </row>
    <row r="63" spans="1:13" x14ac:dyDescent="0.3">
      <c r="A63" s="21"/>
      <c r="B63" s="25"/>
      <c r="C63" s="32" t="s">
        <v>137</v>
      </c>
      <c r="D63" s="31">
        <v>17332</v>
      </c>
      <c r="E63" s="31">
        <v>113.8718555</v>
      </c>
      <c r="F63" s="31">
        <v>34.460069900000001</v>
      </c>
      <c r="G63" s="31">
        <v>61</v>
      </c>
      <c r="H63" s="31">
        <v>553</v>
      </c>
      <c r="J63" s="8">
        <f t="shared" si="0"/>
        <v>113.8718555</v>
      </c>
      <c r="K63" s="8">
        <f t="shared" si="1"/>
        <v>34.460069900000001</v>
      </c>
      <c r="M63" s="8" t="str">
        <f t="shared" si="2"/>
        <v>113.87 ± 34.46</v>
      </c>
    </row>
    <row r="64" spans="1:13" x14ac:dyDescent="0.3">
      <c r="A64" s="21"/>
      <c r="B64" s="25"/>
      <c r="C64" s="32" t="s">
        <v>140</v>
      </c>
      <c r="D64" s="31">
        <v>17332</v>
      </c>
      <c r="E64" s="31">
        <v>203.12993309999999</v>
      </c>
      <c r="F64" s="31">
        <v>40.135736600000001</v>
      </c>
      <c r="G64" s="31">
        <v>79</v>
      </c>
      <c r="H64" s="31">
        <v>554</v>
      </c>
      <c r="J64" s="8">
        <f t="shared" si="0"/>
        <v>203.12993309999999</v>
      </c>
      <c r="K64" s="8">
        <f t="shared" si="1"/>
        <v>40.135736600000001</v>
      </c>
      <c r="M64" s="8" t="str">
        <f t="shared" si="2"/>
        <v>203.13 ± 40.14</v>
      </c>
    </row>
    <row r="65" spans="1:13" ht="31.5" x14ac:dyDescent="0.3">
      <c r="A65" s="21"/>
      <c r="B65" s="25"/>
      <c r="C65" s="32" t="s">
        <v>139</v>
      </c>
      <c r="D65" s="31">
        <v>17332</v>
      </c>
      <c r="E65" s="31">
        <v>43.790926300000002</v>
      </c>
      <c r="F65" s="31">
        <v>9.9062981000000008</v>
      </c>
      <c r="G65" s="31">
        <v>5.9180000000000001</v>
      </c>
      <c r="H65" s="31">
        <v>126.76</v>
      </c>
      <c r="J65" s="8">
        <f t="shared" si="0"/>
        <v>43.790926300000002</v>
      </c>
      <c r="K65" s="8">
        <f t="shared" si="1"/>
        <v>9.9062981000000008</v>
      </c>
      <c r="M65" s="8" t="str">
        <f t="shared" si="2"/>
        <v>43.79 ± 9.91</v>
      </c>
    </row>
    <row r="66" spans="1:13" x14ac:dyDescent="0.3">
      <c r="A66" s="21"/>
      <c r="B66" s="25"/>
      <c r="C66" s="32" t="s">
        <v>138</v>
      </c>
      <c r="D66" s="31">
        <v>17332</v>
      </c>
      <c r="E66" s="31">
        <v>251.86308560000001</v>
      </c>
      <c r="F66" s="31">
        <v>152.90408959999999</v>
      </c>
      <c r="G66" s="31">
        <v>57</v>
      </c>
      <c r="H66" s="31">
        <v>2774</v>
      </c>
      <c r="J66" s="8">
        <f t="shared" si="0"/>
        <v>251.86308560000001</v>
      </c>
      <c r="K66" s="8">
        <f t="shared" si="1"/>
        <v>152.90408959999999</v>
      </c>
      <c r="M66" s="8" t="str">
        <f t="shared" si="2"/>
        <v>251.86 ± 152.90</v>
      </c>
    </row>
    <row r="67" spans="1:13" x14ac:dyDescent="0.3">
      <c r="A67" s="21"/>
      <c r="B67" s="25"/>
      <c r="C67" s="32" t="s">
        <v>141</v>
      </c>
      <c r="D67" s="31">
        <v>17332</v>
      </c>
      <c r="E67" s="31">
        <v>27.071659400000001</v>
      </c>
      <c r="F67" s="31">
        <v>19.711026100000002</v>
      </c>
      <c r="G67" s="31">
        <v>6</v>
      </c>
      <c r="H67" s="31">
        <v>927</v>
      </c>
      <c r="J67" s="8">
        <f t="shared" si="0"/>
        <v>27.071659400000001</v>
      </c>
      <c r="K67" s="8">
        <f t="shared" si="1"/>
        <v>19.711026100000002</v>
      </c>
      <c r="M67" s="8" t="str">
        <f t="shared" si="2"/>
        <v>27.07 ± 19.71</v>
      </c>
    </row>
    <row r="68" spans="1:13" x14ac:dyDescent="0.3">
      <c r="A68" s="21"/>
      <c r="B68" s="25"/>
      <c r="C68" s="32" t="s">
        <v>142</v>
      </c>
      <c r="D68" s="31">
        <v>17332</v>
      </c>
      <c r="E68" s="31">
        <v>29.8479691</v>
      </c>
      <c r="F68" s="31">
        <v>21.462913400000001</v>
      </c>
      <c r="G68" s="31">
        <v>4</v>
      </c>
      <c r="H68" s="31">
        <v>359</v>
      </c>
      <c r="J68" s="8">
        <f t="shared" si="0"/>
        <v>29.8479691</v>
      </c>
      <c r="K68" s="8">
        <f t="shared" si="1"/>
        <v>21.462913400000001</v>
      </c>
      <c r="M68" s="8" t="str">
        <f t="shared" si="2"/>
        <v>29.85 ± 21.46</v>
      </c>
    </row>
    <row r="69" spans="1:13" x14ac:dyDescent="0.3">
      <c r="A69" s="21"/>
      <c r="B69" s="25"/>
      <c r="C69" s="32" t="s">
        <v>143</v>
      </c>
      <c r="D69" s="31">
        <v>17332</v>
      </c>
      <c r="E69" s="31">
        <v>14.689355000000001</v>
      </c>
      <c r="F69" s="31">
        <v>1.4849318</v>
      </c>
      <c r="G69" s="31">
        <v>6.6</v>
      </c>
      <c r="H69" s="31">
        <v>20.399999999999999</v>
      </c>
      <c r="J69" s="8">
        <f t="shared" ref="J69:J75" si="3">E69</f>
        <v>14.689355000000001</v>
      </c>
      <c r="K69" s="8">
        <f t="shared" ref="K69:K75" si="4">F69</f>
        <v>1.4849318</v>
      </c>
      <c r="M69" s="8" t="str">
        <f t="shared" ref="M69:M75" si="5">TEXT(J69,"0.00")&amp;" ± "&amp;TEXT(K69,"0.00")</f>
        <v>14.69 ± 1.48</v>
      </c>
    </row>
    <row r="70" spans="1:13" x14ac:dyDescent="0.3">
      <c r="A70" s="21"/>
      <c r="B70" s="25"/>
      <c r="C70" s="32" t="s">
        <v>144</v>
      </c>
      <c r="D70" s="31">
        <v>17332</v>
      </c>
      <c r="E70" s="31">
        <v>14.7345027</v>
      </c>
      <c r="F70" s="31">
        <v>4.2489815999999996</v>
      </c>
      <c r="G70" s="31">
        <v>3</v>
      </c>
      <c r="H70" s="31">
        <v>71</v>
      </c>
      <c r="J70" s="8">
        <f t="shared" si="3"/>
        <v>14.7345027</v>
      </c>
      <c r="K70" s="8">
        <f t="shared" si="4"/>
        <v>4.2489815999999996</v>
      </c>
      <c r="M70" s="8" t="str">
        <f t="shared" si="5"/>
        <v>14.73 ± 4.25</v>
      </c>
    </row>
    <row r="71" spans="1:13" x14ac:dyDescent="0.3">
      <c r="A71" s="21"/>
      <c r="B71" s="25"/>
      <c r="C71" s="32" t="s">
        <v>145</v>
      </c>
      <c r="D71" s="31">
        <v>17332</v>
      </c>
      <c r="E71" s="31">
        <v>0.87789229999999996</v>
      </c>
      <c r="F71" s="31">
        <v>0.23000970000000001</v>
      </c>
      <c r="G71" s="31">
        <v>0.2</v>
      </c>
      <c r="H71" s="31">
        <v>8.35</v>
      </c>
      <c r="J71" s="8">
        <f t="shared" si="3"/>
        <v>0.87789229999999996</v>
      </c>
      <c r="K71" s="8">
        <f t="shared" si="4"/>
        <v>0.23000970000000001</v>
      </c>
      <c r="M71" s="8" t="str">
        <f t="shared" si="5"/>
        <v>0.88 ± 0.23</v>
      </c>
    </row>
    <row r="72" spans="1:13" x14ac:dyDescent="0.3">
      <c r="A72" s="21"/>
      <c r="B72" s="25"/>
      <c r="C72" s="32" t="s">
        <v>150</v>
      </c>
      <c r="D72" s="31">
        <v>17332</v>
      </c>
      <c r="E72" s="31">
        <v>15.741004500000001</v>
      </c>
      <c r="F72" s="31">
        <v>13.9133101</v>
      </c>
      <c r="G72" s="31">
        <v>1</v>
      </c>
      <c r="H72" s="31">
        <v>96.39</v>
      </c>
      <c r="J72" s="8">
        <f t="shared" si="3"/>
        <v>15.741004500000001</v>
      </c>
      <c r="K72" s="8">
        <f t="shared" si="4"/>
        <v>13.9133101</v>
      </c>
      <c r="M72" s="8" t="str">
        <f t="shared" si="5"/>
        <v>15.74 ± 13.91</v>
      </c>
    </row>
    <row r="73" spans="1:13" x14ac:dyDescent="0.3">
      <c r="A73" s="21"/>
      <c r="B73" s="25"/>
      <c r="C73" s="32" t="s">
        <v>146</v>
      </c>
      <c r="D73" s="31">
        <v>17332</v>
      </c>
      <c r="E73" s="31">
        <v>9.4367225000000001</v>
      </c>
      <c r="F73" s="31">
        <v>0.43373270000000003</v>
      </c>
      <c r="G73" s="31">
        <v>8.9585401000000005</v>
      </c>
      <c r="H73" s="31">
        <v>12.543457</v>
      </c>
      <c r="J73" s="8">
        <f t="shared" si="3"/>
        <v>9.4367225000000001</v>
      </c>
      <c r="K73" s="8">
        <f t="shared" si="4"/>
        <v>0.43373270000000003</v>
      </c>
      <c r="M73" s="8" t="str">
        <f t="shared" si="5"/>
        <v>9.44 ± 0.43</v>
      </c>
    </row>
    <row r="74" spans="1:13" x14ac:dyDescent="0.3">
      <c r="A74" s="21"/>
      <c r="B74" s="25"/>
      <c r="C74" s="32" t="s">
        <v>147</v>
      </c>
      <c r="D74" s="31">
        <v>17332</v>
      </c>
      <c r="E74" s="31">
        <v>240.83005879999999</v>
      </c>
      <c r="F74" s="31">
        <v>33.902372100000001</v>
      </c>
      <c r="G74" s="31">
        <v>143.51104960000001</v>
      </c>
      <c r="H74" s="31">
        <v>515.03065579999998</v>
      </c>
      <c r="J74" s="8">
        <f t="shared" si="3"/>
        <v>240.83005879999999</v>
      </c>
      <c r="K74" s="8">
        <f t="shared" si="4"/>
        <v>33.902372100000001</v>
      </c>
      <c r="M74" s="8" t="str">
        <f t="shared" si="5"/>
        <v>240.83 ± 33.90</v>
      </c>
    </row>
    <row r="75" spans="1:13" x14ac:dyDescent="0.3">
      <c r="A75" s="21"/>
      <c r="B75" s="25"/>
      <c r="C75" s="32" t="s">
        <v>149</v>
      </c>
      <c r="D75" s="31">
        <v>17332</v>
      </c>
      <c r="E75" s="31">
        <v>0.74869520000000001</v>
      </c>
      <c r="F75" s="31">
        <v>5.2599699999999999E-2</v>
      </c>
      <c r="G75" s="31">
        <v>0.45287640000000001</v>
      </c>
      <c r="H75" s="31">
        <v>1.0740016999999999</v>
      </c>
      <c r="J75" s="8">
        <f t="shared" si="3"/>
        <v>0.74869520000000001</v>
      </c>
      <c r="K75" s="8">
        <f t="shared" si="4"/>
        <v>5.2599699999999999E-2</v>
      </c>
      <c r="M75" s="8" t="str">
        <f t="shared" si="5"/>
        <v>0.75 ± 0.05</v>
      </c>
    </row>
  </sheetData>
  <mergeCells count="8">
    <mergeCell ref="A58:A75"/>
    <mergeCell ref="B58:B75"/>
    <mergeCell ref="A4:A21"/>
    <mergeCell ref="B4:B21"/>
    <mergeCell ref="A22:A39"/>
    <mergeCell ref="B22:B39"/>
    <mergeCell ref="A40:A57"/>
    <mergeCell ref="B40:B57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6FAF-3EA5-49C7-847E-E5E43EA52470}">
  <dimension ref="A1:H75"/>
  <sheetViews>
    <sheetView workbookViewId="0">
      <selection activeCell="J17" sqref="J17"/>
    </sheetView>
  </sheetViews>
  <sheetFormatPr defaultRowHeight="16.5" x14ac:dyDescent="0.3"/>
  <sheetData>
    <row r="1" spans="1:8" x14ac:dyDescent="0.3">
      <c r="A1" s="1" t="s">
        <v>126</v>
      </c>
    </row>
    <row r="2" spans="1:8" ht="17.25" thickBot="1" x14ac:dyDescent="0.35"/>
    <row r="3" spans="1:8" ht="33" x14ac:dyDescent="0.3">
      <c r="A3" s="5" t="s">
        <v>24</v>
      </c>
      <c r="B3" s="12" t="s">
        <v>151</v>
      </c>
      <c r="C3" s="12" t="s">
        <v>127</v>
      </c>
      <c r="D3" s="12" t="s">
        <v>128</v>
      </c>
      <c r="E3" s="12" t="s">
        <v>129</v>
      </c>
      <c r="F3" s="12" t="s">
        <v>130</v>
      </c>
      <c r="G3" s="12" t="s">
        <v>131</v>
      </c>
      <c r="H3" s="12" t="s">
        <v>132</v>
      </c>
    </row>
    <row r="4" spans="1:8" x14ac:dyDescent="0.3">
      <c r="A4" s="18">
        <v>1</v>
      </c>
      <c r="B4" s="20">
        <v>10536</v>
      </c>
      <c r="C4" s="27" t="s">
        <v>133</v>
      </c>
      <c r="D4" s="29">
        <v>10536</v>
      </c>
      <c r="E4" s="29">
        <v>46.143128300000001</v>
      </c>
      <c r="F4" s="29">
        <v>12.046249100000001</v>
      </c>
      <c r="G4" s="29">
        <v>30</v>
      </c>
      <c r="H4" s="29">
        <v>74</v>
      </c>
    </row>
    <row r="5" spans="1:8" x14ac:dyDescent="0.3">
      <c r="A5" s="18"/>
      <c r="B5" s="20"/>
      <c r="C5" s="27" t="s">
        <v>135</v>
      </c>
      <c r="D5" s="29">
        <v>10536</v>
      </c>
      <c r="E5" s="29">
        <v>19.841231100000002</v>
      </c>
      <c r="F5" s="29">
        <v>1.4302600999999999</v>
      </c>
      <c r="G5" s="29">
        <v>13.735636599999999</v>
      </c>
      <c r="H5" s="29">
        <v>25.681593199999998</v>
      </c>
    </row>
    <row r="6" spans="1:8" x14ac:dyDescent="0.3">
      <c r="A6" s="18"/>
      <c r="B6" s="20"/>
      <c r="C6" s="27" t="s">
        <v>134</v>
      </c>
      <c r="D6" s="29">
        <v>10536</v>
      </c>
      <c r="E6" s="29">
        <v>70.758570599999999</v>
      </c>
      <c r="F6" s="29">
        <v>5.2663213000000004</v>
      </c>
      <c r="G6" s="29">
        <v>36.200000000000003</v>
      </c>
      <c r="H6" s="29">
        <v>104.6</v>
      </c>
    </row>
    <row r="7" spans="1:8" x14ac:dyDescent="0.3">
      <c r="A7" s="18"/>
      <c r="B7" s="20"/>
      <c r="C7" s="27" t="s">
        <v>148</v>
      </c>
      <c r="D7" s="29">
        <v>10536</v>
      </c>
      <c r="E7" s="29">
        <v>7.5875999999999999E-2</v>
      </c>
      <c r="F7" s="29">
        <v>4.2490999999999996E-3</v>
      </c>
      <c r="G7" s="29">
        <v>4.5616799999999999E-2</v>
      </c>
      <c r="H7" s="29">
        <v>0.1121983</v>
      </c>
    </row>
    <row r="8" spans="1:8" x14ac:dyDescent="0.3">
      <c r="A8" s="18"/>
      <c r="B8" s="20"/>
      <c r="C8" s="27" t="s">
        <v>136</v>
      </c>
      <c r="D8" s="29">
        <v>10536</v>
      </c>
      <c r="E8" s="29">
        <v>110.0344533</v>
      </c>
      <c r="F8" s="29">
        <v>14.6922342</v>
      </c>
      <c r="G8" s="29">
        <v>75</v>
      </c>
      <c r="H8" s="29">
        <v>243</v>
      </c>
    </row>
    <row r="9" spans="1:8" x14ac:dyDescent="0.3">
      <c r="A9" s="18"/>
      <c r="B9" s="20"/>
      <c r="C9" s="27" t="s">
        <v>137</v>
      </c>
      <c r="D9" s="29">
        <v>10536</v>
      </c>
      <c r="E9" s="29">
        <v>90.383067600000004</v>
      </c>
      <c r="F9" s="29">
        <v>10.663075600000001</v>
      </c>
      <c r="G9" s="29">
        <v>44</v>
      </c>
      <c r="H9" s="29">
        <v>267</v>
      </c>
    </row>
    <row r="10" spans="1:8" x14ac:dyDescent="0.3">
      <c r="A10" s="18"/>
      <c r="B10" s="20"/>
      <c r="C10" s="27" t="s">
        <v>140</v>
      </c>
      <c r="D10" s="29">
        <v>10536</v>
      </c>
      <c r="E10" s="29">
        <v>180.90148060000001</v>
      </c>
      <c r="F10" s="29">
        <v>32.189238899999999</v>
      </c>
      <c r="G10" s="29">
        <v>71</v>
      </c>
      <c r="H10" s="29">
        <v>383</v>
      </c>
    </row>
    <row r="11" spans="1:8" ht="25.5" x14ac:dyDescent="0.3">
      <c r="A11" s="18"/>
      <c r="B11" s="20"/>
      <c r="C11" s="27" t="s">
        <v>139</v>
      </c>
      <c r="D11" s="29">
        <v>10536</v>
      </c>
      <c r="E11" s="29">
        <v>59.556337399999997</v>
      </c>
      <c r="F11" s="29">
        <v>13.2568074</v>
      </c>
      <c r="G11" s="29">
        <v>17.027999999999999</v>
      </c>
      <c r="H11" s="29">
        <v>145.298</v>
      </c>
    </row>
    <row r="12" spans="1:8" x14ac:dyDescent="0.3">
      <c r="A12" s="18"/>
      <c r="B12" s="20"/>
      <c r="C12" s="27" t="s">
        <v>138</v>
      </c>
      <c r="D12" s="29">
        <v>10536</v>
      </c>
      <c r="E12" s="29">
        <v>70.007023500000003</v>
      </c>
      <c r="F12" s="29">
        <v>31.076028600000001</v>
      </c>
      <c r="G12" s="29">
        <v>14</v>
      </c>
      <c r="H12" s="29">
        <v>711</v>
      </c>
    </row>
    <row r="13" spans="1:8" x14ac:dyDescent="0.3">
      <c r="A13" s="18"/>
      <c r="B13" s="20"/>
      <c r="C13" s="27" t="s">
        <v>141</v>
      </c>
      <c r="D13" s="29">
        <v>10536</v>
      </c>
      <c r="E13" s="29">
        <v>20.736427500000001</v>
      </c>
      <c r="F13" s="29">
        <v>10.9038124</v>
      </c>
      <c r="G13" s="29">
        <v>7</v>
      </c>
      <c r="H13" s="29">
        <v>329</v>
      </c>
    </row>
    <row r="14" spans="1:8" x14ac:dyDescent="0.3">
      <c r="A14" s="18"/>
      <c r="B14" s="20"/>
      <c r="C14" s="27" t="s">
        <v>142</v>
      </c>
      <c r="D14" s="29">
        <v>10536</v>
      </c>
      <c r="E14" s="29">
        <v>15.871013700000001</v>
      </c>
      <c r="F14" s="29">
        <v>12.381016900000001</v>
      </c>
      <c r="G14" s="29">
        <v>3</v>
      </c>
      <c r="H14" s="29">
        <v>395</v>
      </c>
    </row>
    <row r="15" spans="1:8" x14ac:dyDescent="0.3">
      <c r="A15" s="18"/>
      <c r="B15" s="20"/>
      <c r="C15" s="27" t="s">
        <v>143</v>
      </c>
      <c r="D15" s="29">
        <v>10536</v>
      </c>
      <c r="E15" s="29">
        <v>13.274971499999999</v>
      </c>
      <c r="F15" s="29">
        <v>1.4264026999999999</v>
      </c>
      <c r="G15" s="29">
        <v>5.2</v>
      </c>
      <c r="H15" s="29">
        <v>20.399999999999999</v>
      </c>
    </row>
    <row r="16" spans="1:8" x14ac:dyDescent="0.3">
      <c r="A16" s="18"/>
      <c r="B16" s="20"/>
      <c r="C16" s="27" t="s">
        <v>144</v>
      </c>
      <c r="D16" s="29">
        <v>10536</v>
      </c>
      <c r="E16" s="29">
        <v>13.7252183</v>
      </c>
      <c r="F16" s="29">
        <v>4.3849524000000004</v>
      </c>
      <c r="G16" s="29">
        <v>4</v>
      </c>
      <c r="H16" s="29">
        <v>115</v>
      </c>
    </row>
    <row r="17" spans="1:8" x14ac:dyDescent="0.3">
      <c r="A17" s="18"/>
      <c r="B17" s="20"/>
      <c r="C17" s="27" t="s">
        <v>145</v>
      </c>
      <c r="D17" s="29">
        <v>10536</v>
      </c>
      <c r="E17" s="29">
        <v>0.76524959999999997</v>
      </c>
      <c r="F17" s="29">
        <v>0.23172139999999999</v>
      </c>
      <c r="G17" s="29">
        <v>0.36</v>
      </c>
      <c r="H17" s="29">
        <v>11.33</v>
      </c>
    </row>
    <row r="18" spans="1:8" x14ac:dyDescent="0.3">
      <c r="A18" s="18"/>
      <c r="B18" s="20"/>
      <c r="C18" s="27" t="s">
        <v>150</v>
      </c>
      <c r="D18" s="29">
        <v>10536</v>
      </c>
      <c r="E18" s="29">
        <v>5.1167473000000001</v>
      </c>
      <c r="F18" s="29">
        <v>7.7688832000000003</v>
      </c>
      <c r="G18" s="29">
        <v>1</v>
      </c>
      <c r="H18" s="29">
        <v>89.84</v>
      </c>
    </row>
    <row r="19" spans="1:8" x14ac:dyDescent="0.3">
      <c r="A19" s="18"/>
      <c r="B19" s="20"/>
      <c r="C19" s="27" t="s">
        <v>146</v>
      </c>
      <c r="D19" s="29">
        <v>10536</v>
      </c>
      <c r="E19" s="29">
        <v>7.9730144999999997</v>
      </c>
      <c r="F19" s="29">
        <v>0.41662900000000003</v>
      </c>
      <c r="G19" s="29">
        <v>6.4441312999999996</v>
      </c>
      <c r="H19" s="29">
        <v>10.6442099</v>
      </c>
    </row>
    <row r="20" spans="1:8" x14ac:dyDescent="0.3">
      <c r="A20" s="18"/>
      <c r="B20" s="20"/>
      <c r="C20" s="27" t="s">
        <v>147</v>
      </c>
      <c r="D20" s="29">
        <v>10536</v>
      </c>
      <c r="E20" s="29">
        <v>157.95379080000001</v>
      </c>
      <c r="F20" s="29">
        <v>10.890461200000001</v>
      </c>
      <c r="G20" s="29">
        <v>109.8633621</v>
      </c>
      <c r="H20" s="29">
        <v>172.7060079</v>
      </c>
    </row>
    <row r="21" spans="1:8" ht="17.25" thickBot="1" x14ac:dyDescent="0.35">
      <c r="A21" s="18"/>
      <c r="B21" s="20"/>
      <c r="C21" s="28" t="s">
        <v>149</v>
      </c>
      <c r="D21" s="29">
        <v>10536</v>
      </c>
      <c r="E21" s="29">
        <v>0.60536449999999997</v>
      </c>
      <c r="F21" s="29">
        <v>5.1635399999999998E-2</v>
      </c>
      <c r="G21" s="29">
        <v>0.40120869999999997</v>
      </c>
      <c r="H21" s="29">
        <v>0.93788660000000001</v>
      </c>
    </row>
    <row r="22" spans="1:8" x14ac:dyDescent="0.3">
      <c r="A22" s="18">
        <v>2</v>
      </c>
      <c r="B22" s="20">
        <v>14941</v>
      </c>
      <c r="C22" s="27" t="s">
        <v>133</v>
      </c>
      <c r="D22" s="29">
        <v>14941</v>
      </c>
      <c r="E22" s="29">
        <v>50.698882300000001</v>
      </c>
      <c r="F22" s="29">
        <v>12.1563395</v>
      </c>
      <c r="G22" s="29">
        <v>30</v>
      </c>
      <c r="H22" s="29">
        <v>74</v>
      </c>
    </row>
    <row r="23" spans="1:8" x14ac:dyDescent="0.3">
      <c r="A23" s="18"/>
      <c r="B23" s="20"/>
      <c r="C23" s="27" t="s">
        <v>135</v>
      </c>
      <c r="D23" s="29">
        <v>14941</v>
      </c>
      <c r="E23" s="29">
        <v>22.334194700000001</v>
      </c>
      <c r="F23" s="29">
        <v>1.2855116</v>
      </c>
      <c r="G23" s="29">
        <v>17.5400268</v>
      </c>
      <c r="H23" s="29">
        <v>27.301104500000001</v>
      </c>
    </row>
    <row r="24" spans="1:8" x14ac:dyDescent="0.3">
      <c r="A24" s="18"/>
      <c r="B24" s="20"/>
      <c r="C24" s="27" t="s">
        <v>134</v>
      </c>
      <c r="D24" s="29">
        <v>14941</v>
      </c>
      <c r="E24" s="29">
        <v>78.291212099999996</v>
      </c>
      <c r="F24" s="29">
        <v>5.4210706999999996</v>
      </c>
      <c r="G24" s="29">
        <v>57.8</v>
      </c>
      <c r="H24" s="29">
        <v>98.5</v>
      </c>
    </row>
    <row r="25" spans="1:8" x14ac:dyDescent="0.3">
      <c r="A25" s="18"/>
      <c r="B25" s="20"/>
      <c r="C25" s="27" t="s">
        <v>148</v>
      </c>
      <c r="D25" s="29">
        <v>14941</v>
      </c>
      <c r="E25" s="29">
        <v>7.7494300000000002E-2</v>
      </c>
      <c r="F25" s="29">
        <v>4.3765000000000002E-3</v>
      </c>
      <c r="G25" s="29">
        <v>5.7648100000000001E-2</v>
      </c>
      <c r="H25" s="29">
        <v>0.1013003</v>
      </c>
    </row>
    <row r="26" spans="1:8" x14ac:dyDescent="0.3">
      <c r="A26" s="18"/>
      <c r="B26" s="20"/>
      <c r="C26" s="27" t="s">
        <v>136</v>
      </c>
      <c r="D26" s="29">
        <v>14941</v>
      </c>
      <c r="E26" s="29">
        <v>115.7585168</v>
      </c>
      <c r="F26" s="29">
        <v>15.8628497</v>
      </c>
      <c r="G26" s="29">
        <v>70</v>
      </c>
      <c r="H26" s="29">
        <v>209</v>
      </c>
    </row>
    <row r="27" spans="1:8" x14ac:dyDescent="0.3">
      <c r="A27" s="18"/>
      <c r="B27" s="20"/>
      <c r="C27" s="27" t="s">
        <v>137</v>
      </c>
      <c r="D27" s="29">
        <v>14941</v>
      </c>
      <c r="E27" s="29">
        <v>95.3736028</v>
      </c>
      <c r="F27" s="29">
        <v>14.982061</v>
      </c>
      <c r="G27" s="29">
        <v>40</v>
      </c>
      <c r="H27" s="29">
        <v>364</v>
      </c>
    </row>
    <row r="28" spans="1:8" x14ac:dyDescent="0.3">
      <c r="A28" s="18"/>
      <c r="B28" s="20"/>
      <c r="C28" s="27" t="s">
        <v>140</v>
      </c>
      <c r="D28" s="29">
        <v>14941</v>
      </c>
      <c r="E28" s="29">
        <v>189.50773040000001</v>
      </c>
      <c r="F28" s="29">
        <v>34.993834200000002</v>
      </c>
      <c r="G28" s="29">
        <v>72</v>
      </c>
      <c r="H28" s="29">
        <v>381</v>
      </c>
    </row>
    <row r="29" spans="1:8" ht="25.5" x14ac:dyDescent="0.3">
      <c r="A29" s="18"/>
      <c r="B29" s="20"/>
      <c r="C29" s="27" t="s">
        <v>139</v>
      </c>
      <c r="D29" s="29">
        <v>14941</v>
      </c>
      <c r="E29" s="29">
        <v>53.813955499999999</v>
      </c>
      <c r="F29" s="29">
        <v>12.431764599999999</v>
      </c>
      <c r="G29" s="29">
        <v>19.027999999999999</v>
      </c>
      <c r="H29" s="29">
        <v>130</v>
      </c>
    </row>
    <row r="30" spans="1:8" x14ac:dyDescent="0.3">
      <c r="A30" s="18"/>
      <c r="B30" s="20"/>
      <c r="C30" s="27" t="s">
        <v>138</v>
      </c>
      <c r="D30" s="29">
        <v>14941</v>
      </c>
      <c r="E30" s="29">
        <v>98.963188500000001</v>
      </c>
      <c r="F30" s="29">
        <v>46.998179700000001</v>
      </c>
      <c r="G30" s="29">
        <v>23</v>
      </c>
      <c r="H30" s="29">
        <v>808</v>
      </c>
    </row>
    <row r="31" spans="1:8" x14ac:dyDescent="0.3">
      <c r="A31" s="18"/>
      <c r="B31" s="20"/>
      <c r="C31" s="27" t="s">
        <v>141</v>
      </c>
      <c r="D31" s="29">
        <v>14941</v>
      </c>
      <c r="E31" s="29">
        <v>21.961849900000001</v>
      </c>
      <c r="F31" s="29">
        <v>13.263366299999999</v>
      </c>
      <c r="G31" s="29">
        <v>8</v>
      </c>
      <c r="H31" s="29">
        <v>532</v>
      </c>
    </row>
    <row r="32" spans="1:8" x14ac:dyDescent="0.3">
      <c r="A32" s="18"/>
      <c r="B32" s="20"/>
      <c r="C32" s="27" t="s">
        <v>142</v>
      </c>
      <c r="D32" s="29">
        <v>14941</v>
      </c>
      <c r="E32" s="29">
        <v>18.874171700000002</v>
      </c>
      <c r="F32" s="29">
        <v>14.7974306</v>
      </c>
      <c r="G32" s="29">
        <v>1</v>
      </c>
      <c r="H32" s="29">
        <v>768</v>
      </c>
    </row>
    <row r="33" spans="1:8" x14ac:dyDescent="0.3">
      <c r="A33" s="18"/>
      <c r="B33" s="20"/>
      <c r="C33" s="27" t="s">
        <v>143</v>
      </c>
      <c r="D33" s="29">
        <v>14941</v>
      </c>
      <c r="E33" s="29">
        <v>13.753564000000001</v>
      </c>
      <c r="F33" s="29">
        <v>1.4930311999999999</v>
      </c>
      <c r="G33" s="29">
        <v>3.9</v>
      </c>
      <c r="H33" s="29">
        <v>21.3</v>
      </c>
    </row>
    <row r="34" spans="1:8" x14ac:dyDescent="0.3">
      <c r="A34" s="18"/>
      <c r="B34" s="20"/>
      <c r="C34" s="27" t="s">
        <v>144</v>
      </c>
      <c r="D34" s="29">
        <v>14941</v>
      </c>
      <c r="E34" s="29">
        <v>14.4496419</v>
      </c>
      <c r="F34" s="29">
        <v>4.4554064999999996</v>
      </c>
      <c r="G34" s="29">
        <v>2</v>
      </c>
      <c r="H34" s="29">
        <v>140</v>
      </c>
    </row>
    <row r="35" spans="1:8" x14ac:dyDescent="0.3">
      <c r="A35" s="18"/>
      <c r="B35" s="20"/>
      <c r="C35" s="27" t="s">
        <v>145</v>
      </c>
      <c r="D35" s="29">
        <v>14941</v>
      </c>
      <c r="E35" s="29">
        <v>0.80688510000000002</v>
      </c>
      <c r="F35" s="29">
        <v>0.27757310000000002</v>
      </c>
      <c r="G35" s="29">
        <v>0.33</v>
      </c>
      <c r="H35" s="29">
        <v>14.38</v>
      </c>
    </row>
    <row r="36" spans="1:8" x14ac:dyDescent="0.3">
      <c r="A36" s="18"/>
      <c r="B36" s="20"/>
      <c r="C36" s="27" t="s">
        <v>150</v>
      </c>
      <c r="D36" s="29">
        <v>14941</v>
      </c>
      <c r="E36" s="29">
        <v>8.3339581999999996</v>
      </c>
      <c r="F36" s="29">
        <v>9.9850735000000004</v>
      </c>
      <c r="G36" s="29">
        <v>1</v>
      </c>
      <c r="H36" s="29">
        <v>82.14</v>
      </c>
    </row>
    <row r="37" spans="1:8" x14ac:dyDescent="0.3">
      <c r="A37" s="18"/>
      <c r="B37" s="20"/>
      <c r="C37" s="27" t="s">
        <v>146</v>
      </c>
      <c r="D37" s="29">
        <v>14941</v>
      </c>
      <c r="E37" s="29">
        <v>8.3599990000000002</v>
      </c>
      <c r="F37" s="29">
        <v>0.43700030000000001</v>
      </c>
      <c r="G37" s="29">
        <v>6.8416154999999996</v>
      </c>
      <c r="H37" s="29">
        <v>10.6065851</v>
      </c>
    </row>
    <row r="38" spans="1:8" x14ac:dyDescent="0.3">
      <c r="A38" s="18"/>
      <c r="B38" s="20"/>
      <c r="C38" s="27" t="s">
        <v>147</v>
      </c>
      <c r="D38" s="29">
        <v>14941</v>
      </c>
      <c r="E38" s="29">
        <v>186.3018452</v>
      </c>
      <c r="F38" s="29">
        <v>7.4782441000000004</v>
      </c>
      <c r="G38" s="29">
        <v>172.70626469999999</v>
      </c>
      <c r="H38" s="29">
        <v>198.79005889999999</v>
      </c>
    </row>
    <row r="39" spans="1:8" ht="17.25" thickBot="1" x14ac:dyDescent="0.35">
      <c r="A39" s="18"/>
      <c r="B39" s="20"/>
      <c r="C39" s="28" t="s">
        <v>149</v>
      </c>
      <c r="D39" s="29">
        <v>14941</v>
      </c>
      <c r="E39" s="29">
        <v>0.6482831</v>
      </c>
      <c r="F39" s="29">
        <v>5.5384999999999997E-2</v>
      </c>
      <c r="G39" s="29">
        <v>0.45566590000000001</v>
      </c>
      <c r="H39" s="29">
        <v>0.96114219999999995</v>
      </c>
    </row>
    <row r="40" spans="1:8" x14ac:dyDescent="0.3">
      <c r="A40" s="18">
        <v>3</v>
      </c>
      <c r="B40" s="20">
        <v>16263</v>
      </c>
      <c r="C40" s="27" t="s">
        <v>133</v>
      </c>
      <c r="D40" s="29">
        <v>16263</v>
      </c>
      <c r="E40" s="29">
        <v>53.276578700000002</v>
      </c>
      <c r="F40" s="29">
        <v>12.0239838</v>
      </c>
      <c r="G40" s="29">
        <v>30</v>
      </c>
      <c r="H40" s="29">
        <v>74</v>
      </c>
    </row>
    <row r="41" spans="1:8" x14ac:dyDescent="0.3">
      <c r="A41" s="18"/>
      <c r="B41" s="20"/>
      <c r="C41" s="27" t="s">
        <v>135</v>
      </c>
      <c r="D41" s="29">
        <v>16263</v>
      </c>
      <c r="E41" s="29">
        <v>24.4080066</v>
      </c>
      <c r="F41" s="29">
        <v>1.4474807999999999</v>
      </c>
      <c r="G41" s="29">
        <v>18.844487900000001</v>
      </c>
      <c r="H41" s="29">
        <v>30.227214100000001</v>
      </c>
    </row>
    <row r="42" spans="1:8" x14ac:dyDescent="0.3">
      <c r="A42" s="18"/>
      <c r="B42" s="20"/>
      <c r="C42" s="27" t="s">
        <v>134</v>
      </c>
      <c r="D42" s="29">
        <v>16263</v>
      </c>
      <c r="E42" s="29">
        <v>84.579966799999994</v>
      </c>
      <c r="F42" s="29">
        <v>5.6737584999999999</v>
      </c>
      <c r="G42" s="29">
        <v>62.4</v>
      </c>
      <c r="H42" s="29">
        <v>166.1</v>
      </c>
    </row>
    <row r="43" spans="1:8" x14ac:dyDescent="0.3">
      <c r="A43" s="18"/>
      <c r="B43" s="20"/>
      <c r="C43" s="27" t="s">
        <v>148</v>
      </c>
      <c r="D43" s="29">
        <v>16263</v>
      </c>
      <c r="E43" s="29">
        <v>7.8654299999999996E-2</v>
      </c>
      <c r="F43" s="29">
        <v>4.2674000000000002E-3</v>
      </c>
      <c r="G43" s="29">
        <v>5.4819399999999997E-2</v>
      </c>
      <c r="H43" s="29">
        <v>0.15107219999999999</v>
      </c>
    </row>
    <row r="44" spans="1:8" x14ac:dyDescent="0.3">
      <c r="A44" s="18"/>
      <c r="B44" s="20"/>
      <c r="C44" s="27" t="s">
        <v>136</v>
      </c>
      <c r="D44" s="29">
        <v>16263</v>
      </c>
      <c r="E44" s="29">
        <v>120.7234213</v>
      </c>
      <c r="F44" s="29">
        <v>15.9344929</v>
      </c>
      <c r="G44" s="29">
        <v>77</v>
      </c>
      <c r="H44" s="29">
        <v>232</v>
      </c>
    </row>
    <row r="45" spans="1:8" x14ac:dyDescent="0.3">
      <c r="A45" s="18"/>
      <c r="B45" s="20"/>
      <c r="C45" s="27" t="s">
        <v>137</v>
      </c>
      <c r="D45" s="29">
        <v>16263</v>
      </c>
      <c r="E45" s="29">
        <v>100.97540429999999</v>
      </c>
      <c r="F45" s="29">
        <v>20.587518299999999</v>
      </c>
      <c r="G45" s="29">
        <v>51</v>
      </c>
      <c r="H45" s="29">
        <v>465</v>
      </c>
    </row>
    <row r="46" spans="1:8" x14ac:dyDescent="0.3">
      <c r="A46" s="18"/>
      <c r="B46" s="20"/>
      <c r="C46" s="27" t="s">
        <v>140</v>
      </c>
      <c r="D46" s="29">
        <v>16263</v>
      </c>
      <c r="E46" s="29">
        <v>193.9679026</v>
      </c>
      <c r="F46" s="29">
        <v>37.035329400000002</v>
      </c>
      <c r="G46" s="29">
        <v>66</v>
      </c>
      <c r="H46" s="29">
        <v>457</v>
      </c>
    </row>
    <row r="47" spans="1:8" ht="25.5" x14ac:dyDescent="0.3">
      <c r="A47" s="18"/>
      <c r="B47" s="20"/>
      <c r="C47" s="27" t="s">
        <v>139</v>
      </c>
      <c r="D47" s="29">
        <v>16263</v>
      </c>
      <c r="E47" s="29">
        <v>48.986008400000003</v>
      </c>
      <c r="F47" s="29">
        <v>11.148491</v>
      </c>
      <c r="G47" s="29">
        <v>14.667999999999999</v>
      </c>
      <c r="H47" s="29">
        <v>126.76</v>
      </c>
    </row>
    <row r="48" spans="1:8" x14ac:dyDescent="0.3">
      <c r="A48" s="18"/>
      <c r="B48" s="20"/>
      <c r="C48" s="27" t="s">
        <v>138</v>
      </c>
      <c r="D48" s="29">
        <v>16263</v>
      </c>
      <c r="E48" s="29">
        <v>137.90690520000001</v>
      </c>
      <c r="F48" s="29">
        <v>75.7964147</v>
      </c>
      <c r="G48" s="29">
        <v>29</v>
      </c>
      <c r="H48" s="29">
        <v>1706</v>
      </c>
    </row>
    <row r="49" spans="1:8" x14ac:dyDescent="0.3">
      <c r="A49" s="18"/>
      <c r="B49" s="20"/>
      <c r="C49" s="27" t="s">
        <v>141</v>
      </c>
      <c r="D49" s="29">
        <v>16263</v>
      </c>
      <c r="E49" s="29">
        <v>23.5322511</v>
      </c>
      <c r="F49" s="29">
        <v>14.0614872</v>
      </c>
      <c r="G49" s="29">
        <v>9</v>
      </c>
      <c r="H49" s="29">
        <v>621</v>
      </c>
    </row>
    <row r="50" spans="1:8" x14ac:dyDescent="0.3">
      <c r="A50" s="18"/>
      <c r="B50" s="20"/>
      <c r="C50" s="27" t="s">
        <v>142</v>
      </c>
      <c r="D50" s="29">
        <v>16263</v>
      </c>
      <c r="E50" s="29">
        <v>23.078398799999999</v>
      </c>
      <c r="F50" s="29">
        <v>19.508659999999999</v>
      </c>
      <c r="G50" s="29">
        <v>3</v>
      </c>
      <c r="H50" s="29">
        <v>893</v>
      </c>
    </row>
    <row r="51" spans="1:8" x14ac:dyDescent="0.3">
      <c r="A51" s="18"/>
      <c r="B51" s="20"/>
      <c r="C51" s="27" t="s">
        <v>143</v>
      </c>
      <c r="D51" s="29">
        <v>16263</v>
      </c>
      <c r="E51" s="29">
        <v>14.228629400000001</v>
      </c>
      <c r="F51" s="29">
        <v>1.5179091</v>
      </c>
      <c r="G51" s="29">
        <v>5.3</v>
      </c>
      <c r="H51" s="29">
        <v>19.600000000000001</v>
      </c>
    </row>
    <row r="52" spans="1:8" x14ac:dyDescent="0.3">
      <c r="A52" s="18"/>
      <c r="B52" s="20"/>
      <c r="C52" s="27" t="s">
        <v>144</v>
      </c>
      <c r="D52" s="29">
        <v>16263</v>
      </c>
      <c r="E52" s="29">
        <v>14.945582</v>
      </c>
      <c r="F52" s="29">
        <v>4.3057518999999997</v>
      </c>
      <c r="G52" s="29">
        <v>3</v>
      </c>
      <c r="H52" s="29">
        <v>83</v>
      </c>
    </row>
    <row r="53" spans="1:8" x14ac:dyDescent="0.3">
      <c r="A53" s="18"/>
      <c r="B53" s="20"/>
      <c r="C53" s="27" t="s">
        <v>145</v>
      </c>
      <c r="D53" s="29">
        <v>16263</v>
      </c>
      <c r="E53" s="29">
        <v>0.85126109999999999</v>
      </c>
      <c r="F53" s="29">
        <v>0.25835000000000002</v>
      </c>
      <c r="G53" s="29">
        <v>0.39</v>
      </c>
      <c r="H53" s="29">
        <v>17.53</v>
      </c>
    </row>
    <row r="54" spans="1:8" x14ac:dyDescent="0.3">
      <c r="A54" s="18"/>
      <c r="B54" s="20"/>
      <c r="C54" s="27" t="s">
        <v>150</v>
      </c>
      <c r="D54" s="29">
        <v>16263</v>
      </c>
      <c r="E54" s="29">
        <v>11.9334071</v>
      </c>
      <c r="F54" s="29">
        <v>11.895077499999999</v>
      </c>
      <c r="G54" s="29">
        <v>1</v>
      </c>
      <c r="H54" s="29">
        <v>95.99</v>
      </c>
    </row>
    <row r="55" spans="1:8" x14ac:dyDescent="0.3">
      <c r="A55" s="18"/>
      <c r="B55" s="20"/>
      <c r="C55" s="27" t="s">
        <v>146</v>
      </c>
      <c r="D55" s="29">
        <v>16263</v>
      </c>
      <c r="E55" s="29">
        <v>8.7250923999999994</v>
      </c>
      <c r="F55" s="29">
        <v>0.47990830000000001</v>
      </c>
      <c r="G55" s="29">
        <v>7.1167999000000002</v>
      </c>
      <c r="H55" s="29">
        <v>11.452012399999999</v>
      </c>
    </row>
    <row r="56" spans="1:8" x14ac:dyDescent="0.3">
      <c r="A56" s="18"/>
      <c r="B56" s="20"/>
      <c r="C56" s="27" t="s">
        <v>147</v>
      </c>
      <c r="D56" s="29">
        <v>16263</v>
      </c>
      <c r="E56" s="29">
        <v>212.42150229999999</v>
      </c>
      <c r="F56" s="29">
        <v>8.0516266999999999</v>
      </c>
      <c r="G56" s="29">
        <v>198.79284949999999</v>
      </c>
      <c r="H56" s="29">
        <v>226.98501630000001</v>
      </c>
    </row>
    <row r="57" spans="1:8" ht="17.25" thickBot="1" x14ac:dyDescent="0.35">
      <c r="A57" s="18"/>
      <c r="B57" s="20"/>
      <c r="C57" s="28" t="s">
        <v>149</v>
      </c>
      <c r="D57" s="29">
        <v>16263</v>
      </c>
      <c r="E57" s="29">
        <v>0.68664729999999996</v>
      </c>
      <c r="F57" s="29">
        <v>5.7841700000000003E-2</v>
      </c>
      <c r="G57" s="29">
        <v>0.44151820000000003</v>
      </c>
      <c r="H57" s="29">
        <v>1.3241700999999999</v>
      </c>
    </row>
    <row r="58" spans="1:8" x14ac:dyDescent="0.3">
      <c r="A58" s="18">
        <v>4</v>
      </c>
      <c r="B58" s="20">
        <v>16946</v>
      </c>
      <c r="C58" s="27" t="s">
        <v>133</v>
      </c>
      <c r="D58" s="29">
        <v>16946</v>
      </c>
      <c r="E58" s="29">
        <v>51.888292200000002</v>
      </c>
      <c r="F58" s="29">
        <v>11.891358200000001</v>
      </c>
      <c r="G58" s="29">
        <v>30</v>
      </c>
      <c r="H58" s="29">
        <v>74</v>
      </c>
    </row>
    <row r="59" spans="1:8" x14ac:dyDescent="0.3">
      <c r="A59" s="18"/>
      <c r="B59" s="20"/>
      <c r="C59" s="27" t="s">
        <v>135</v>
      </c>
      <c r="D59" s="29">
        <v>16946</v>
      </c>
      <c r="E59" s="29">
        <v>27.755111400000001</v>
      </c>
      <c r="F59" s="29">
        <v>2.7124896000000001</v>
      </c>
      <c r="G59" s="29">
        <v>20.130454499999999</v>
      </c>
      <c r="H59" s="29">
        <v>53.537693400000002</v>
      </c>
    </row>
    <row r="60" spans="1:8" x14ac:dyDescent="0.3">
      <c r="A60" s="18"/>
      <c r="B60" s="20"/>
      <c r="C60" s="27" t="s">
        <v>134</v>
      </c>
      <c r="D60" s="29">
        <v>16946</v>
      </c>
      <c r="E60" s="29">
        <v>92.657069500000006</v>
      </c>
      <c r="F60" s="29">
        <v>7.4200955999999998</v>
      </c>
      <c r="G60" s="29">
        <v>52.3</v>
      </c>
      <c r="H60" s="29">
        <v>138.5</v>
      </c>
    </row>
    <row r="61" spans="1:8" x14ac:dyDescent="0.3">
      <c r="A61" s="18"/>
      <c r="B61" s="20"/>
      <c r="C61" s="27" t="s">
        <v>148</v>
      </c>
      <c r="D61" s="29">
        <v>16946</v>
      </c>
      <c r="E61" s="29">
        <v>7.8912300000000005E-2</v>
      </c>
      <c r="F61" s="29">
        <v>3.9865999999999999E-3</v>
      </c>
      <c r="G61" s="29">
        <v>4.8055199999999999E-2</v>
      </c>
      <c r="H61" s="29">
        <v>0.100623</v>
      </c>
    </row>
    <row r="62" spans="1:8" x14ac:dyDescent="0.3">
      <c r="A62" s="18"/>
      <c r="B62" s="20"/>
      <c r="C62" s="27" t="s">
        <v>136</v>
      </c>
      <c r="D62" s="29">
        <v>16946</v>
      </c>
      <c r="E62" s="29">
        <v>124.7817184</v>
      </c>
      <c r="F62" s="29">
        <v>15.480061900000001</v>
      </c>
      <c r="G62" s="29">
        <v>78</v>
      </c>
      <c r="H62" s="29">
        <v>223</v>
      </c>
    </row>
    <row r="63" spans="1:8" x14ac:dyDescent="0.3">
      <c r="A63" s="18"/>
      <c r="B63" s="20"/>
      <c r="C63" s="27" t="s">
        <v>137</v>
      </c>
      <c r="D63" s="29">
        <v>16946</v>
      </c>
      <c r="E63" s="29">
        <v>111.38481059999999</v>
      </c>
      <c r="F63" s="29">
        <v>31.480306800000001</v>
      </c>
      <c r="G63" s="29">
        <v>53</v>
      </c>
      <c r="H63" s="29">
        <v>553</v>
      </c>
    </row>
    <row r="64" spans="1:8" x14ac:dyDescent="0.3">
      <c r="A64" s="18"/>
      <c r="B64" s="20"/>
      <c r="C64" s="27" t="s">
        <v>140</v>
      </c>
      <c r="D64" s="29">
        <v>16946</v>
      </c>
      <c r="E64" s="29">
        <v>199.9555057</v>
      </c>
      <c r="F64" s="29">
        <v>39.776700699999999</v>
      </c>
      <c r="G64" s="29">
        <v>68</v>
      </c>
      <c r="H64" s="29">
        <v>554</v>
      </c>
    </row>
    <row r="65" spans="1:8" ht="25.5" x14ac:dyDescent="0.3">
      <c r="A65" s="18"/>
      <c r="B65" s="20"/>
      <c r="C65" s="27" t="s">
        <v>139</v>
      </c>
      <c r="D65" s="29">
        <v>16946</v>
      </c>
      <c r="E65" s="29">
        <v>44.743127100000002</v>
      </c>
      <c r="F65" s="29">
        <v>10.1320894</v>
      </c>
      <c r="G65" s="29">
        <v>5.9180000000000001</v>
      </c>
      <c r="H65" s="29">
        <v>116.008</v>
      </c>
    </row>
    <row r="66" spans="1:8" x14ac:dyDescent="0.3">
      <c r="A66" s="18"/>
      <c r="B66" s="20"/>
      <c r="C66" s="27" t="s">
        <v>138</v>
      </c>
      <c r="D66" s="29">
        <v>16946</v>
      </c>
      <c r="E66" s="29">
        <v>218.66930249999999</v>
      </c>
      <c r="F66" s="29">
        <v>162.17481369999999</v>
      </c>
      <c r="G66" s="29">
        <v>31</v>
      </c>
      <c r="H66" s="29">
        <v>2774</v>
      </c>
    </row>
    <row r="67" spans="1:8" x14ac:dyDescent="0.3">
      <c r="A67" s="18"/>
      <c r="B67" s="20"/>
      <c r="C67" s="27" t="s">
        <v>141</v>
      </c>
      <c r="D67" s="29">
        <v>16946</v>
      </c>
      <c r="E67" s="29">
        <v>26.766729600000001</v>
      </c>
      <c r="F67" s="29">
        <v>17.1182941</v>
      </c>
      <c r="G67" s="29">
        <v>6</v>
      </c>
      <c r="H67" s="29">
        <v>927</v>
      </c>
    </row>
    <row r="68" spans="1:8" x14ac:dyDescent="0.3">
      <c r="A68" s="18"/>
      <c r="B68" s="20"/>
      <c r="C68" s="27" t="s">
        <v>142</v>
      </c>
      <c r="D68" s="29">
        <v>16946</v>
      </c>
      <c r="E68" s="29">
        <v>30.9961053</v>
      </c>
      <c r="F68" s="29">
        <v>21.829041100000001</v>
      </c>
      <c r="G68" s="29">
        <v>4</v>
      </c>
      <c r="H68" s="29">
        <v>377</v>
      </c>
    </row>
    <row r="69" spans="1:8" x14ac:dyDescent="0.3">
      <c r="A69" s="18"/>
      <c r="B69" s="20"/>
      <c r="C69" s="27" t="s">
        <v>143</v>
      </c>
      <c r="D69" s="29">
        <v>16946</v>
      </c>
      <c r="E69" s="29">
        <v>14.6124218</v>
      </c>
      <c r="F69" s="29">
        <v>1.5437327999999999</v>
      </c>
      <c r="G69" s="29">
        <v>5.5</v>
      </c>
      <c r="H69" s="29">
        <v>19.600000000000001</v>
      </c>
    </row>
    <row r="70" spans="1:8" x14ac:dyDescent="0.3">
      <c r="A70" s="18"/>
      <c r="B70" s="20"/>
      <c r="C70" s="27" t="s">
        <v>144</v>
      </c>
      <c r="D70" s="29">
        <v>16946</v>
      </c>
      <c r="E70" s="29">
        <v>14.964976999999999</v>
      </c>
      <c r="F70" s="29">
        <v>4.3351946999999997</v>
      </c>
      <c r="G70" s="29">
        <v>3</v>
      </c>
      <c r="H70" s="29">
        <v>83</v>
      </c>
    </row>
    <row r="71" spans="1:8" x14ac:dyDescent="0.3">
      <c r="A71" s="18"/>
      <c r="B71" s="20"/>
      <c r="C71" s="27" t="s">
        <v>145</v>
      </c>
      <c r="D71" s="29">
        <v>16946</v>
      </c>
      <c r="E71" s="29">
        <v>0.87060369999999998</v>
      </c>
      <c r="F71" s="29">
        <v>0.2345264</v>
      </c>
      <c r="G71" s="29">
        <v>0.2</v>
      </c>
      <c r="H71" s="29">
        <v>9.4499999999999993</v>
      </c>
    </row>
    <row r="72" spans="1:8" x14ac:dyDescent="0.3">
      <c r="A72" s="18"/>
      <c r="B72" s="20"/>
      <c r="C72" s="27" t="s">
        <v>150</v>
      </c>
      <c r="D72" s="29">
        <v>16946</v>
      </c>
      <c r="E72" s="29">
        <v>14.0788522</v>
      </c>
      <c r="F72" s="29">
        <v>12.9524814</v>
      </c>
      <c r="G72" s="29">
        <v>1</v>
      </c>
      <c r="H72" s="29">
        <v>96.39</v>
      </c>
    </row>
    <row r="73" spans="1:8" x14ac:dyDescent="0.3">
      <c r="A73" s="18"/>
      <c r="B73" s="20"/>
      <c r="C73" s="27" t="s">
        <v>146</v>
      </c>
      <c r="D73" s="29">
        <v>16946</v>
      </c>
      <c r="E73" s="29">
        <v>9.2130364</v>
      </c>
      <c r="F73" s="29">
        <v>0.59879850000000001</v>
      </c>
      <c r="G73" s="29">
        <v>7.2034054999999997</v>
      </c>
      <c r="H73" s="29">
        <v>12.543457</v>
      </c>
    </row>
    <row r="74" spans="1:8" x14ac:dyDescent="0.3">
      <c r="A74" s="18"/>
      <c r="B74" s="20"/>
      <c r="C74" s="27" t="s">
        <v>147</v>
      </c>
      <c r="D74" s="29">
        <v>16946</v>
      </c>
      <c r="E74" s="29">
        <v>255.2007471</v>
      </c>
      <c r="F74" s="29">
        <v>25.537006900000002</v>
      </c>
      <c r="G74" s="29">
        <v>226.9853933</v>
      </c>
      <c r="H74" s="29">
        <v>515.03065579999998</v>
      </c>
    </row>
    <row r="75" spans="1:8" x14ac:dyDescent="0.3">
      <c r="A75" s="18"/>
      <c r="B75" s="20"/>
      <c r="C75" s="27" t="s">
        <v>149</v>
      </c>
      <c r="D75" s="29">
        <v>16946</v>
      </c>
      <c r="E75" s="29">
        <v>0.72726659999999999</v>
      </c>
      <c r="F75" s="29">
        <v>6.27693E-2</v>
      </c>
      <c r="G75" s="29">
        <v>0.43864829999999999</v>
      </c>
      <c r="H75" s="29">
        <v>1.0740016999999999</v>
      </c>
    </row>
  </sheetData>
  <mergeCells count="8">
    <mergeCell ref="A58:A75"/>
    <mergeCell ref="B58:B75"/>
    <mergeCell ref="A4:A21"/>
    <mergeCell ref="B4:B21"/>
    <mergeCell ref="A22:A39"/>
    <mergeCell ref="B22:B39"/>
    <mergeCell ref="A40:A57"/>
    <mergeCell ref="B40:B5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722E-5AE9-405E-95AA-B9539EEA6EAD}">
  <dimension ref="A1:H75"/>
  <sheetViews>
    <sheetView workbookViewId="0">
      <selection activeCell="M11" sqref="M11"/>
    </sheetView>
  </sheetViews>
  <sheetFormatPr defaultRowHeight="16.5" x14ac:dyDescent="0.3"/>
  <sheetData>
    <row r="1" spans="1:8" x14ac:dyDescent="0.3">
      <c r="A1" s="1" t="s">
        <v>126</v>
      </c>
    </row>
    <row r="2" spans="1:8" ht="17.25" thickBot="1" x14ac:dyDescent="0.35"/>
    <row r="3" spans="1:8" ht="33" x14ac:dyDescent="0.3">
      <c r="A3" s="5" t="s">
        <v>108</v>
      </c>
      <c r="B3" s="12" t="s">
        <v>151</v>
      </c>
      <c r="C3" s="12" t="s">
        <v>127</v>
      </c>
      <c r="D3" s="12" t="s">
        <v>128</v>
      </c>
      <c r="E3" s="12" t="s">
        <v>129</v>
      </c>
      <c r="F3" s="12" t="s">
        <v>130</v>
      </c>
      <c r="G3" s="12" t="s">
        <v>131</v>
      </c>
      <c r="H3" s="12" t="s">
        <v>132</v>
      </c>
    </row>
    <row r="4" spans="1:8" x14ac:dyDescent="0.3">
      <c r="A4" s="18">
        <v>1</v>
      </c>
      <c r="B4" s="20">
        <v>10768</v>
      </c>
      <c r="C4" s="27" t="s">
        <v>133</v>
      </c>
      <c r="D4" s="29">
        <v>10768</v>
      </c>
      <c r="E4" s="29">
        <v>43.722882599999998</v>
      </c>
      <c r="F4" s="29">
        <v>10.1844012</v>
      </c>
      <c r="G4" s="29">
        <v>30</v>
      </c>
      <c r="H4" s="29">
        <v>74</v>
      </c>
    </row>
    <row r="5" spans="1:8" x14ac:dyDescent="0.3">
      <c r="A5" s="18"/>
      <c r="B5" s="20"/>
      <c r="C5" s="27" t="s">
        <v>135</v>
      </c>
      <c r="D5" s="29">
        <v>10768</v>
      </c>
      <c r="E5" s="29">
        <v>22.103436899999998</v>
      </c>
      <c r="F5" s="29">
        <v>2.7919132000000002</v>
      </c>
      <c r="G5" s="29">
        <v>14.650836099999999</v>
      </c>
      <c r="H5" s="29">
        <v>42.228521000000001</v>
      </c>
    </row>
    <row r="6" spans="1:8" x14ac:dyDescent="0.3">
      <c r="A6" s="18"/>
      <c r="B6" s="20"/>
      <c r="C6" s="27" t="s">
        <v>134</v>
      </c>
      <c r="D6" s="29">
        <v>10768</v>
      </c>
      <c r="E6" s="29">
        <v>73.020263700000001</v>
      </c>
      <c r="F6" s="29">
        <v>6.9428301000000001</v>
      </c>
      <c r="G6" s="29">
        <v>36.200000000000003</v>
      </c>
      <c r="H6" s="29">
        <v>115.3</v>
      </c>
    </row>
    <row r="7" spans="1:8" x14ac:dyDescent="0.3">
      <c r="A7" s="18"/>
      <c r="B7" s="20"/>
      <c r="C7" s="27" t="s">
        <v>148</v>
      </c>
      <c r="D7" s="29">
        <v>10768</v>
      </c>
      <c r="E7" s="29">
        <v>7.3073899999999997E-2</v>
      </c>
      <c r="F7" s="29">
        <v>3.1013999999999998E-3</v>
      </c>
      <c r="G7" s="29">
        <v>4.5616799999999999E-2</v>
      </c>
      <c r="H7" s="29">
        <v>8.6418499999999995E-2</v>
      </c>
    </row>
    <row r="8" spans="1:8" x14ac:dyDescent="0.3">
      <c r="A8" s="18"/>
      <c r="B8" s="20"/>
      <c r="C8" s="27" t="s">
        <v>136</v>
      </c>
      <c r="D8" s="29">
        <v>10768</v>
      </c>
      <c r="E8" s="29">
        <v>109.9851412</v>
      </c>
      <c r="F8" s="29">
        <v>13.8010907</v>
      </c>
      <c r="G8" s="29">
        <v>75</v>
      </c>
      <c r="H8" s="29">
        <v>205</v>
      </c>
    </row>
    <row r="9" spans="1:8" x14ac:dyDescent="0.3">
      <c r="A9" s="18"/>
      <c r="B9" s="20"/>
      <c r="C9" s="27" t="s">
        <v>137</v>
      </c>
      <c r="D9" s="29">
        <v>10768</v>
      </c>
      <c r="E9" s="29">
        <v>89.753900400000006</v>
      </c>
      <c r="F9" s="29">
        <v>8.3822480000000006</v>
      </c>
      <c r="G9" s="29">
        <v>40</v>
      </c>
      <c r="H9" s="29">
        <v>243</v>
      </c>
    </row>
    <row r="10" spans="1:8" x14ac:dyDescent="0.3">
      <c r="A10" s="18"/>
      <c r="B10" s="20"/>
      <c r="C10" s="27" t="s">
        <v>140</v>
      </c>
      <c r="D10" s="29">
        <v>10768</v>
      </c>
      <c r="E10" s="29">
        <v>181.04810549999999</v>
      </c>
      <c r="F10" s="29">
        <v>31.635155300000001</v>
      </c>
      <c r="G10" s="29">
        <v>71</v>
      </c>
      <c r="H10" s="29">
        <v>457</v>
      </c>
    </row>
    <row r="11" spans="1:8" ht="25.5" x14ac:dyDescent="0.3">
      <c r="A11" s="18"/>
      <c r="B11" s="20"/>
      <c r="C11" s="27" t="s">
        <v>139</v>
      </c>
      <c r="D11" s="29">
        <v>10768</v>
      </c>
      <c r="E11" s="29">
        <v>59.107797300000001</v>
      </c>
      <c r="F11" s="29">
        <v>12.821102099999999</v>
      </c>
      <c r="G11" s="29">
        <v>17.027999999999999</v>
      </c>
      <c r="H11" s="29">
        <v>134</v>
      </c>
    </row>
    <row r="12" spans="1:8" x14ac:dyDescent="0.3">
      <c r="A12" s="18"/>
      <c r="B12" s="20"/>
      <c r="C12" s="27" t="s">
        <v>138</v>
      </c>
      <c r="D12" s="29">
        <v>10768</v>
      </c>
      <c r="E12" s="29">
        <v>61.270802400000001</v>
      </c>
      <c r="F12" s="29">
        <v>20.978059399999999</v>
      </c>
      <c r="G12" s="29">
        <v>14</v>
      </c>
      <c r="H12" s="29">
        <v>250</v>
      </c>
    </row>
    <row r="13" spans="1:8" x14ac:dyDescent="0.3">
      <c r="A13" s="18"/>
      <c r="B13" s="20"/>
      <c r="C13" s="27" t="s">
        <v>141</v>
      </c>
      <c r="D13" s="29">
        <v>10768</v>
      </c>
      <c r="E13" s="29">
        <v>19.9959138</v>
      </c>
      <c r="F13" s="29">
        <v>9.9700574</v>
      </c>
      <c r="G13" s="29">
        <v>8</v>
      </c>
      <c r="H13" s="29">
        <v>430</v>
      </c>
    </row>
    <row r="14" spans="1:8" x14ac:dyDescent="0.3">
      <c r="A14" s="18"/>
      <c r="B14" s="20"/>
      <c r="C14" s="27" t="s">
        <v>142</v>
      </c>
      <c r="D14" s="29">
        <v>10768</v>
      </c>
      <c r="E14" s="29">
        <v>16.230312000000001</v>
      </c>
      <c r="F14" s="29">
        <v>14.254121400000001</v>
      </c>
      <c r="G14" s="29">
        <v>3</v>
      </c>
      <c r="H14" s="29">
        <v>743</v>
      </c>
    </row>
    <row r="15" spans="1:8" x14ac:dyDescent="0.3">
      <c r="A15" s="18"/>
      <c r="B15" s="20"/>
      <c r="C15" s="27" t="s">
        <v>143</v>
      </c>
      <c r="D15" s="29">
        <v>10768</v>
      </c>
      <c r="E15" s="29">
        <v>13.245077999999999</v>
      </c>
      <c r="F15" s="29">
        <v>1.4384094999999999</v>
      </c>
      <c r="G15" s="29">
        <v>5.2</v>
      </c>
      <c r="H15" s="29">
        <v>18.8</v>
      </c>
    </row>
    <row r="16" spans="1:8" x14ac:dyDescent="0.3">
      <c r="A16" s="18"/>
      <c r="B16" s="20"/>
      <c r="C16" s="27" t="s">
        <v>144</v>
      </c>
      <c r="D16" s="29">
        <v>10768</v>
      </c>
      <c r="E16" s="29">
        <v>13.7019874</v>
      </c>
      <c r="F16" s="29">
        <v>4.1106116000000004</v>
      </c>
      <c r="G16" s="29">
        <v>4</v>
      </c>
      <c r="H16" s="29">
        <v>140</v>
      </c>
    </row>
    <row r="17" spans="1:8" x14ac:dyDescent="0.3">
      <c r="A17" s="18"/>
      <c r="B17" s="20"/>
      <c r="C17" s="27" t="s">
        <v>145</v>
      </c>
      <c r="D17" s="29">
        <v>10768</v>
      </c>
      <c r="E17" s="29">
        <v>0.76311010000000001</v>
      </c>
      <c r="F17" s="29">
        <v>0.20353959999999999</v>
      </c>
      <c r="G17" s="29">
        <v>0.36</v>
      </c>
      <c r="H17" s="29">
        <v>14.38</v>
      </c>
    </row>
    <row r="18" spans="1:8" x14ac:dyDescent="0.3">
      <c r="A18" s="18"/>
      <c r="B18" s="20"/>
      <c r="C18" s="27" t="s">
        <v>150</v>
      </c>
      <c r="D18" s="29">
        <v>10768</v>
      </c>
      <c r="E18" s="29">
        <v>3.4936126000000001</v>
      </c>
      <c r="F18" s="29">
        <v>4.8001393999999999</v>
      </c>
      <c r="G18" s="29">
        <v>1</v>
      </c>
      <c r="H18" s="29">
        <v>70.22</v>
      </c>
    </row>
    <row r="19" spans="1:8" x14ac:dyDescent="0.3">
      <c r="A19" s="18"/>
      <c r="B19" s="20"/>
      <c r="C19" s="27" t="s">
        <v>146</v>
      </c>
      <c r="D19" s="29">
        <v>10768</v>
      </c>
      <c r="E19" s="29">
        <v>7.8609597999999998</v>
      </c>
      <c r="F19" s="29">
        <v>0.34279690000000002</v>
      </c>
      <c r="G19" s="29">
        <v>6.4441312999999996</v>
      </c>
      <c r="H19" s="29">
        <v>9.4240797999999995</v>
      </c>
    </row>
    <row r="20" spans="1:8" x14ac:dyDescent="0.3">
      <c r="A20" s="18"/>
      <c r="B20" s="20"/>
      <c r="C20" s="27" t="s">
        <v>147</v>
      </c>
      <c r="D20" s="29">
        <v>10768</v>
      </c>
      <c r="E20" s="29">
        <v>173.92060380000001</v>
      </c>
      <c r="F20" s="29">
        <v>24.6295675</v>
      </c>
      <c r="G20" s="29">
        <v>109.8633621</v>
      </c>
      <c r="H20" s="29">
        <v>332.21014050000002</v>
      </c>
    </row>
    <row r="21" spans="1:8" ht="17.25" thickBot="1" x14ac:dyDescent="0.35">
      <c r="A21" s="18"/>
      <c r="B21" s="20"/>
      <c r="C21" s="28" t="s">
        <v>149</v>
      </c>
      <c r="D21" s="29">
        <v>10768</v>
      </c>
      <c r="E21" s="29">
        <v>0.57396639999999999</v>
      </c>
      <c r="F21" s="29">
        <v>2.5924300000000001E-2</v>
      </c>
      <c r="G21" s="29">
        <v>0.40120869999999997</v>
      </c>
      <c r="H21" s="29">
        <v>0.60708899999999999</v>
      </c>
    </row>
    <row r="22" spans="1:8" x14ac:dyDescent="0.3">
      <c r="A22" s="18">
        <v>2</v>
      </c>
      <c r="B22" s="20">
        <v>14860</v>
      </c>
      <c r="C22" s="27" t="s">
        <v>133</v>
      </c>
      <c r="D22" s="29">
        <v>14860</v>
      </c>
      <c r="E22" s="29">
        <v>48.661170900000002</v>
      </c>
      <c r="F22" s="29">
        <v>11.630036799999999</v>
      </c>
      <c r="G22" s="29">
        <v>30</v>
      </c>
      <c r="H22" s="29">
        <v>74</v>
      </c>
    </row>
    <row r="23" spans="1:8" x14ac:dyDescent="0.3">
      <c r="A23" s="18"/>
      <c r="B23" s="20"/>
      <c r="C23" s="27" t="s">
        <v>135</v>
      </c>
      <c r="D23" s="29">
        <v>14860</v>
      </c>
      <c r="E23" s="29">
        <v>23.4100748</v>
      </c>
      <c r="F23" s="29">
        <v>3.2227051000000002</v>
      </c>
      <c r="G23" s="29">
        <v>13.735636599999999</v>
      </c>
      <c r="H23" s="29">
        <v>45.934737699999999</v>
      </c>
    </row>
    <row r="24" spans="1:8" x14ac:dyDescent="0.3">
      <c r="A24" s="18"/>
      <c r="B24" s="20"/>
      <c r="C24" s="27" t="s">
        <v>134</v>
      </c>
      <c r="D24" s="29">
        <v>14860</v>
      </c>
      <c r="E24" s="29">
        <v>79.575336500000006</v>
      </c>
      <c r="F24" s="29">
        <v>7.7862165000000001</v>
      </c>
      <c r="G24" s="29">
        <v>56.5</v>
      </c>
      <c r="H24" s="29">
        <v>119.2</v>
      </c>
    </row>
    <row r="25" spans="1:8" x14ac:dyDescent="0.3">
      <c r="A25" s="18"/>
      <c r="B25" s="20"/>
      <c r="C25" s="27" t="s">
        <v>148</v>
      </c>
      <c r="D25" s="29">
        <v>14860</v>
      </c>
      <c r="E25" s="29">
        <v>7.63934E-2</v>
      </c>
      <c r="F25" s="29">
        <v>2.9004E-3</v>
      </c>
      <c r="G25" s="29">
        <v>6.1054499999999998E-2</v>
      </c>
      <c r="H25" s="29">
        <v>9.0233999999999995E-2</v>
      </c>
    </row>
    <row r="26" spans="1:8" x14ac:dyDescent="0.3">
      <c r="A26" s="18"/>
      <c r="B26" s="20"/>
      <c r="C26" s="27" t="s">
        <v>136</v>
      </c>
      <c r="D26" s="29">
        <v>14860</v>
      </c>
      <c r="E26" s="29">
        <v>115.6922275</v>
      </c>
      <c r="F26" s="29">
        <v>15.583906600000001</v>
      </c>
      <c r="G26" s="29">
        <v>76</v>
      </c>
      <c r="H26" s="29">
        <v>232</v>
      </c>
    </row>
    <row r="27" spans="1:8" x14ac:dyDescent="0.3">
      <c r="A27" s="18"/>
      <c r="B27" s="20"/>
      <c r="C27" s="27" t="s">
        <v>137</v>
      </c>
      <c r="D27" s="29">
        <v>14860</v>
      </c>
      <c r="E27" s="29">
        <v>94.208613700000001</v>
      </c>
      <c r="F27" s="29">
        <v>10.966256700000001</v>
      </c>
      <c r="G27" s="29">
        <v>44</v>
      </c>
      <c r="H27" s="29">
        <v>306</v>
      </c>
    </row>
    <row r="28" spans="1:8" x14ac:dyDescent="0.3">
      <c r="A28" s="18"/>
      <c r="B28" s="20"/>
      <c r="C28" s="27" t="s">
        <v>140</v>
      </c>
      <c r="D28" s="29">
        <v>14860</v>
      </c>
      <c r="E28" s="29">
        <v>189.59481829999999</v>
      </c>
      <c r="F28" s="29">
        <v>33.924298499999999</v>
      </c>
      <c r="G28" s="29">
        <v>79</v>
      </c>
      <c r="H28" s="29">
        <v>383</v>
      </c>
    </row>
    <row r="29" spans="1:8" ht="25.5" x14ac:dyDescent="0.3">
      <c r="A29" s="18"/>
      <c r="B29" s="20"/>
      <c r="C29" s="27" t="s">
        <v>139</v>
      </c>
      <c r="D29" s="29">
        <v>14860</v>
      </c>
      <c r="E29" s="29">
        <v>53.906941500000002</v>
      </c>
      <c r="F29" s="29">
        <v>12.2387043</v>
      </c>
      <c r="G29" s="29">
        <v>18</v>
      </c>
      <c r="H29" s="29">
        <v>145.298</v>
      </c>
    </row>
    <row r="30" spans="1:8" x14ac:dyDescent="0.3">
      <c r="A30" s="18"/>
      <c r="B30" s="20"/>
      <c r="C30" s="27" t="s">
        <v>138</v>
      </c>
      <c r="D30" s="29">
        <v>14860</v>
      </c>
      <c r="E30" s="29">
        <v>92.403768499999998</v>
      </c>
      <c r="F30" s="29">
        <v>31.7231205</v>
      </c>
      <c r="G30" s="29">
        <v>28</v>
      </c>
      <c r="H30" s="29">
        <v>560</v>
      </c>
    </row>
    <row r="31" spans="1:8" x14ac:dyDescent="0.3">
      <c r="A31" s="18"/>
      <c r="B31" s="20"/>
      <c r="C31" s="27" t="s">
        <v>141</v>
      </c>
      <c r="D31" s="29">
        <v>14860</v>
      </c>
      <c r="E31" s="29">
        <v>21.662718699999999</v>
      </c>
      <c r="F31" s="29">
        <v>10.919837599999999</v>
      </c>
      <c r="G31" s="29">
        <v>8</v>
      </c>
      <c r="H31" s="29">
        <v>411</v>
      </c>
    </row>
    <row r="32" spans="1:8" x14ac:dyDescent="0.3">
      <c r="A32" s="18"/>
      <c r="B32" s="20"/>
      <c r="C32" s="27" t="s">
        <v>142</v>
      </c>
      <c r="D32" s="29">
        <v>14860</v>
      </c>
      <c r="E32" s="29">
        <v>19.579004000000001</v>
      </c>
      <c r="F32" s="29">
        <v>15.681152000000001</v>
      </c>
      <c r="G32" s="29">
        <v>1</v>
      </c>
      <c r="H32" s="29">
        <v>768</v>
      </c>
    </row>
    <row r="33" spans="1:8" x14ac:dyDescent="0.3">
      <c r="A33" s="18"/>
      <c r="B33" s="20"/>
      <c r="C33" s="27" t="s">
        <v>143</v>
      </c>
      <c r="D33" s="29">
        <v>14860</v>
      </c>
      <c r="E33" s="29">
        <v>13.7728264</v>
      </c>
      <c r="F33" s="29">
        <v>1.5172203</v>
      </c>
      <c r="G33" s="29">
        <v>5.3</v>
      </c>
      <c r="H33" s="29">
        <v>19.2</v>
      </c>
    </row>
    <row r="34" spans="1:8" x14ac:dyDescent="0.3">
      <c r="A34" s="18"/>
      <c r="B34" s="20"/>
      <c r="C34" s="27" t="s">
        <v>144</v>
      </c>
      <c r="D34" s="29">
        <v>14860</v>
      </c>
      <c r="E34" s="29">
        <v>14.3187281</v>
      </c>
      <c r="F34" s="29">
        <v>4.1670600000000002</v>
      </c>
      <c r="G34" s="29">
        <v>2</v>
      </c>
      <c r="H34" s="29">
        <v>74</v>
      </c>
    </row>
    <row r="35" spans="1:8" x14ac:dyDescent="0.3">
      <c r="A35" s="18"/>
      <c r="B35" s="20"/>
      <c r="C35" s="27" t="s">
        <v>145</v>
      </c>
      <c r="D35" s="29">
        <v>14860</v>
      </c>
      <c r="E35" s="29">
        <v>0.80434859999999997</v>
      </c>
      <c r="F35" s="29">
        <v>0.22371150000000001</v>
      </c>
      <c r="G35" s="29">
        <v>0.39</v>
      </c>
      <c r="H35" s="29">
        <v>11.33</v>
      </c>
    </row>
    <row r="36" spans="1:8" x14ac:dyDescent="0.3">
      <c r="A36" s="18"/>
      <c r="B36" s="20"/>
      <c r="C36" s="27" t="s">
        <v>150</v>
      </c>
      <c r="D36" s="29">
        <v>14860</v>
      </c>
      <c r="E36" s="29">
        <v>6.7101183999999998</v>
      </c>
      <c r="F36" s="29">
        <v>7.6793158999999998</v>
      </c>
      <c r="G36" s="29">
        <v>1</v>
      </c>
      <c r="H36" s="29">
        <v>86.38</v>
      </c>
    </row>
    <row r="37" spans="1:8" x14ac:dyDescent="0.3">
      <c r="A37" s="18"/>
      <c r="B37" s="20"/>
      <c r="C37" s="27" t="s">
        <v>146</v>
      </c>
      <c r="D37" s="29">
        <v>14860</v>
      </c>
      <c r="E37" s="29">
        <v>8.3192158999999997</v>
      </c>
      <c r="F37" s="29">
        <v>0.32623819999999998</v>
      </c>
      <c r="G37" s="29">
        <v>6.9893352999999996</v>
      </c>
      <c r="H37" s="29">
        <v>10.2597624</v>
      </c>
    </row>
    <row r="38" spans="1:8" x14ac:dyDescent="0.3">
      <c r="A38" s="18"/>
      <c r="B38" s="20"/>
      <c r="C38" s="27" t="s">
        <v>147</v>
      </c>
      <c r="D38" s="29">
        <v>14860</v>
      </c>
      <c r="E38" s="29">
        <v>194.94331750000001</v>
      </c>
      <c r="F38" s="29">
        <v>29.326522600000001</v>
      </c>
      <c r="G38" s="29">
        <v>110.0182648</v>
      </c>
      <c r="H38" s="29">
        <v>394.50576080000002</v>
      </c>
    </row>
    <row r="39" spans="1:8" ht="17.25" thickBot="1" x14ac:dyDescent="0.35">
      <c r="A39" s="18"/>
      <c r="B39" s="20"/>
      <c r="C39" s="28" t="s">
        <v>149</v>
      </c>
      <c r="D39" s="29">
        <v>14860</v>
      </c>
      <c r="E39" s="29">
        <v>0.63476770000000005</v>
      </c>
      <c r="F39" s="29">
        <v>1.5059899999999999E-2</v>
      </c>
      <c r="G39" s="29">
        <v>0.6070892</v>
      </c>
      <c r="H39" s="29">
        <v>0.65995729999999997</v>
      </c>
    </row>
    <row r="40" spans="1:8" x14ac:dyDescent="0.3">
      <c r="A40" s="18">
        <v>3</v>
      </c>
      <c r="B40" s="20">
        <v>16634</v>
      </c>
      <c r="C40" s="27" t="s">
        <v>133</v>
      </c>
      <c r="D40" s="29">
        <v>16634</v>
      </c>
      <c r="E40" s="29">
        <v>52.676746399999999</v>
      </c>
      <c r="F40" s="29">
        <v>12.038188699999999</v>
      </c>
      <c r="G40" s="29">
        <v>30</v>
      </c>
      <c r="H40" s="29">
        <v>74</v>
      </c>
    </row>
    <row r="41" spans="1:8" x14ac:dyDescent="0.3">
      <c r="A41" s="18"/>
      <c r="B41" s="20"/>
      <c r="C41" s="27" t="s">
        <v>135</v>
      </c>
      <c r="D41" s="29">
        <v>16634</v>
      </c>
      <c r="E41" s="29">
        <v>24.579107400000002</v>
      </c>
      <c r="F41" s="29">
        <v>3.3041223</v>
      </c>
      <c r="G41" s="29">
        <v>14.2047369</v>
      </c>
      <c r="H41" s="29">
        <v>47.889364399999998</v>
      </c>
    </row>
    <row r="42" spans="1:8" x14ac:dyDescent="0.3">
      <c r="A42" s="18"/>
      <c r="B42" s="20"/>
      <c r="C42" s="27" t="s">
        <v>134</v>
      </c>
      <c r="D42" s="29">
        <v>16634</v>
      </c>
      <c r="E42" s="29">
        <v>85.077293499999996</v>
      </c>
      <c r="F42" s="29">
        <v>8.0640143999999996</v>
      </c>
      <c r="G42" s="29">
        <v>58.5</v>
      </c>
      <c r="H42" s="29">
        <v>130.30000000000001</v>
      </c>
    </row>
    <row r="43" spans="1:8" x14ac:dyDescent="0.3">
      <c r="A43" s="18"/>
      <c r="B43" s="20"/>
      <c r="C43" s="27" t="s">
        <v>148</v>
      </c>
      <c r="D43" s="29">
        <v>16634</v>
      </c>
      <c r="E43" s="29">
        <v>7.8832600000000003E-2</v>
      </c>
      <c r="F43" s="29">
        <v>3.0266999999999998E-3</v>
      </c>
      <c r="G43" s="29">
        <v>6.7925799999999995E-2</v>
      </c>
      <c r="H43" s="29">
        <v>9.4260099999999999E-2</v>
      </c>
    </row>
    <row r="44" spans="1:8" x14ac:dyDescent="0.3">
      <c r="A44" s="18"/>
      <c r="B44" s="20"/>
      <c r="C44" s="27" t="s">
        <v>136</v>
      </c>
      <c r="D44" s="29">
        <v>16634</v>
      </c>
      <c r="E44" s="29">
        <v>120.7286582</v>
      </c>
      <c r="F44" s="29">
        <v>15.9724737</v>
      </c>
      <c r="G44" s="29">
        <v>70</v>
      </c>
      <c r="H44" s="29">
        <v>212</v>
      </c>
    </row>
    <row r="45" spans="1:8" x14ac:dyDescent="0.3">
      <c r="A45" s="18"/>
      <c r="B45" s="20"/>
      <c r="C45" s="27" t="s">
        <v>137</v>
      </c>
      <c r="D45" s="29">
        <v>16634</v>
      </c>
      <c r="E45" s="29">
        <v>99.874894800000007</v>
      </c>
      <c r="F45" s="29">
        <v>16.154217299999999</v>
      </c>
      <c r="G45" s="29">
        <v>51</v>
      </c>
      <c r="H45" s="29">
        <v>400</v>
      </c>
    </row>
    <row r="46" spans="1:8" x14ac:dyDescent="0.3">
      <c r="A46" s="18"/>
      <c r="B46" s="20"/>
      <c r="C46" s="27" t="s">
        <v>140</v>
      </c>
      <c r="D46" s="29">
        <v>16634</v>
      </c>
      <c r="E46" s="29">
        <v>194.15949259999999</v>
      </c>
      <c r="F46" s="29">
        <v>36.704652600000003</v>
      </c>
      <c r="G46" s="29">
        <v>66</v>
      </c>
      <c r="H46" s="29">
        <v>381</v>
      </c>
    </row>
    <row r="47" spans="1:8" ht="25.5" x14ac:dyDescent="0.3">
      <c r="A47" s="18"/>
      <c r="B47" s="20"/>
      <c r="C47" s="27" t="s">
        <v>139</v>
      </c>
      <c r="D47" s="29">
        <v>16634</v>
      </c>
      <c r="E47" s="29">
        <v>49.263052700000003</v>
      </c>
      <c r="F47" s="29">
        <v>11.389066</v>
      </c>
      <c r="G47" s="29">
        <v>14.423999999999999</v>
      </c>
      <c r="H47" s="29">
        <v>128</v>
      </c>
    </row>
    <row r="48" spans="1:8" x14ac:dyDescent="0.3">
      <c r="A48" s="18"/>
      <c r="B48" s="20"/>
      <c r="C48" s="27" t="s">
        <v>138</v>
      </c>
      <c r="D48" s="29">
        <v>16634</v>
      </c>
      <c r="E48" s="29">
        <v>131.9686786</v>
      </c>
      <c r="F48" s="29">
        <v>49.516233999999997</v>
      </c>
      <c r="G48" s="29">
        <v>35</v>
      </c>
      <c r="H48" s="29">
        <v>568</v>
      </c>
    </row>
    <row r="49" spans="1:8" x14ac:dyDescent="0.3">
      <c r="A49" s="18"/>
      <c r="B49" s="20"/>
      <c r="C49" s="27" t="s">
        <v>141</v>
      </c>
      <c r="D49" s="29">
        <v>16634</v>
      </c>
      <c r="E49" s="29">
        <v>23.778946699999999</v>
      </c>
      <c r="F49" s="29">
        <v>12.7064073</v>
      </c>
      <c r="G49" s="29">
        <v>6</v>
      </c>
      <c r="H49" s="29">
        <v>532</v>
      </c>
    </row>
    <row r="50" spans="1:8" x14ac:dyDescent="0.3">
      <c r="A50" s="18"/>
      <c r="B50" s="20"/>
      <c r="C50" s="27" t="s">
        <v>142</v>
      </c>
      <c r="D50" s="29">
        <v>16634</v>
      </c>
      <c r="E50" s="29">
        <v>24.129914599999999</v>
      </c>
      <c r="F50" s="29">
        <v>19.779215199999999</v>
      </c>
      <c r="G50" s="29">
        <v>3</v>
      </c>
      <c r="H50" s="29">
        <v>893</v>
      </c>
    </row>
    <row r="51" spans="1:8" x14ac:dyDescent="0.3">
      <c r="A51" s="18"/>
      <c r="B51" s="20"/>
      <c r="C51" s="27" t="s">
        <v>143</v>
      </c>
      <c r="D51" s="29">
        <v>16634</v>
      </c>
      <c r="E51" s="29">
        <v>14.2603823</v>
      </c>
      <c r="F51" s="29">
        <v>1.5144751999999999</v>
      </c>
      <c r="G51" s="29">
        <v>3.9</v>
      </c>
      <c r="H51" s="29">
        <v>21.3</v>
      </c>
    </row>
    <row r="52" spans="1:8" x14ac:dyDescent="0.3">
      <c r="A52" s="18"/>
      <c r="B52" s="20"/>
      <c r="C52" s="27" t="s">
        <v>144</v>
      </c>
      <c r="D52" s="29">
        <v>16634</v>
      </c>
      <c r="E52" s="29">
        <v>14.923253600000001</v>
      </c>
      <c r="F52" s="29">
        <v>4.4717089999999997</v>
      </c>
      <c r="G52" s="29">
        <v>3</v>
      </c>
      <c r="H52" s="29">
        <v>115</v>
      </c>
    </row>
    <row r="53" spans="1:8" x14ac:dyDescent="0.3">
      <c r="A53" s="18"/>
      <c r="B53" s="20"/>
      <c r="C53" s="27" t="s">
        <v>145</v>
      </c>
      <c r="D53" s="29">
        <v>16634</v>
      </c>
      <c r="E53" s="29">
        <v>0.84892749999999995</v>
      </c>
      <c r="F53" s="29">
        <v>0.28167959999999997</v>
      </c>
      <c r="G53" s="29">
        <v>0.36</v>
      </c>
      <c r="H53" s="29">
        <v>17.53</v>
      </c>
    </row>
    <row r="54" spans="1:8" x14ac:dyDescent="0.3">
      <c r="A54" s="18"/>
      <c r="B54" s="20"/>
      <c r="C54" s="27" t="s">
        <v>150</v>
      </c>
      <c r="D54" s="29">
        <v>16634</v>
      </c>
      <c r="E54" s="29">
        <v>10.877663200000001</v>
      </c>
      <c r="F54" s="29">
        <v>10.209235899999999</v>
      </c>
      <c r="G54" s="29">
        <v>1</v>
      </c>
      <c r="H54" s="29">
        <v>85.2</v>
      </c>
    </row>
    <row r="55" spans="1:8" x14ac:dyDescent="0.3">
      <c r="A55" s="18"/>
      <c r="B55" s="20"/>
      <c r="C55" s="27" t="s">
        <v>146</v>
      </c>
      <c r="D55" s="29">
        <v>16634</v>
      </c>
      <c r="E55" s="29">
        <v>8.7192567000000007</v>
      </c>
      <c r="F55" s="29">
        <v>0.35080450000000002</v>
      </c>
      <c r="G55" s="29">
        <v>7.3211886000000002</v>
      </c>
      <c r="H55" s="29">
        <v>10.1092815</v>
      </c>
    </row>
    <row r="56" spans="1:8" x14ac:dyDescent="0.3">
      <c r="A56" s="18"/>
      <c r="B56" s="20"/>
      <c r="C56" s="27" t="s">
        <v>147</v>
      </c>
      <c r="D56" s="29">
        <v>16634</v>
      </c>
      <c r="E56" s="29">
        <v>214.55094389999999</v>
      </c>
      <c r="F56" s="29">
        <v>31.867213599999999</v>
      </c>
      <c r="G56" s="29">
        <v>116.6554471</v>
      </c>
      <c r="H56" s="29">
        <v>448.90928020000001</v>
      </c>
    </row>
    <row r="57" spans="1:8" ht="17.25" thickBot="1" x14ac:dyDescent="0.35">
      <c r="A57" s="18"/>
      <c r="B57" s="20"/>
      <c r="C57" s="28" t="s">
        <v>149</v>
      </c>
      <c r="D57" s="29">
        <v>16634</v>
      </c>
      <c r="E57" s="29">
        <v>0.68648140000000002</v>
      </c>
      <c r="F57" s="29">
        <v>1.5704300000000001E-2</v>
      </c>
      <c r="G57" s="29">
        <v>0.65995939999999997</v>
      </c>
      <c r="H57" s="29">
        <v>0.71463719999999997</v>
      </c>
    </row>
    <row r="58" spans="1:8" x14ac:dyDescent="0.3">
      <c r="A58" s="18">
        <v>4</v>
      </c>
      <c r="B58" s="20">
        <v>16424</v>
      </c>
      <c r="C58" s="27" t="s">
        <v>133</v>
      </c>
      <c r="D58" s="29">
        <v>16424</v>
      </c>
      <c r="E58" s="29">
        <v>55.970165600000001</v>
      </c>
      <c r="F58" s="29">
        <v>11.5484767</v>
      </c>
      <c r="G58" s="29">
        <v>30</v>
      </c>
      <c r="H58" s="29">
        <v>74</v>
      </c>
    </row>
    <row r="59" spans="1:8" x14ac:dyDescent="0.3">
      <c r="A59" s="18"/>
      <c r="B59" s="20"/>
      <c r="C59" s="27" t="s">
        <v>135</v>
      </c>
      <c r="D59" s="29">
        <v>16424</v>
      </c>
      <c r="E59" s="29">
        <v>25.2858956</v>
      </c>
      <c r="F59" s="29">
        <v>3.2536307999999998</v>
      </c>
      <c r="G59" s="29">
        <v>13.977505600000001</v>
      </c>
      <c r="H59" s="29">
        <v>53.537693400000002</v>
      </c>
    </row>
    <row r="60" spans="1:8" x14ac:dyDescent="0.3">
      <c r="A60" s="18"/>
      <c r="B60" s="20"/>
      <c r="C60" s="27" t="s">
        <v>134</v>
      </c>
      <c r="D60" s="29">
        <v>16424</v>
      </c>
      <c r="E60" s="29">
        <v>89.929651699999994</v>
      </c>
      <c r="F60" s="29">
        <v>8.2217687000000002</v>
      </c>
      <c r="G60" s="29">
        <v>59.3</v>
      </c>
      <c r="H60" s="29">
        <v>166.1</v>
      </c>
    </row>
    <row r="61" spans="1:8" x14ac:dyDescent="0.3">
      <c r="A61" s="18"/>
      <c r="B61" s="20"/>
      <c r="C61" s="27" t="s">
        <v>148</v>
      </c>
      <c r="D61" s="29">
        <v>16424</v>
      </c>
      <c r="E61" s="29">
        <v>8.1606600000000001E-2</v>
      </c>
      <c r="F61" s="29">
        <v>3.5628999999999999E-3</v>
      </c>
      <c r="G61" s="29">
        <v>6.9275500000000004E-2</v>
      </c>
      <c r="H61" s="29">
        <v>0.15107219999999999</v>
      </c>
    </row>
    <row r="62" spans="1:8" x14ac:dyDescent="0.3">
      <c r="A62" s="18"/>
      <c r="B62" s="20"/>
      <c r="C62" s="27" t="s">
        <v>136</v>
      </c>
      <c r="D62" s="29">
        <v>16424</v>
      </c>
      <c r="E62" s="29">
        <v>125.12420849999999</v>
      </c>
      <c r="F62" s="29">
        <v>16.059332399999999</v>
      </c>
      <c r="G62" s="29">
        <v>77</v>
      </c>
      <c r="H62" s="29">
        <v>243</v>
      </c>
    </row>
    <row r="63" spans="1:8" x14ac:dyDescent="0.3">
      <c r="A63" s="18"/>
      <c r="B63" s="20"/>
      <c r="C63" s="27" t="s">
        <v>137</v>
      </c>
      <c r="D63" s="29">
        <v>16424</v>
      </c>
      <c r="E63" s="29">
        <v>114.4187774</v>
      </c>
      <c r="F63" s="29">
        <v>34.7352998</v>
      </c>
      <c r="G63" s="29">
        <v>51</v>
      </c>
      <c r="H63" s="29">
        <v>553</v>
      </c>
    </row>
    <row r="64" spans="1:8" x14ac:dyDescent="0.3">
      <c r="A64" s="18"/>
      <c r="B64" s="20"/>
      <c r="C64" s="27" t="s">
        <v>140</v>
      </c>
      <c r="D64" s="29">
        <v>16424</v>
      </c>
      <c r="E64" s="29">
        <v>199.9394179</v>
      </c>
      <c r="F64" s="29">
        <v>41.347786499999998</v>
      </c>
      <c r="G64" s="29">
        <v>77</v>
      </c>
      <c r="H64" s="29">
        <v>554</v>
      </c>
    </row>
    <row r="65" spans="1:8" ht="25.5" x14ac:dyDescent="0.3">
      <c r="A65" s="18"/>
      <c r="B65" s="20"/>
      <c r="C65" s="27" t="s">
        <v>139</v>
      </c>
      <c r="D65" s="29">
        <v>16424</v>
      </c>
      <c r="E65" s="29">
        <v>44.4121308</v>
      </c>
      <c r="F65" s="29">
        <v>10.4421737</v>
      </c>
      <c r="G65" s="29">
        <v>5.9180000000000001</v>
      </c>
      <c r="H65" s="29">
        <v>126.76</v>
      </c>
    </row>
    <row r="66" spans="1:8" x14ac:dyDescent="0.3">
      <c r="A66" s="18"/>
      <c r="B66" s="20"/>
      <c r="C66" s="27" t="s">
        <v>138</v>
      </c>
      <c r="D66" s="29">
        <v>16424</v>
      </c>
      <c r="E66" s="29">
        <v>239.67985870000001</v>
      </c>
      <c r="F66" s="29">
        <v>163.46698620000001</v>
      </c>
      <c r="G66" s="29">
        <v>40</v>
      </c>
      <c r="H66" s="29">
        <v>2774</v>
      </c>
    </row>
    <row r="67" spans="1:8" x14ac:dyDescent="0.3">
      <c r="A67" s="18"/>
      <c r="B67" s="20"/>
      <c r="C67" s="27" t="s">
        <v>141</v>
      </c>
      <c r="D67" s="29">
        <v>16424</v>
      </c>
      <c r="E67" s="29">
        <v>27.4075743</v>
      </c>
      <c r="F67" s="29">
        <v>19.735089800000001</v>
      </c>
      <c r="G67" s="29">
        <v>9</v>
      </c>
      <c r="H67" s="29">
        <v>927</v>
      </c>
    </row>
    <row r="68" spans="1:8" x14ac:dyDescent="0.3">
      <c r="A68" s="18"/>
      <c r="B68" s="20"/>
      <c r="C68" s="27" t="s">
        <v>142</v>
      </c>
      <c r="D68" s="29">
        <v>16424</v>
      </c>
      <c r="E68" s="29">
        <v>29.390586899999999</v>
      </c>
      <c r="F68" s="29">
        <v>21.105074900000002</v>
      </c>
      <c r="G68" s="29">
        <v>4</v>
      </c>
      <c r="H68" s="29">
        <v>359</v>
      </c>
    </row>
    <row r="69" spans="1:8" x14ac:dyDescent="0.3">
      <c r="A69" s="18"/>
      <c r="B69" s="20"/>
      <c r="C69" s="27" t="s">
        <v>143</v>
      </c>
      <c r="D69" s="29">
        <v>16424</v>
      </c>
      <c r="E69" s="29">
        <v>14.605759900000001</v>
      </c>
      <c r="F69" s="29">
        <v>1.5120929000000001</v>
      </c>
      <c r="G69" s="29">
        <v>5.5</v>
      </c>
      <c r="H69" s="29">
        <v>20.399999999999999</v>
      </c>
    </row>
    <row r="70" spans="1:8" x14ac:dyDescent="0.3">
      <c r="A70" s="18"/>
      <c r="B70" s="20"/>
      <c r="C70" s="27" t="s">
        <v>144</v>
      </c>
      <c r="D70" s="29">
        <v>16424</v>
      </c>
      <c r="E70" s="29">
        <v>15.136678</v>
      </c>
      <c r="F70" s="29">
        <v>4.5688000000000004</v>
      </c>
      <c r="G70" s="29">
        <v>3</v>
      </c>
      <c r="H70" s="29">
        <v>76.900000000000006</v>
      </c>
    </row>
    <row r="71" spans="1:8" x14ac:dyDescent="0.3">
      <c r="A71" s="18"/>
      <c r="B71" s="20"/>
      <c r="C71" s="27" t="s">
        <v>145</v>
      </c>
      <c r="D71" s="29">
        <v>16424</v>
      </c>
      <c r="E71" s="29">
        <v>0.87827569999999999</v>
      </c>
      <c r="F71" s="29">
        <v>0.27143610000000001</v>
      </c>
      <c r="G71" s="29">
        <v>0.2</v>
      </c>
      <c r="H71" s="29">
        <v>10.48</v>
      </c>
    </row>
    <row r="72" spans="1:8" x14ac:dyDescent="0.3">
      <c r="A72" s="18"/>
      <c r="B72" s="20"/>
      <c r="C72" s="27" t="s">
        <v>150</v>
      </c>
      <c r="D72" s="29">
        <v>16424</v>
      </c>
      <c r="E72" s="29">
        <v>17.828197800000002</v>
      </c>
      <c r="F72" s="29">
        <v>14.410932300000001</v>
      </c>
      <c r="G72" s="29">
        <v>1</v>
      </c>
      <c r="H72" s="29">
        <v>96.39</v>
      </c>
    </row>
    <row r="73" spans="1:8" x14ac:dyDescent="0.3">
      <c r="A73" s="18"/>
      <c r="B73" s="20"/>
      <c r="C73" s="27" t="s">
        <v>146</v>
      </c>
      <c r="D73" s="29">
        <v>16424</v>
      </c>
      <c r="E73" s="29">
        <v>9.3536433999999993</v>
      </c>
      <c r="F73" s="29">
        <v>0.53020719999999999</v>
      </c>
      <c r="G73" s="29">
        <v>7.3752557999999997</v>
      </c>
      <c r="H73" s="29">
        <v>12.543457</v>
      </c>
    </row>
    <row r="74" spans="1:8" x14ac:dyDescent="0.3">
      <c r="A74" s="18"/>
      <c r="B74" s="20"/>
      <c r="C74" s="27" t="s">
        <v>147</v>
      </c>
      <c r="D74" s="29">
        <v>16424</v>
      </c>
      <c r="E74" s="29">
        <v>236.75746470000001</v>
      </c>
      <c r="F74" s="29">
        <v>35.025303299999997</v>
      </c>
      <c r="G74" s="29">
        <v>116.2240353</v>
      </c>
      <c r="H74" s="29">
        <v>515.03065579999998</v>
      </c>
    </row>
    <row r="75" spans="1:8" x14ac:dyDescent="0.3">
      <c r="A75" s="18"/>
      <c r="B75" s="20"/>
      <c r="C75" s="27" t="s">
        <v>149</v>
      </c>
      <c r="D75" s="29">
        <v>16424</v>
      </c>
      <c r="E75" s="29">
        <v>0.76249820000000001</v>
      </c>
      <c r="F75" s="29">
        <v>4.1824899999999998E-2</v>
      </c>
      <c r="G75" s="29">
        <v>0.71464950000000005</v>
      </c>
      <c r="H75" s="29">
        <v>1.3241700999999999</v>
      </c>
    </row>
  </sheetData>
  <mergeCells count="8">
    <mergeCell ref="A58:A75"/>
    <mergeCell ref="B58:B75"/>
    <mergeCell ref="A4:A21"/>
    <mergeCell ref="B4:B21"/>
    <mergeCell ref="A22:A39"/>
    <mergeCell ref="B22:B39"/>
    <mergeCell ref="A40:A57"/>
    <mergeCell ref="B40:B5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2026-01-28T02:54:54Z</dcterms:created>
  <dcterms:modified xsi:type="dcterms:W3CDTF">2026-01-28T12:33:36Z</dcterms:modified>
</cp:coreProperties>
</file>